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Kevin\Sports\Hockey\USHL\2018-2019 Season\"/>
    </mc:Choice>
  </mc:AlternateContent>
  <xr:revisionPtr revIDLastSave="0" documentId="13_ncr:1_{6F0CCF60-1CAF-4756-A248-DD174367D066}" xr6:coauthVersionLast="43" xr6:coauthVersionMax="43" xr10:uidLastSave="{00000000-0000-0000-0000-000000000000}"/>
  <bookViews>
    <workbookView xWindow="570" yWindow="6225" windowWidth="28575" windowHeight="9720" xr2:uid="{3F1045B6-0913-4880-8FC3-811AACF812A7}"/>
  </bookViews>
  <sheets>
    <sheet name="Game Info" sheetId="1" r:id="rId1"/>
    <sheet name="Official Stats" sheetId="3" r:id="rId2"/>
    <sheet name="Info" sheetId="2" r:id="rId3"/>
  </sheets>
  <externalReferences>
    <externalReference r:id="rId4"/>
  </externalReferences>
  <definedNames>
    <definedName name="_xlnm._FilterDatabase" localSheetId="0" hidden="1">'Game Info'!$A$3:$AH$543</definedName>
    <definedName name="Away10MinMisconduct">'Game Info'!$P$4:$P$543</definedName>
    <definedName name="AwayGameMisconduct">'Game Info'!$Q$4:$Q$543</definedName>
    <definedName name="AwayInfractions">'Game Info'!$K$4:$K$543</definedName>
    <definedName name="AwayMajor">'Game Info'!$O$4:$O$543</definedName>
    <definedName name="AwayMatch">'Game Info'!$R$4:$R$543</definedName>
    <definedName name="AwayMinor">'Game Info'!$N$4:$N$543</definedName>
    <definedName name="AwayPenaltyShot">'Game Info'!$S$4:$S$543</definedName>
    <definedName name="AwayPenaltyShotAttempt">'Game Info'!$M$4:$M$543</definedName>
    <definedName name="AwayPenaltyShotGoal">'Game Info'!$L$4:$L$543</definedName>
    <definedName name="AwayPIM">'Game Info'!$J$4:$J$543</definedName>
    <definedName name="AwayTeam">'Game Info'!$I$4:$I$543</definedName>
    <definedName name="DayOfTheWeek">'Game Info'!$C$4:$C$543</definedName>
    <definedName name="DOTWMonth">Info!$E$2:$G$13</definedName>
    <definedName name="Home10MinMisconduct">'Game Info'!$AA$4:$AA$543</definedName>
    <definedName name="HomeGameMisconduct">'Game Info'!$AB$4:$AB$543</definedName>
    <definedName name="HomeInfractions">'Game Info'!$V$4:$V$543</definedName>
    <definedName name="HomeMajor">'Game Info'!$Z$4:$Z$543</definedName>
    <definedName name="HomeMatch">'Game Info'!$AC$4:$AC$543</definedName>
    <definedName name="HomeMinor">'Game Info'!$Y$4:$Y$543</definedName>
    <definedName name="HomePenaltyShot">'Game Info'!$AD$4:$AD$543</definedName>
    <definedName name="HomePenaltyShotAttempt">'Game Info'!$X$4:$X$543</definedName>
    <definedName name="HomePenaltyShotGoal">'Game Info'!$W$4:$W$543</definedName>
    <definedName name="HomePIM">'Game Info'!$U$4:$U$543</definedName>
    <definedName name="HomeTeam">'Game Info'!$T$4:$T$543</definedName>
    <definedName name="Linemen">Info!$B$2:$B$61</definedName>
    <definedName name="Linemen1">'Game Info'!$AG$4:$AG$543</definedName>
    <definedName name="Linemen2">'Game Info'!$AH$4:$AH$543</definedName>
    <definedName name="Month">'Game Info'!$B$4:$B$543</definedName>
    <definedName name="Referee">Info!$A$2:$A$61</definedName>
    <definedName name="Referee1">'Game Info'!$AE$4:$AE$543</definedName>
    <definedName name="Referee2">'Game Info'!$AF$4:$AF$543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" i="3" l="1"/>
  <c r="A34" i="3"/>
  <c r="A125" i="3"/>
  <c r="A63" i="3"/>
  <c r="A121" i="3"/>
  <c r="A59" i="3"/>
  <c r="A117" i="3"/>
  <c r="A55" i="3"/>
  <c r="A113" i="3"/>
  <c r="A51" i="3"/>
  <c r="A109" i="3"/>
  <c r="A47" i="3"/>
  <c r="A105" i="3"/>
  <c r="A43" i="3"/>
  <c r="A101" i="3"/>
  <c r="A39" i="3"/>
  <c r="A97" i="3"/>
  <c r="A35" i="3"/>
  <c r="A93" i="3"/>
  <c r="A31" i="3"/>
  <c r="A89" i="3"/>
  <c r="A27" i="3"/>
  <c r="A85" i="3"/>
  <c r="A23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AC543" i="1"/>
  <c r="AB543" i="1"/>
  <c r="AA543" i="1"/>
  <c r="Z543" i="1"/>
  <c r="Y543" i="1"/>
  <c r="X543" i="1"/>
  <c r="W543" i="1"/>
  <c r="T543" i="1"/>
  <c r="AC542" i="1"/>
  <c r="AB542" i="1"/>
  <c r="AA542" i="1"/>
  <c r="Z542" i="1"/>
  <c r="Y542" i="1"/>
  <c r="X542" i="1"/>
  <c r="W542" i="1"/>
  <c r="T542" i="1"/>
  <c r="AC541" i="1"/>
  <c r="AB541" i="1"/>
  <c r="AA541" i="1"/>
  <c r="Z541" i="1"/>
  <c r="Y541" i="1"/>
  <c r="X541" i="1"/>
  <c r="W541" i="1"/>
  <c r="T541" i="1"/>
  <c r="AC540" i="1"/>
  <c r="AB540" i="1"/>
  <c r="AA540" i="1"/>
  <c r="Z540" i="1"/>
  <c r="Y540" i="1"/>
  <c r="X540" i="1"/>
  <c r="W540" i="1"/>
  <c r="T540" i="1"/>
  <c r="AC539" i="1"/>
  <c r="AB539" i="1"/>
  <c r="AA539" i="1"/>
  <c r="Z539" i="1"/>
  <c r="Y539" i="1"/>
  <c r="X539" i="1"/>
  <c r="W539" i="1"/>
  <c r="T539" i="1"/>
  <c r="AC538" i="1"/>
  <c r="AB538" i="1"/>
  <c r="AA538" i="1"/>
  <c r="Z538" i="1"/>
  <c r="Y538" i="1"/>
  <c r="X538" i="1"/>
  <c r="W538" i="1"/>
  <c r="T538" i="1"/>
  <c r="AC537" i="1"/>
  <c r="AB537" i="1"/>
  <c r="AA537" i="1"/>
  <c r="Z537" i="1"/>
  <c r="Y537" i="1"/>
  <c r="X537" i="1"/>
  <c r="W537" i="1"/>
  <c r="T537" i="1"/>
  <c r="AC536" i="1"/>
  <c r="AB536" i="1"/>
  <c r="AA536" i="1"/>
  <c r="Z536" i="1"/>
  <c r="Y536" i="1"/>
  <c r="X536" i="1"/>
  <c r="W536" i="1"/>
  <c r="T536" i="1"/>
  <c r="AC535" i="1"/>
  <c r="AB535" i="1"/>
  <c r="AA535" i="1"/>
  <c r="Z535" i="1"/>
  <c r="Y535" i="1"/>
  <c r="X535" i="1"/>
  <c r="W535" i="1"/>
  <c r="T535" i="1"/>
  <c r="AC534" i="1"/>
  <c r="AB534" i="1"/>
  <c r="AA534" i="1"/>
  <c r="Z534" i="1"/>
  <c r="Y534" i="1"/>
  <c r="X534" i="1"/>
  <c r="W534" i="1"/>
  <c r="T534" i="1"/>
  <c r="AC533" i="1"/>
  <c r="AB533" i="1"/>
  <c r="AA533" i="1"/>
  <c r="Z533" i="1"/>
  <c r="Y533" i="1"/>
  <c r="X533" i="1"/>
  <c r="W533" i="1"/>
  <c r="T533" i="1"/>
  <c r="AC532" i="1"/>
  <c r="AB532" i="1"/>
  <c r="AA532" i="1"/>
  <c r="Z532" i="1"/>
  <c r="Y532" i="1"/>
  <c r="X532" i="1"/>
  <c r="W532" i="1"/>
  <c r="T532" i="1"/>
  <c r="AC531" i="1"/>
  <c r="AB531" i="1"/>
  <c r="AA531" i="1"/>
  <c r="Z531" i="1"/>
  <c r="Y531" i="1"/>
  <c r="X531" i="1"/>
  <c r="W531" i="1"/>
  <c r="T531" i="1"/>
  <c r="AC530" i="1"/>
  <c r="AB530" i="1"/>
  <c r="AA530" i="1"/>
  <c r="Z530" i="1"/>
  <c r="Y530" i="1"/>
  <c r="X530" i="1"/>
  <c r="W530" i="1"/>
  <c r="T530" i="1"/>
  <c r="AC529" i="1"/>
  <c r="AB529" i="1"/>
  <c r="AA529" i="1"/>
  <c r="Z529" i="1"/>
  <c r="Y529" i="1"/>
  <c r="X529" i="1"/>
  <c r="W529" i="1"/>
  <c r="T529" i="1"/>
  <c r="AC528" i="1"/>
  <c r="AB528" i="1"/>
  <c r="AA528" i="1"/>
  <c r="Z528" i="1"/>
  <c r="Y528" i="1"/>
  <c r="X528" i="1"/>
  <c r="W528" i="1"/>
  <c r="T528" i="1"/>
  <c r="AC527" i="1"/>
  <c r="AB527" i="1"/>
  <c r="AA527" i="1"/>
  <c r="Z527" i="1"/>
  <c r="Y527" i="1"/>
  <c r="X527" i="1"/>
  <c r="W527" i="1"/>
  <c r="T527" i="1"/>
  <c r="AC526" i="1"/>
  <c r="AB526" i="1"/>
  <c r="AA526" i="1"/>
  <c r="Z526" i="1"/>
  <c r="Y526" i="1"/>
  <c r="X526" i="1"/>
  <c r="W526" i="1"/>
  <c r="T526" i="1"/>
  <c r="AC525" i="1"/>
  <c r="AB525" i="1"/>
  <c r="AA525" i="1"/>
  <c r="Z525" i="1"/>
  <c r="Y525" i="1"/>
  <c r="X525" i="1"/>
  <c r="W525" i="1"/>
  <c r="T525" i="1"/>
  <c r="AC524" i="1"/>
  <c r="AB524" i="1"/>
  <c r="AA524" i="1"/>
  <c r="Z524" i="1"/>
  <c r="Y524" i="1"/>
  <c r="X524" i="1"/>
  <c r="W524" i="1"/>
  <c r="T524" i="1"/>
  <c r="AC523" i="1"/>
  <c r="AB523" i="1"/>
  <c r="AA523" i="1"/>
  <c r="Z523" i="1"/>
  <c r="Y523" i="1"/>
  <c r="X523" i="1"/>
  <c r="W523" i="1"/>
  <c r="T523" i="1"/>
  <c r="AC522" i="1"/>
  <c r="AB522" i="1"/>
  <c r="AA522" i="1"/>
  <c r="Z522" i="1"/>
  <c r="Y522" i="1"/>
  <c r="X522" i="1"/>
  <c r="W522" i="1"/>
  <c r="T522" i="1"/>
  <c r="AC521" i="1"/>
  <c r="AB521" i="1"/>
  <c r="AA521" i="1"/>
  <c r="Z521" i="1"/>
  <c r="Y521" i="1"/>
  <c r="X521" i="1"/>
  <c r="W521" i="1"/>
  <c r="T521" i="1"/>
  <c r="AC520" i="1"/>
  <c r="AB520" i="1"/>
  <c r="AA520" i="1"/>
  <c r="Z520" i="1"/>
  <c r="Y520" i="1"/>
  <c r="X520" i="1"/>
  <c r="W520" i="1"/>
  <c r="T520" i="1"/>
  <c r="AC519" i="1"/>
  <c r="AB519" i="1"/>
  <c r="AA519" i="1"/>
  <c r="Z519" i="1"/>
  <c r="Y519" i="1"/>
  <c r="X519" i="1"/>
  <c r="W519" i="1"/>
  <c r="T519" i="1"/>
  <c r="AC518" i="1"/>
  <c r="AB518" i="1"/>
  <c r="AA518" i="1"/>
  <c r="Z518" i="1"/>
  <c r="Y518" i="1"/>
  <c r="X518" i="1"/>
  <c r="W518" i="1"/>
  <c r="T518" i="1"/>
  <c r="AC517" i="1"/>
  <c r="AB517" i="1"/>
  <c r="AA517" i="1"/>
  <c r="Z517" i="1"/>
  <c r="Y517" i="1"/>
  <c r="X517" i="1"/>
  <c r="W517" i="1"/>
  <c r="T517" i="1"/>
  <c r="AC516" i="1"/>
  <c r="AB516" i="1"/>
  <c r="AA516" i="1"/>
  <c r="Z516" i="1"/>
  <c r="Y516" i="1"/>
  <c r="X516" i="1"/>
  <c r="W516" i="1"/>
  <c r="T516" i="1"/>
  <c r="AC515" i="1"/>
  <c r="AB515" i="1"/>
  <c r="AA515" i="1"/>
  <c r="Z515" i="1"/>
  <c r="Y515" i="1"/>
  <c r="X515" i="1"/>
  <c r="W515" i="1"/>
  <c r="T515" i="1"/>
  <c r="AC514" i="1"/>
  <c r="AB514" i="1"/>
  <c r="AA514" i="1"/>
  <c r="Z514" i="1"/>
  <c r="Y514" i="1"/>
  <c r="X514" i="1"/>
  <c r="W514" i="1"/>
  <c r="T514" i="1"/>
  <c r="AC513" i="1"/>
  <c r="AB513" i="1"/>
  <c r="AA513" i="1"/>
  <c r="Z513" i="1"/>
  <c r="Y513" i="1"/>
  <c r="X513" i="1"/>
  <c r="W513" i="1"/>
  <c r="T513" i="1"/>
  <c r="AC512" i="1"/>
  <c r="AB512" i="1"/>
  <c r="AA512" i="1"/>
  <c r="Z512" i="1"/>
  <c r="Y512" i="1"/>
  <c r="X512" i="1"/>
  <c r="W512" i="1"/>
  <c r="T512" i="1"/>
  <c r="AC511" i="1"/>
  <c r="AB511" i="1"/>
  <c r="AA511" i="1"/>
  <c r="Z511" i="1"/>
  <c r="Y511" i="1"/>
  <c r="X511" i="1"/>
  <c r="W511" i="1"/>
  <c r="T511" i="1"/>
  <c r="AC510" i="1"/>
  <c r="AB510" i="1"/>
  <c r="AA510" i="1"/>
  <c r="Z510" i="1"/>
  <c r="Y510" i="1"/>
  <c r="X510" i="1"/>
  <c r="W510" i="1"/>
  <c r="T510" i="1"/>
  <c r="AC509" i="1"/>
  <c r="AB509" i="1"/>
  <c r="AA509" i="1"/>
  <c r="Z509" i="1"/>
  <c r="Y509" i="1"/>
  <c r="X509" i="1"/>
  <c r="W509" i="1"/>
  <c r="T509" i="1"/>
  <c r="AC508" i="1"/>
  <c r="AB508" i="1"/>
  <c r="AA508" i="1"/>
  <c r="Z508" i="1"/>
  <c r="Y508" i="1"/>
  <c r="X508" i="1"/>
  <c r="W508" i="1"/>
  <c r="T508" i="1"/>
  <c r="AC507" i="1"/>
  <c r="AB507" i="1"/>
  <c r="AA507" i="1"/>
  <c r="Z507" i="1"/>
  <c r="Y507" i="1"/>
  <c r="X507" i="1"/>
  <c r="W507" i="1"/>
  <c r="T507" i="1"/>
  <c r="AC506" i="1"/>
  <c r="AB506" i="1"/>
  <c r="AA506" i="1"/>
  <c r="Z506" i="1"/>
  <c r="Y506" i="1"/>
  <c r="X506" i="1"/>
  <c r="W506" i="1"/>
  <c r="T506" i="1"/>
  <c r="AC505" i="1"/>
  <c r="AB505" i="1"/>
  <c r="AA505" i="1"/>
  <c r="Z505" i="1"/>
  <c r="Y505" i="1"/>
  <c r="X505" i="1"/>
  <c r="W505" i="1"/>
  <c r="T505" i="1"/>
  <c r="AC504" i="1"/>
  <c r="AB504" i="1"/>
  <c r="AA504" i="1"/>
  <c r="Z504" i="1"/>
  <c r="Y504" i="1"/>
  <c r="X504" i="1"/>
  <c r="W504" i="1"/>
  <c r="T504" i="1"/>
  <c r="AC503" i="1"/>
  <c r="AB503" i="1"/>
  <c r="AA503" i="1"/>
  <c r="Z503" i="1"/>
  <c r="Y503" i="1"/>
  <c r="X503" i="1"/>
  <c r="W503" i="1"/>
  <c r="T503" i="1"/>
  <c r="AC502" i="1"/>
  <c r="AB502" i="1"/>
  <c r="AA502" i="1"/>
  <c r="Z502" i="1"/>
  <c r="Y502" i="1"/>
  <c r="X502" i="1"/>
  <c r="W502" i="1"/>
  <c r="T502" i="1"/>
  <c r="AC501" i="1"/>
  <c r="AB501" i="1"/>
  <c r="AA501" i="1"/>
  <c r="Z501" i="1"/>
  <c r="Y501" i="1"/>
  <c r="X501" i="1"/>
  <c r="W501" i="1"/>
  <c r="T501" i="1"/>
  <c r="AC500" i="1"/>
  <c r="AB500" i="1"/>
  <c r="AA500" i="1"/>
  <c r="Z500" i="1"/>
  <c r="Y500" i="1"/>
  <c r="X500" i="1"/>
  <c r="W500" i="1"/>
  <c r="T500" i="1"/>
  <c r="AC499" i="1"/>
  <c r="AB499" i="1"/>
  <c r="AA499" i="1"/>
  <c r="Z499" i="1"/>
  <c r="Y499" i="1"/>
  <c r="X499" i="1"/>
  <c r="W499" i="1"/>
  <c r="T499" i="1"/>
  <c r="AC498" i="1"/>
  <c r="AB498" i="1"/>
  <c r="AA498" i="1"/>
  <c r="Z498" i="1"/>
  <c r="Y498" i="1"/>
  <c r="X498" i="1"/>
  <c r="W498" i="1"/>
  <c r="T498" i="1"/>
  <c r="AC497" i="1"/>
  <c r="AB497" i="1"/>
  <c r="AA497" i="1"/>
  <c r="Z497" i="1"/>
  <c r="Y497" i="1"/>
  <c r="X497" i="1"/>
  <c r="W497" i="1"/>
  <c r="T497" i="1"/>
  <c r="AC496" i="1"/>
  <c r="AB496" i="1"/>
  <c r="AA496" i="1"/>
  <c r="Z496" i="1"/>
  <c r="Y496" i="1"/>
  <c r="X496" i="1"/>
  <c r="W496" i="1"/>
  <c r="T496" i="1"/>
  <c r="AC495" i="1"/>
  <c r="AB495" i="1"/>
  <c r="AA495" i="1"/>
  <c r="Z495" i="1"/>
  <c r="Y495" i="1"/>
  <c r="X495" i="1"/>
  <c r="W495" i="1"/>
  <c r="T495" i="1"/>
  <c r="AC494" i="1"/>
  <c r="AB494" i="1"/>
  <c r="AA494" i="1"/>
  <c r="Z494" i="1"/>
  <c r="Y494" i="1"/>
  <c r="X494" i="1"/>
  <c r="W494" i="1"/>
  <c r="T494" i="1"/>
  <c r="AC493" i="1"/>
  <c r="AB493" i="1"/>
  <c r="AA493" i="1"/>
  <c r="Z493" i="1"/>
  <c r="Y493" i="1"/>
  <c r="X493" i="1"/>
  <c r="W493" i="1"/>
  <c r="T493" i="1"/>
  <c r="AC492" i="1"/>
  <c r="AB492" i="1"/>
  <c r="AA492" i="1"/>
  <c r="Z492" i="1"/>
  <c r="Y492" i="1"/>
  <c r="X492" i="1"/>
  <c r="W492" i="1"/>
  <c r="T492" i="1"/>
  <c r="AC491" i="1"/>
  <c r="AB491" i="1"/>
  <c r="AA491" i="1"/>
  <c r="Z491" i="1"/>
  <c r="Y491" i="1"/>
  <c r="X491" i="1"/>
  <c r="W491" i="1"/>
  <c r="T491" i="1"/>
  <c r="AC490" i="1"/>
  <c r="AB490" i="1"/>
  <c r="AA490" i="1"/>
  <c r="Z490" i="1"/>
  <c r="Y490" i="1"/>
  <c r="X490" i="1"/>
  <c r="W490" i="1"/>
  <c r="T490" i="1"/>
  <c r="AC489" i="1"/>
  <c r="AB489" i="1"/>
  <c r="AA489" i="1"/>
  <c r="Z489" i="1"/>
  <c r="Y489" i="1"/>
  <c r="X489" i="1"/>
  <c r="W489" i="1"/>
  <c r="T489" i="1"/>
  <c r="AC488" i="1"/>
  <c r="AB488" i="1"/>
  <c r="AA488" i="1"/>
  <c r="Z488" i="1"/>
  <c r="Y488" i="1"/>
  <c r="X488" i="1"/>
  <c r="W488" i="1"/>
  <c r="T488" i="1"/>
  <c r="AC487" i="1"/>
  <c r="AB487" i="1"/>
  <c r="AA487" i="1"/>
  <c r="Z487" i="1"/>
  <c r="Y487" i="1"/>
  <c r="X487" i="1"/>
  <c r="W487" i="1"/>
  <c r="T487" i="1"/>
  <c r="AC486" i="1"/>
  <c r="AB486" i="1"/>
  <c r="AA486" i="1"/>
  <c r="Z486" i="1"/>
  <c r="Y486" i="1"/>
  <c r="X486" i="1"/>
  <c r="W486" i="1"/>
  <c r="T486" i="1"/>
  <c r="AC485" i="1"/>
  <c r="AB485" i="1"/>
  <c r="AA485" i="1"/>
  <c r="Z485" i="1"/>
  <c r="Y485" i="1"/>
  <c r="X485" i="1"/>
  <c r="W485" i="1"/>
  <c r="T485" i="1"/>
  <c r="AC484" i="1"/>
  <c r="AB484" i="1"/>
  <c r="AA484" i="1"/>
  <c r="Z484" i="1"/>
  <c r="Y484" i="1"/>
  <c r="X484" i="1"/>
  <c r="W484" i="1"/>
  <c r="T484" i="1"/>
  <c r="AC483" i="1"/>
  <c r="AB483" i="1"/>
  <c r="AA483" i="1"/>
  <c r="Z483" i="1"/>
  <c r="Y483" i="1"/>
  <c r="X483" i="1"/>
  <c r="W483" i="1"/>
  <c r="T483" i="1"/>
  <c r="AC482" i="1"/>
  <c r="AB482" i="1"/>
  <c r="AA482" i="1"/>
  <c r="Z482" i="1"/>
  <c r="Y482" i="1"/>
  <c r="X482" i="1"/>
  <c r="W482" i="1"/>
  <c r="T482" i="1"/>
  <c r="AC481" i="1"/>
  <c r="AB481" i="1"/>
  <c r="AA481" i="1"/>
  <c r="Z481" i="1"/>
  <c r="Y481" i="1"/>
  <c r="X481" i="1"/>
  <c r="W481" i="1"/>
  <c r="T481" i="1"/>
  <c r="AC480" i="1"/>
  <c r="AB480" i="1"/>
  <c r="AA480" i="1"/>
  <c r="Z480" i="1"/>
  <c r="Y480" i="1"/>
  <c r="X480" i="1"/>
  <c r="W480" i="1"/>
  <c r="T480" i="1"/>
  <c r="AC479" i="1"/>
  <c r="AB479" i="1"/>
  <c r="AA479" i="1"/>
  <c r="Z479" i="1"/>
  <c r="Y479" i="1"/>
  <c r="X479" i="1"/>
  <c r="W479" i="1"/>
  <c r="T479" i="1"/>
  <c r="AC478" i="1"/>
  <c r="AB478" i="1"/>
  <c r="AA478" i="1"/>
  <c r="Z478" i="1"/>
  <c r="Y478" i="1"/>
  <c r="X478" i="1"/>
  <c r="W478" i="1"/>
  <c r="T478" i="1"/>
  <c r="AC477" i="1"/>
  <c r="AB477" i="1"/>
  <c r="AA477" i="1"/>
  <c r="Z477" i="1"/>
  <c r="Y477" i="1"/>
  <c r="X477" i="1"/>
  <c r="W477" i="1"/>
  <c r="T477" i="1"/>
  <c r="AC476" i="1"/>
  <c r="AB476" i="1"/>
  <c r="AA476" i="1"/>
  <c r="Z476" i="1"/>
  <c r="Y476" i="1"/>
  <c r="X476" i="1"/>
  <c r="W476" i="1"/>
  <c r="T476" i="1"/>
  <c r="AC475" i="1"/>
  <c r="AB475" i="1"/>
  <c r="AA475" i="1"/>
  <c r="Z475" i="1"/>
  <c r="Y475" i="1"/>
  <c r="X475" i="1"/>
  <c r="W475" i="1"/>
  <c r="T475" i="1"/>
  <c r="AC474" i="1"/>
  <c r="AB474" i="1"/>
  <c r="AA474" i="1"/>
  <c r="Z474" i="1"/>
  <c r="Y474" i="1"/>
  <c r="X474" i="1"/>
  <c r="W474" i="1"/>
  <c r="T474" i="1"/>
  <c r="AC473" i="1"/>
  <c r="AB473" i="1"/>
  <c r="AA473" i="1"/>
  <c r="Z473" i="1"/>
  <c r="Y473" i="1"/>
  <c r="X473" i="1"/>
  <c r="W473" i="1"/>
  <c r="T473" i="1"/>
  <c r="AC472" i="1"/>
  <c r="AB472" i="1"/>
  <c r="AA472" i="1"/>
  <c r="Z472" i="1"/>
  <c r="Y472" i="1"/>
  <c r="X472" i="1"/>
  <c r="W472" i="1"/>
  <c r="T472" i="1"/>
  <c r="AC471" i="1"/>
  <c r="AB471" i="1"/>
  <c r="AA471" i="1"/>
  <c r="Z471" i="1"/>
  <c r="Y471" i="1"/>
  <c r="X471" i="1"/>
  <c r="W471" i="1"/>
  <c r="T471" i="1"/>
  <c r="AC470" i="1"/>
  <c r="AB470" i="1"/>
  <c r="AA470" i="1"/>
  <c r="Z470" i="1"/>
  <c r="Y470" i="1"/>
  <c r="X470" i="1"/>
  <c r="W470" i="1"/>
  <c r="T470" i="1"/>
  <c r="AC469" i="1"/>
  <c r="AB469" i="1"/>
  <c r="AA469" i="1"/>
  <c r="Z469" i="1"/>
  <c r="Y469" i="1"/>
  <c r="X469" i="1"/>
  <c r="W469" i="1"/>
  <c r="T469" i="1"/>
  <c r="AC468" i="1"/>
  <c r="AB468" i="1"/>
  <c r="AA468" i="1"/>
  <c r="Z468" i="1"/>
  <c r="Y468" i="1"/>
  <c r="X468" i="1"/>
  <c r="W468" i="1"/>
  <c r="T468" i="1"/>
  <c r="AC467" i="1"/>
  <c r="AB467" i="1"/>
  <c r="AA467" i="1"/>
  <c r="Z467" i="1"/>
  <c r="Y467" i="1"/>
  <c r="X467" i="1"/>
  <c r="W467" i="1"/>
  <c r="T467" i="1"/>
  <c r="AC466" i="1"/>
  <c r="AB466" i="1"/>
  <c r="AA466" i="1"/>
  <c r="Z466" i="1"/>
  <c r="Y466" i="1"/>
  <c r="X466" i="1"/>
  <c r="W466" i="1"/>
  <c r="T466" i="1"/>
  <c r="AC465" i="1"/>
  <c r="AB465" i="1"/>
  <c r="AA465" i="1"/>
  <c r="Z465" i="1"/>
  <c r="Y465" i="1"/>
  <c r="X465" i="1"/>
  <c r="W465" i="1"/>
  <c r="T465" i="1"/>
  <c r="AC464" i="1"/>
  <c r="AB464" i="1"/>
  <c r="AA464" i="1"/>
  <c r="Z464" i="1"/>
  <c r="Y464" i="1"/>
  <c r="X464" i="1"/>
  <c r="W464" i="1"/>
  <c r="T464" i="1"/>
  <c r="AC463" i="1"/>
  <c r="AB463" i="1"/>
  <c r="AA463" i="1"/>
  <c r="Z463" i="1"/>
  <c r="Y463" i="1"/>
  <c r="X463" i="1"/>
  <c r="W463" i="1"/>
  <c r="T463" i="1"/>
  <c r="AC462" i="1"/>
  <c r="AB462" i="1"/>
  <c r="AA462" i="1"/>
  <c r="Z462" i="1"/>
  <c r="Y462" i="1"/>
  <c r="X462" i="1"/>
  <c r="W462" i="1"/>
  <c r="T462" i="1"/>
  <c r="AC461" i="1"/>
  <c r="AB461" i="1"/>
  <c r="AA461" i="1"/>
  <c r="Z461" i="1"/>
  <c r="Y461" i="1"/>
  <c r="X461" i="1"/>
  <c r="W461" i="1"/>
  <c r="T461" i="1"/>
  <c r="AC460" i="1"/>
  <c r="AB460" i="1"/>
  <c r="AA460" i="1"/>
  <c r="Z460" i="1"/>
  <c r="Y460" i="1"/>
  <c r="X460" i="1"/>
  <c r="W460" i="1"/>
  <c r="T460" i="1"/>
  <c r="AC459" i="1"/>
  <c r="AB459" i="1"/>
  <c r="AA459" i="1"/>
  <c r="Z459" i="1"/>
  <c r="Y459" i="1"/>
  <c r="X459" i="1"/>
  <c r="W459" i="1"/>
  <c r="T459" i="1"/>
  <c r="AC458" i="1"/>
  <c r="AB458" i="1"/>
  <c r="AA458" i="1"/>
  <c r="Z458" i="1"/>
  <c r="Y458" i="1"/>
  <c r="X458" i="1"/>
  <c r="W458" i="1"/>
  <c r="T458" i="1"/>
  <c r="AC457" i="1"/>
  <c r="AB457" i="1"/>
  <c r="AA457" i="1"/>
  <c r="Z457" i="1"/>
  <c r="Y457" i="1"/>
  <c r="X457" i="1"/>
  <c r="W457" i="1"/>
  <c r="T457" i="1"/>
  <c r="AC456" i="1"/>
  <c r="AB456" i="1"/>
  <c r="AA456" i="1"/>
  <c r="Z456" i="1"/>
  <c r="Y456" i="1"/>
  <c r="X456" i="1"/>
  <c r="W456" i="1"/>
  <c r="T456" i="1"/>
  <c r="AC455" i="1"/>
  <c r="AB455" i="1"/>
  <c r="AA455" i="1"/>
  <c r="Z455" i="1"/>
  <c r="Y455" i="1"/>
  <c r="X455" i="1"/>
  <c r="W455" i="1"/>
  <c r="T455" i="1"/>
  <c r="AC454" i="1"/>
  <c r="AB454" i="1"/>
  <c r="AA454" i="1"/>
  <c r="Z454" i="1"/>
  <c r="Y454" i="1"/>
  <c r="X454" i="1"/>
  <c r="W454" i="1"/>
  <c r="T454" i="1"/>
  <c r="AC453" i="1"/>
  <c r="AB453" i="1"/>
  <c r="AA453" i="1"/>
  <c r="Z453" i="1"/>
  <c r="Y453" i="1"/>
  <c r="X453" i="1"/>
  <c r="W453" i="1"/>
  <c r="T453" i="1"/>
  <c r="AC452" i="1"/>
  <c r="AB452" i="1"/>
  <c r="AA452" i="1"/>
  <c r="Z452" i="1"/>
  <c r="Y452" i="1"/>
  <c r="X452" i="1"/>
  <c r="W452" i="1"/>
  <c r="T452" i="1"/>
  <c r="AC451" i="1"/>
  <c r="AB451" i="1"/>
  <c r="AA451" i="1"/>
  <c r="Z451" i="1"/>
  <c r="Y451" i="1"/>
  <c r="X451" i="1"/>
  <c r="W451" i="1"/>
  <c r="T451" i="1"/>
  <c r="AC450" i="1"/>
  <c r="AB450" i="1"/>
  <c r="AA450" i="1"/>
  <c r="Z450" i="1"/>
  <c r="Y450" i="1"/>
  <c r="X450" i="1"/>
  <c r="W450" i="1"/>
  <c r="T450" i="1"/>
  <c r="AC449" i="1"/>
  <c r="AB449" i="1"/>
  <c r="AA449" i="1"/>
  <c r="Z449" i="1"/>
  <c r="Y449" i="1"/>
  <c r="X449" i="1"/>
  <c r="W449" i="1"/>
  <c r="T449" i="1"/>
  <c r="AC448" i="1"/>
  <c r="AB448" i="1"/>
  <c r="AA448" i="1"/>
  <c r="Z448" i="1"/>
  <c r="Y448" i="1"/>
  <c r="X448" i="1"/>
  <c r="W448" i="1"/>
  <c r="T448" i="1"/>
  <c r="AC447" i="1"/>
  <c r="AB447" i="1"/>
  <c r="AA447" i="1"/>
  <c r="Z447" i="1"/>
  <c r="Y447" i="1"/>
  <c r="X447" i="1"/>
  <c r="W447" i="1"/>
  <c r="T447" i="1"/>
  <c r="AC446" i="1"/>
  <c r="AB446" i="1"/>
  <c r="AA446" i="1"/>
  <c r="Z446" i="1"/>
  <c r="Y446" i="1"/>
  <c r="X446" i="1"/>
  <c r="W446" i="1"/>
  <c r="T446" i="1"/>
  <c r="AC445" i="1"/>
  <c r="AB445" i="1"/>
  <c r="AA445" i="1"/>
  <c r="Z445" i="1"/>
  <c r="Y445" i="1"/>
  <c r="X445" i="1"/>
  <c r="W445" i="1"/>
  <c r="T445" i="1"/>
  <c r="AC444" i="1"/>
  <c r="AB444" i="1"/>
  <c r="AA444" i="1"/>
  <c r="Z444" i="1"/>
  <c r="Y444" i="1"/>
  <c r="X444" i="1"/>
  <c r="W444" i="1"/>
  <c r="T444" i="1"/>
  <c r="AC443" i="1"/>
  <c r="AB443" i="1"/>
  <c r="AA443" i="1"/>
  <c r="Z443" i="1"/>
  <c r="Y443" i="1"/>
  <c r="X443" i="1"/>
  <c r="W443" i="1"/>
  <c r="T443" i="1"/>
  <c r="AC442" i="1"/>
  <c r="AB442" i="1"/>
  <c r="AA442" i="1"/>
  <c r="Z442" i="1"/>
  <c r="Y442" i="1"/>
  <c r="X442" i="1"/>
  <c r="W442" i="1"/>
  <c r="T442" i="1"/>
  <c r="AC441" i="1"/>
  <c r="AB441" i="1"/>
  <c r="AA441" i="1"/>
  <c r="Z441" i="1"/>
  <c r="Y441" i="1"/>
  <c r="X441" i="1"/>
  <c r="W441" i="1"/>
  <c r="T441" i="1"/>
  <c r="AC440" i="1"/>
  <c r="AB440" i="1"/>
  <c r="AA440" i="1"/>
  <c r="Z440" i="1"/>
  <c r="Y440" i="1"/>
  <c r="X440" i="1"/>
  <c r="W440" i="1"/>
  <c r="T440" i="1"/>
  <c r="AC439" i="1"/>
  <c r="AB439" i="1"/>
  <c r="AA439" i="1"/>
  <c r="Z439" i="1"/>
  <c r="Y439" i="1"/>
  <c r="X439" i="1"/>
  <c r="W439" i="1"/>
  <c r="T439" i="1"/>
  <c r="AC438" i="1"/>
  <c r="AB438" i="1"/>
  <c r="AA438" i="1"/>
  <c r="Z438" i="1"/>
  <c r="Y438" i="1"/>
  <c r="X438" i="1"/>
  <c r="W438" i="1"/>
  <c r="T438" i="1"/>
  <c r="AC437" i="1"/>
  <c r="AB437" i="1"/>
  <c r="AA437" i="1"/>
  <c r="Z437" i="1"/>
  <c r="Y437" i="1"/>
  <c r="X437" i="1"/>
  <c r="W437" i="1"/>
  <c r="T437" i="1"/>
  <c r="AC436" i="1"/>
  <c r="AB436" i="1"/>
  <c r="AA436" i="1"/>
  <c r="Z436" i="1"/>
  <c r="Y436" i="1"/>
  <c r="X436" i="1"/>
  <c r="W436" i="1"/>
  <c r="T436" i="1"/>
  <c r="AC435" i="1"/>
  <c r="AB435" i="1"/>
  <c r="AA435" i="1"/>
  <c r="Z435" i="1"/>
  <c r="Y435" i="1"/>
  <c r="X435" i="1"/>
  <c r="W435" i="1"/>
  <c r="T435" i="1"/>
  <c r="AC434" i="1"/>
  <c r="AB434" i="1"/>
  <c r="AA434" i="1"/>
  <c r="Z434" i="1"/>
  <c r="Y434" i="1"/>
  <c r="X434" i="1"/>
  <c r="W434" i="1"/>
  <c r="T434" i="1"/>
  <c r="AC433" i="1"/>
  <c r="AB433" i="1"/>
  <c r="AA433" i="1"/>
  <c r="Z433" i="1"/>
  <c r="Y433" i="1"/>
  <c r="X433" i="1"/>
  <c r="W433" i="1"/>
  <c r="T433" i="1"/>
  <c r="AC432" i="1"/>
  <c r="AB432" i="1"/>
  <c r="AA432" i="1"/>
  <c r="Z432" i="1"/>
  <c r="Y432" i="1"/>
  <c r="X432" i="1"/>
  <c r="W432" i="1"/>
  <c r="T432" i="1"/>
  <c r="AC431" i="1"/>
  <c r="AB431" i="1"/>
  <c r="AA431" i="1"/>
  <c r="Z431" i="1"/>
  <c r="Y431" i="1"/>
  <c r="X431" i="1"/>
  <c r="W431" i="1"/>
  <c r="T431" i="1"/>
  <c r="AC430" i="1"/>
  <c r="AB430" i="1"/>
  <c r="AA430" i="1"/>
  <c r="Z430" i="1"/>
  <c r="Y430" i="1"/>
  <c r="X430" i="1"/>
  <c r="W430" i="1"/>
  <c r="T430" i="1"/>
  <c r="AC429" i="1"/>
  <c r="AB429" i="1"/>
  <c r="AA429" i="1"/>
  <c r="Z429" i="1"/>
  <c r="Y429" i="1"/>
  <c r="X429" i="1"/>
  <c r="W429" i="1"/>
  <c r="T429" i="1"/>
  <c r="AC428" i="1"/>
  <c r="AB428" i="1"/>
  <c r="AA428" i="1"/>
  <c r="Z428" i="1"/>
  <c r="Y428" i="1"/>
  <c r="X428" i="1"/>
  <c r="W428" i="1"/>
  <c r="T428" i="1"/>
  <c r="AC427" i="1"/>
  <c r="AB427" i="1"/>
  <c r="AA427" i="1"/>
  <c r="Z427" i="1"/>
  <c r="Y427" i="1"/>
  <c r="X427" i="1"/>
  <c r="W427" i="1"/>
  <c r="T427" i="1"/>
  <c r="AC426" i="1"/>
  <c r="AB426" i="1"/>
  <c r="AA426" i="1"/>
  <c r="Z426" i="1"/>
  <c r="Y426" i="1"/>
  <c r="X426" i="1"/>
  <c r="W426" i="1"/>
  <c r="T426" i="1"/>
  <c r="AC425" i="1"/>
  <c r="AB425" i="1"/>
  <c r="AA425" i="1"/>
  <c r="Z425" i="1"/>
  <c r="Y425" i="1"/>
  <c r="X425" i="1"/>
  <c r="W425" i="1"/>
  <c r="T425" i="1"/>
  <c r="AC424" i="1"/>
  <c r="AB424" i="1"/>
  <c r="AA424" i="1"/>
  <c r="Z424" i="1"/>
  <c r="Y424" i="1"/>
  <c r="X424" i="1"/>
  <c r="W424" i="1"/>
  <c r="T424" i="1"/>
  <c r="AC423" i="1"/>
  <c r="AB423" i="1"/>
  <c r="AA423" i="1"/>
  <c r="Z423" i="1"/>
  <c r="Y423" i="1"/>
  <c r="X423" i="1"/>
  <c r="W423" i="1"/>
  <c r="T423" i="1"/>
  <c r="AC422" i="1"/>
  <c r="AB422" i="1"/>
  <c r="AA422" i="1"/>
  <c r="Z422" i="1"/>
  <c r="Y422" i="1"/>
  <c r="X422" i="1"/>
  <c r="W422" i="1"/>
  <c r="T422" i="1"/>
  <c r="AC421" i="1"/>
  <c r="AB421" i="1"/>
  <c r="AA421" i="1"/>
  <c r="Z421" i="1"/>
  <c r="Y421" i="1"/>
  <c r="X421" i="1"/>
  <c r="W421" i="1"/>
  <c r="T421" i="1"/>
  <c r="AC420" i="1"/>
  <c r="AB420" i="1"/>
  <c r="AA420" i="1"/>
  <c r="Z420" i="1"/>
  <c r="Y420" i="1"/>
  <c r="X420" i="1"/>
  <c r="W420" i="1"/>
  <c r="T420" i="1"/>
  <c r="AC419" i="1"/>
  <c r="AB419" i="1"/>
  <c r="AA419" i="1"/>
  <c r="Z419" i="1"/>
  <c r="Y419" i="1"/>
  <c r="X419" i="1"/>
  <c r="W419" i="1"/>
  <c r="T419" i="1"/>
  <c r="AC418" i="1"/>
  <c r="AB418" i="1"/>
  <c r="AA418" i="1"/>
  <c r="Z418" i="1"/>
  <c r="Y418" i="1"/>
  <c r="X418" i="1"/>
  <c r="W418" i="1"/>
  <c r="T418" i="1"/>
  <c r="AC417" i="1"/>
  <c r="AB417" i="1"/>
  <c r="AA417" i="1"/>
  <c r="Z417" i="1"/>
  <c r="Y417" i="1"/>
  <c r="X417" i="1"/>
  <c r="W417" i="1"/>
  <c r="T417" i="1"/>
  <c r="AC416" i="1"/>
  <c r="AB416" i="1"/>
  <c r="AA416" i="1"/>
  <c r="Z416" i="1"/>
  <c r="Y416" i="1"/>
  <c r="X416" i="1"/>
  <c r="W416" i="1"/>
  <c r="T416" i="1"/>
  <c r="AC415" i="1"/>
  <c r="AB415" i="1"/>
  <c r="AA415" i="1"/>
  <c r="Z415" i="1"/>
  <c r="Y415" i="1"/>
  <c r="X415" i="1"/>
  <c r="W415" i="1"/>
  <c r="T415" i="1"/>
  <c r="AC414" i="1"/>
  <c r="AB414" i="1"/>
  <c r="AA414" i="1"/>
  <c r="Z414" i="1"/>
  <c r="Y414" i="1"/>
  <c r="X414" i="1"/>
  <c r="W414" i="1"/>
  <c r="T414" i="1"/>
  <c r="AC413" i="1"/>
  <c r="AB413" i="1"/>
  <c r="AA413" i="1"/>
  <c r="Z413" i="1"/>
  <c r="Y413" i="1"/>
  <c r="X413" i="1"/>
  <c r="W413" i="1"/>
  <c r="T413" i="1"/>
  <c r="AC412" i="1"/>
  <c r="AB412" i="1"/>
  <c r="AA412" i="1"/>
  <c r="Z412" i="1"/>
  <c r="Y412" i="1"/>
  <c r="X412" i="1"/>
  <c r="W412" i="1"/>
  <c r="T412" i="1"/>
  <c r="AC411" i="1"/>
  <c r="AB411" i="1"/>
  <c r="AA411" i="1"/>
  <c r="Z411" i="1"/>
  <c r="Y411" i="1"/>
  <c r="X411" i="1"/>
  <c r="W411" i="1"/>
  <c r="T411" i="1"/>
  <c r="AC410" i="1"/>
  <c r="AB410" i="1"/>
  <c r="AA410" i="1"/>
  <c r="Z410" i="1"/>
  <c r="Y410" i="1"/>
  <c r="X410" i="1"/>
  <c r="W410" i="1"/>
  <c r="T410" i="1"/>
  <c r="AC409" i="1"/>
  <c r="AB409" i="1"/>
  <c r="AA409" i="1"/>
  <c r="Z409" i="1"/>
  <c r="Y409" i="1"/>
  <c r="X409" i="1"/>
  <c r="W409" i="1"/>
  <c r="T409" i="1"/>
  <c r="AC408" i="1"/>
  <c r="AB408" i="1"/>
  <c r="AA408" i="1"/>
  <c r="Z408" i="1"/>
  <c r="Y408" i="1"/>
  <c r="X408" i="1"/>
  <c r="W408" i="1"/>
  <c r="T408" i="1"/>
  <c r="AC407" i="1"/>
  <c r="AB407" i="1"/>
  <c r="AA407" i="1"/>
  <c r="Z407" i="1"/>
  <c r="Y407" i="1"/>
  <c r="X407" i="1"/>
  <c r="W407" i="1"/>
  <c r="T407" i="1"/>
  <c r="AC406" i="1"/>
  <c r="AB406" i="1"/>
  <c r="AA406" i="1"/>
  <c r="Z406" i="1"/>
  <c r="Y406" i="1"/>
  <c r="X406" i="1"/>
  <c r="W406" i="1"/>
  <c r="T406" i="1"/>
  <c r="AC405" i="1"/>
  <c r="AB405" i="1"/>
  <c r="AA405" i="1"/>
  <c r="Z405" i="1"/>
  <c r="Y405" i="1"/>
  <c r="X405" i="1"/>
  <c r="W405" i="1"/>
  <c r="T405" i="1"/>
  <c r="AC404" i="1"/>
  <c r="AB404" i="1"/>
  <c r="AA404" i="1"/>
  <c r="Z404" i="1"/>
  <c r="Y404" i="1"/>
  <c r="X404" i="1"/>
  <c r="W404" i="1"/>
  <c r="T404" i="1"/>
  <c r="AC403" i="1"/>
  <c r="AB403" i="1"/>
  <c r="AA403" i="1"/>
  <c r="Z403" i="1"/>
  <c r="Y403" i="1"/>
  <c r="X403" i="1"/>
  <c r="W403" i="1"/>
  <c r="T403" i="1"/>
  <c r="AC402" i="1"/>
  <c r="AB402" i="1"/>
  <c r="AA402" i="1"/>
  <c r="Z402" i="1"/>
  <c r="Y402" i="1"/>
  <c r="X402" i="1"/>
  <c r="W402" i="1"/>
  <c r="T402" i="1"/>
  <c r="AC401" i="1"/>
  <c r="AB401" i="1"/>
  <c r="AA401" i="1"/>
  <c r="Z401" i="1"/>
  <c r="Y401" i="1"/>
  <c r="X401" i="1"/>
  <c r="W401" i="1"/>
  <c r="T401" i="1"/>
  <c r="AC400" i="1"/>
  <c r="AB400" i="1"/>
  <c r="AA400" i="1"/>
  <c r="Z400" i="1"/>
  <c r="Y400" i="1"/>
  <c r="X400" i="1"/>
  <c r="W400" i="1"/>
  <c r="T400" i="1"/>
  <c r="AC399" i="1"/>
  <c r="AB399" i="1"/>
  <c r="AA399" i="1"/>
  <c r="Z399" i="1"/>
  <c r="Y399" i="1"/>
  <c r="X399" i="1"/>
  <c r="W399" i="1"/>
  <c r="T399" i="1"/>
  <c r="AC398" i="1"/>
  <c r="AB398" i="1"/>
  <c r="AA398" i="1"/>
  <c r="Z398" i="1"/>
  <c r="Y398" i="1"/>
  <c r="X398" i="1"/>
  <c r="W398" i="1"/>
  <c r="T398" i="1"/>
  <c r="AC397" i="1"/>
  <c r="AB397" i="1"/>
  <c r="AA397" i="1"/>
  <c r="Z397" i="1"/>
  <c r="Y397" i="1"/>
  <c r="X397" i="1"/>
  <c r="W397" i="1"/>
  <c r="T397" i="1"/>
  <c r="AC396" i="1"/>
  <c r="AB396" i="1"/>
  <c r="AA396" i="1"/>
  <c r="Z396" i="1"/>
  <c r="Y396" i="1"/>
  <c r="X396" i="1"/>
  <c r="W396" i="1"/>
  <c r="T396" i="1"/>
  <c r="AC395" i="1"/>
  <c r="AB395" i="1"/>
  <c r="AA395" i="1"/>
  <c r="Z395" i="1"/>
  <c r="Y395" i="1"/>
  <c r="X395" i="1"/>
  <c r="W395" i="1"/>
  <c r="T395" i="1"/>
  <c r="AC394" i="1"/>
  <c r="AB394" i="1"/>
  <c r="AA394" i="1"/>
  <c r="Z394" i="1"/>
  <c r="Y394" i="1"/>
  <c r="X394" i="1"/>
  <c r="W394" i="1"/>
  <c r="T394" i="1"/>
  <c r="AC393" i="1"/>
  <c r="AB393" i="1"/>
  <c r="AA393" i="1"/>
  <c r="Z393" i="1"/>
  <c r="Y393" i="1"/>
  <c r="X393" i="1"/>
  <c r="W393" i="1"/>
  <c r="T393" i="1"/>
  <c r="AC392" i="1"/>
  <c r="AB392" i="1"/>
  <c r="AA392" i="1"/>
  <c r="Z392" i="1"/>
  <c r="Y392" i="1"/>
  <c r="X392" i="1"/>
  <c r="W392" i="1"/>
  <c r="T392" i="1"/>
  <c r="AC391" i="1"/>
  <c r="AB391" i="1"/>
  <c r="AA391" i="1"/>
  <c r="Z391" i="1"/>
  <c r="Y391" i="1"/>
  <c r="X391" i="1"/>
  <c r="W391" i="1"/>
  <c r="T391" i="1"/>
  <c r="AC390" i="1"/>
  <c r="AB390" i="1"/>
  <c r="AA390" i="1"/>
  <c r="Z390" i="1"/>
  <c r="Y390" i="1"/>
  <c r="X390" i="1"/>
  <c r="W390" i="1"/>
  <c r="T390" i="1"/>
  <c r="AC389" i="1"/>
  <c r="AB389" i="1"/>
  <c r="AA389" i="1"/>
  <c r="Z389" i="1"/>
  <c r="Y389" i="1"/>
  <c r="X389" i="1"/>
  <c r="W389" i="1"/>
  <c r="T389" i="1"/>
  <c r="AC388" i="1"/>
  <c r="AB388" i="1"/>
  <c r="AA388" i="1"/>
  <c r="Z388" i="1"/>
  <c r="Y388" i="1"/>
  <c r="X388" i="1"/>
  <c r="W388" i="1"/>
  <c r="T388" i="1"/>
  <c r="AC387" i="1"/>
  <c r="AB387" i="1"/>
  <c r="AA387" i="1"/>
  <c r="Z387" i="1"/>
  <c r="Y387" i="1"/>
  <c r="X387" i="1"/>
  <c r="W387" i="1"/>
  <c r="T387" i="1"/>
  <c r="AC386" i="1"/>
  <c r="AB386" i="1"/>
  <c r="AA386" i="1"/>
  <c r="Z386" i="1"/>
  <c r="Y386" i="1"/>
  <c r="X386" i="1"/>
  <c r="W386" i="1"/>
  <c r="T386" i="1"/>
  <c r="AC385" i="1"/>
  <c r="AB385" i="1"/>
  <c r="AA385" i="1"/>
  <c r="Z385" i="1"/>
  <c r="Y385" i="1"/>
  <c r="X385" i="1"/>
  <c r="W385" i="1"/>
  <c r="T385" i="1"/>
  <c r="AC384" i="1"/>
  <c r="AB384" i="1"/>
  <c r="AA384" i="1"/>
  <c r="Z384" i="1"/>
  <c r="Y384" i="1"/>
  <c r="X384" i="1"/>
  <c r="W384" i="1"/>
  <c r="T384" i="1"/>
  <c r="AC383" i="1"/>
  <c r="AB383" i="1"/>
  <c r="AA383" i="1"/>
  <c r="Z383" i="1"/>
  <c r="Y383" i="1"/>
  <c r="X383" i="1"/>
  <c r="W383" i="1"/>
  <c r="T383" i="1"/>
  <c r="AC382" i="1"/>
  <c r="AB382" i="1"/>
  <c r="AA382" i="1"/>
  <c r="Z382" i="1"/>
  <c r="Y382" i="1"/>
  <c r="X382" i="1"/>
  <c r="W382" i="1"/>
  <c r="T382" i="1"/>
  <c r="AC381" i="1"/>
  <c r="AB381" i="1"/>
  <c r="AA381" i="1"/>
  <c r="Z381" i="1"/>
  <c r="Y381" i="1"/>
  <c r="X381" i="1"/>
  <c r="W381" i="1"/>
  <c r="T381" i="1"/>
  <c r="AC380" i="1"/>
  <c r="AB380" i="1"/>
  <c r="AA380" i="1"/>
  <c r="Z380" i="1"/>
  <c r="Y380" i="1"/>
  <c r="X380" i="1"/>
  <c r="W380" i="1"/>
  <c r="T380" i="1"/>
  <c r="AC379" i="1"/>
  <c r="AB379" i="1"/>
  <c r="AA379" i="1"/>
  <c r="Z379" i="1"/>
  <c r="Y379" i="1"/>
  <c r="X379" i="1"/>
  <c r="W379" i="1"/>
  <c r="T379" i="1"/>
  <c r="AC378" i="1"/>
  <c r="AB378" i="1"/>
  <c r="AA378" i="1"/>
  <c r="Z378" i="1"/>
  <c r="Y378" i="1"/>
  <c r="X378" i="1"/>
  <c r="W378" i="1"/>
  <c r="T378" i="1"/>
  <c r="AC377" i="1"/>
  <c r="AB377" i="1"/>
  <c r="AA377" i="1"/>
  <c r="Z377" i="1"/>
  <c r="Y377" i="1"/>
  <c r="X377" i="1"/>
  <c r="W377" i="1"/>
  <c r="T377" i="1"/>
  <c r="AC376" i="1"/>
  <c r="AB376" i="1"/>
  <c r="AA376" i="1"/>
  <c r="Z376" i="1"/>
  <c r="Y376" i="1"/>
  <c r="X376" i="1"/>
  <c r="W376" i="1"/>
  <c r="T376" i="1"/>
  <c r="AC375" i="1"/>
  <c r="AB375" i="1"/>
  <c r="AA375" i="1"/>
  <c r="Z375" i="1"/>
  <c r="Y375" i="1"/>
  <c r="X375" i="1"/>
  <c r="W375" i="1"/>
  <c r="T375" i="1"/>
  <c r="AC374" i="1"/>
  <c r="AB374" i="1"/>
  <c r="AA374" i="1"/>
  <c r="Z374" i="1"/>
  <c r="Y374" i="1"/>
  <c r="X374" i="1"/>
  <c r="W374" i="1"/>
  <c r="T374" i="1"/>
  <c r="AC373" i="1"/>
  <c r="AB373" i="1"/>
  <c r="AA373" i="1"/>
  <c r="Z373" i="1"/>
  <c r="Y373" i="1"/>
  <c r="X373" i="1"/>
  <c r="W373" i="1"/>
  <c r="T373" i="1"/>
  <c r="AC372" i="1"/>
  <c r="AB372" i="1"/>
  <c r="AA372" i="1"/>
  <c r="Z372" i="1"/>
  <c r="Y372" i="1"/>
  <c r="X372" i="1"/>
  <c r="W372" i="1"/>
  <c r="T372" i="1"/>
  <c r="AC371" i="1"/>
  <c r="AB371" i="1"/>
  <c r="AA371" i="1"/>
  <c r="Z371" i="1"/>
  <c r="Y371" i="1"/>
  <c r="X371" i="1"/>
  <c r="W371" i="1"/>
  <c r="T371" i="1"/>
  <c r="AC370" i="1"/>
  <c r="AB370" i="1"/>
  <c r="AA370" i="1"/>
  <c r="Z370" i="1"/>
  <c r="Y370" i="1"/>
  <c r="X370" i="1"/>
  <c r="W370" i="1"/>
  <c r="T370" i="1"/>
  <c r="AC369" i="1"/>
  <c r="AB369" i="1"/>
  <c r="AA369" i="1"/>
  <c r="Z369" i="1"/>
  <c r="Y369" i="1"/>
  <c r="X369" i="1"/>
  <c r="W369" i="1"/>
  <c r="T369" i="1"/>
  <c r="AC368" i="1"/>
  <c r="AB368" i="1"/>
  <c r="AA368" i="1"/>
  <c r="Z368" i="1"/>
  <c r="Y368" i="1"/>
  <c r="X368" i="1"/>
  <c r="W368" i="1"/>
  <c r="T368" i="1"/>
  <c r="AC367" i="1"/>
  <c r="AB367" i="1"/>
  <c r="AA367" i="1"/>
  <c r="Z367" i="1"/>
  <c r="Y367" i="1"/>
  <c r="X367" i="1"/>
  <c r="W367" i="1"/>
  <c r="T367" i="1"/>
  <c r="AC366" i="1"/>
  <c r="AB366" i="1"/>
  <c r="AA366" i="1"/>
  <c r="Z366" i="1"/>
  <c r="Y366" i="1"/>
  <c r="X366" i="1"/>
  <c r="W366" i="1"/>
  <c r="T366" i="1"/>
  <c r="AC365" i="1"/>
  <c r="AB365" i="1"/>
  <c r="AA365" i="1"/>
  <c r="Z365" i="1"/>
  <c r="Y365" i="1"/>
  <c r="X365" i="1"/>
  <c r="W365" i="1"/>
  <c r="T365" i="1"/>
  <c r="AC364" i="1"/>
  <c r="AB364" i="1"/>
  <c r="AA364" i="1"/>
  <c r="Z364" i="1"/>
  <c r="Y364" i="1"/>
  <c r="X364" i="1"/>
  <c r="W364" i="1"/>
  <c r="T364" i="1"/>
  <c r="AC363" i="1"/>
  <c r="AB363" i="1"/>
  <c r="AA363" i="1"/>
  <c r="Z363" i="1"/>
  <c r="Y363" i="1"/>
  <c r="X363" i="1"/>
  <c r="W363" i="1"/>
  <c r="T363" i="1"/>
  <c r="AC362" i="1"/>
  <c r="AB362" i="1"/>
  <c r="AA362" i="1"/>
  <c r="Z362" i="1"/>
  <c r="Y362" i="1"/>
  <c r="X362" i="1"/>
  <c r="W362" i="1"/>
  <c r="T362" i="1"/>
  <c r="AC361" i="1"/>
  <c r="AB361" i="1"/>
  <c r="AA361" i="1"/>
  <c r="Z361" i="1"/>
  <c r="Y361" i="1"/>
  <c r="X361" i="1"/>
  <c r="W361" i="1"/>
  <c r="T361" i="1"/>
  <c r="AC360" i="1"/>
  <c r="AB360" i="1"/>
  <c r="AA360" i="1"/>
  <c r="Z360" i="1"/>
  <c r="Y360" i="1"/>
  <c r="X360" i="1"/>
  <c r="W360" i="1"/>
  <c r="T360" i="1"/>
  <c r="AC359" i="1"/>
  <c r="AB359" i="1"/>
  <c r="AA359" i="1"/>
  <c r="Z359" i="1"/>
  <c r="Y359" i="1"/>
  <c r="X359" i="1"/>
  <c r="W359" i="1"/>
  <c r="T359" i="1"/>
  <c r="AC358" i="1"/>
  <c r="AB358" i="1"/>
  <c r="AA358" i="1"/>
  <c r="Z358" i="1"/>
  <c r="Y358" i="1"/>
  <c r="X358" i="1"/>
  <c r="W358" i="1"/>
  <c r="T358" i="1"/>
  <c r="AC357" i="1"/>
  <c r="AB357" i="1"/>
  <c r="AA357" i="1"/>
  <c r="Z357" i="1"/>
  <c r="Y357" i="1"/>
  <c r="X357" i="1"/>
  <c r="W357" i="1"/>
  <c r="T357" i="1"/>
  <c r="AC356" i="1"/>
  <c r="AB356" i="1"/>
  <c r="AA356" i="1"/>
  <c r="Z356" i="1"/>
  <c r="Y356" i="1"/>
  <c r="X356" i="1"/>
  <c r="W356" i="1"/>
  <c r="T356" i="1"/>
  <c r="AC355" i="1"/>
  <c r="AB355" i="1"/>
  <c r="AA355" i="1"/>
  <c r="Z355" i="1"/>
  <c r="Y355" i="1"/>
  <c r="X355" i="1"/>
  <c r="W355" i="1"/>
  <c r="T355" i="1"/>
  <c r="AC354" i="1"/>
  <c r="AB354" i="1"/>
  <c r="AA354" i="1"/>
  <c r="Z354" i="1"/>
  <c r="Y354" i="1"/>
  <c r="X354" i="1"/>
  <c r="W354" i="1"/>
  <c r="T354" i="1"/>
  <c r="AC353" i="1"/>
  <c r="AB353" i="1"/>
  <c r="AA353" i="1"/>
  <c r="Z353" i="1"/>
  <c r="Y353" i="1"/>
  <c r="X353" i="1"/>
  <c r="W353" i="1"/>
  <c r="T353" i="1"/>
  <c r="AC352" i="1"/>
  <c r="AB352" i="1"/>
  <c r="AA352" i="1"/>
  <c r="Z352" i="1"/>
  <c r="Y352" i="1"/>
  <c r="X352" i="1"/>
  <c r="W352" i="1"/>
  <c r="T352" i="1"/>
  <c r="AC351" i="1"/>
  <c r="AB351" i="1"/>
  <c r="AA351" i="1"/>
  <c r="Z351" i="1"/>
  <c r="Y351" i="1"/>
  <c r="X351" i="1"/>
  <c r="W351" i="1"/>
  <c r="T351" i="1"/>
  <c r="AC350" i="1"/>
  <c r="AB350" i="1"/>
  <c r="AA350" i="1"/>
  <c r="Z350" i="1"/>
  <c r="Y350" i="1"/>
  <c r="X350" i="1"/>
  <c r="W350" i="1"/>
  <c r="T350" i="1"/>
  <c r="AC349" i="1"/>
  <c r="AB349" i="1"/>
  <c r="AA349" i="1"/>
  <c r="Z349" i="1"/>
  <c r="Y349" i="1"/>
  <c r="X349" i="1"/>
  <c r="W349" i="1"/>
  <c r="T349" i="1"/>
  <c r="AC348" i="1"/>
  <c r="AB348" i="1"/>
  <c r="AA348" i="1"/>
  <c r="Z348" i="1"/>
  <c r="Y348" i="1"/>
  <c r="X348" i="1"/>
  <c r="W348" i="1"/>
  <c r="T348" i="1"/>
  <c r="AC347" i="1"/>
  <c r="AB347" i="1"/>
  <c r="AA347" i="1"/>
  <c r="Z347" i="1"/>
  <c r="Y347" i="1"/>
  <c r="X347" i="1"/>
  <c r="W347" i="1"/>
  <c r="T347" i="1"/>
  <c r="AC346" i="1"/>
  <c r="AB346" i="1"/>
  <c r="AA346" i="1"/>
  <c r="Z346" i="1"/>
  <c r="Y346" i="1"/>
  <c r="X346" i="1"/>
  <c r="W346" i="1"/>
  <c r="T346" i="1"/>
  <c r="AC345" i="1"/>
  <c r="AB345" i="1"/>
  <c r="AA345" i="1"/>
  <c r="Z345" i="1"/>
  <c r="Y345" i="1"/>
  <c r="X345" i="1"/>
  <c r="W345" i="1"/>
  <c r="T345" i="1"/>
  <c r="AC344" i="1"/>
  <c r="AB344" i="1"/>
  <c r="AA344" i="1"/>
  <c r="Z344" i="1"/>
  <c r="Y344" i="1"/>
  <c r="X344" i="1"/>
  <c r="W344" i="1"/>
  <c r="T344" i="1"/>
  <c r="AC343" i="1"/>
  <c r="AB343" i="1"/>
  <c r="AA343" i="1"/>
  <c r="Z343" i="1"/>
  <c r="Y343" i="1"/>
  <c r="X343" i="1"/>
  <c r="W343" i="1"/>
  <c r="T343" i="1"/>
  <c r="AC342" i="1"/>
  <c r="AB342" i="1"/>
  <c r="AA342" i="1"/>
  <c r="Z342" i="1"/>
  <c r="Y342" i="1"/>
  <c r="X342" i="1"/>
  <c r="W342" i="1"/>
  <c r="T342" i="1"/>
  <c r="AC341" i="1"/>
  <c r="AB341" i="1"/>
  <c r="AA341" i="1"/>
  <c r="Z341" i="1"/>
  <c r="Y341" i="1"/>
  <c r="X341" i="1"/>
  <c r="W341" i="1"/>
  <c r="T341" i="1"/>
  <c r="AC340" i="1"/>
  <c r="AB340" i="1"/>
  <c r="AA340" i="1"/>
  <c r="Z340" i="1"/>
  <c r="Y340" i="1"/>
  <c r="X340" i="1"/>
  <c r="W340" i="1"/>
  <c r="T340" i="1"/>
  <c r="AC339" i="1"/>
  <c r="AB339" i="1"/>
  <c r="AA339" i="1"/>
  <c r="Z339" i="1"/>
  <c r="Y339" i="1"/>
  <c r="X339" i="1"/>
  <c r="W339" i="1"/>
  <c r="T339" i="1"/>
  <c r="AC338" i="1"/>
  <c r="AB338" i="1"/>
  <c r="AA338" i="1"/>
  <c r="Z338" i="1"/>
  <c r="Y338" i="1"/>
  <c r="X338" i="1"/>
  <c r="W338" i="1"/>
  <c r="T338" i="1"/>
  <c r="AC337" i="1"/>
  <c r="AB337" i="1"/>
  <c r="AA337" i="1"/>
  <c r="Z337" i="1"/>
  <c r="Y337" i="1"/>
  <c r="X337" i="1"/>
  <c r="W337" i="1"/>
  <c r="T337" i="1"/>
  <c r="AC336" i="1"/>
  <c r="AB336" i="1"/>
  <c r="AA336" i="1"/>
  <c r="Z336" i="1"/>
  <c r="Y336" i="1"/>
  <c r="X336" i="1"/>
  <c r="W336" i="1"/>
  <c r="T336" i="1"/>
  <c r="AC335" i="1"/>
  <c r="AB335" i="1"/>
  <c r="AA335" i="1"/>
  <c r="Z335" i="1"/>
  <c r="Y335" i="1"/>
  <c r="X335" i="1"/>
  <c r="W335" i="1"/>
  <c r="T335" i="1"/>
  <c r="AC334" i="1"/>
  <c r="AB334" i="1"/>
  <c r="AA334" i="1"/>
  <c r="Z334" i="1"/>
  <c r="Y334" i="1"/>
  <c r="X334" i="1"/>
  <c r="W334" i="1"/>
  <c r="T334" i="1"/>
  <c r="AC333" i="1"/>
  <c r="AB333" i="1"/>
  <c r="AA333" i="1"/>
  <c r="Z333" i="1"/>
  <c r="Y333" i="1"/>
  <c r="X333" i="1"/>
  <c r="W333" i="1"/>
  <c r="T333" i="1"/>
  <c r="AC332" i="1"/>
  <c r="AB332" i="1"/>
  <c r="AA332" i="1"/>
  <c r="Z332" i="1"/>
  <c r="Y332" i="1"/>
  <c r="X332" i="1"/>
  <c r="W332" i="1"/>
  <c r="T332" i="1"/>
  <c r="AC331" i="1"/>
  <c r="AB331" i="1"/>
  <c r="AA331" i="1"/>
  <c r="Z331" i="1"/>
  <c r="Y331" i="1"/>
  <c r="X331" i="1"/>
  <c r="W331" i="1"/>
  <c r="T331" i="1"/>
  <c r="AC330" i="1"/>
  <c r="AB330" i="1"/>
  <c r="AA330" i="1"/>
  <c r="Z330" i="1"/>
  <c r="Y330" i="1"/>
  <c r="X330" i="1"/>
  <c r="W330" i="1"/>
  <c r="T330" i="1"/>
  <c r="AC329" i="1"/>
  <c r="AB329" i="1"/>
  <c r="AA329" i="1"/>
  <c r="Z329" i="1"/>
  <c r="Y329" i="1"/>
  <c r="X329" i="1"/>
  <c r="W329" i="1"/>
  <c r="T329" i="1"/>
  <c r="AC328" i="1"/>
  <c r="AB328" i="1"/>
  <c r="AA328" i="1"/>
  <c r="Z328" i="1"/>
  <c r="Y328" i="1"/>
  <c r="X328" i="1"/>
  <c r="W328" i="1"/>
  <c r="T328" i="1"/>
  <c r="AC327" i="1"/>
  <c r="AB327" i="1"/>
  <c r="AA327" i="1"/>
  <c r="Z327" i="1"/>
  <c r="Y327" i="1"/>
  <c r="X327" i="1"/>
  <c r="W327" i="1"/>
  <c r="T327" i="1"/>
  <c r="AC326" i="1"/>
  <c r="AB326" i="1"/>
  <c r="AA326" i="1"/>
  <c r="Z326" i="1"/>
  <c r="Y326" i="1"/>
  <c r="X326" i="1"/>
  <c r="W326" i="1"/>
  <c r="T326" i="1"/>
  <c r="AC325" i="1"/>
  <c r="AB325" i="1"/>
  <c r="AA325" i="1"/>
  <c r="Z325" i="1"/>
  <c r="Y325" i="1"/>
  <c r="X325" i="1"/>
  <c r="W325" i="1"/>
  <c r="T325" i="1"/>
  <c r="AC324" i="1"/>
  <c r="AB324" i="1"/>
  <c r="AA324" i="1"/>
  <c r="Z324" i="1"/>
  <c r="Y324" i="1"/>
  <c r="X324" i="1"/>
  <c r="W324" i="1"/>
  <c r="T324" i="1"/>
  <c r="AC323" i="1"/>
  <c r="AB323" i="1"/>
  <c r="AA323" i="1"/>
  <c r="Z323" i="1"/>
  <c r="Y323" i="1"/>
  <c r="X323" i="1"/>
  <c r="W323" i="1"/>
  <c r="T323" i="1"/>
  <c r="AC322" i="1"/>
  <c r="AB322" i="1"/>
  <c r="AA322" i="1"/>
  <c r="Z322" i="1"/>
  <c r="Y322" i="1"/>
  <c r="X322" i="1"/>
  <c r="W322" i="1"/>
  <c r="T322" i="1"/>
  <c r="AC321" i="1"/>
  <c r="AB321" i="1"/>
  <c r="AA321" i="1"/>
  <c r="Z321" i="1"/>
  <c r="Y321" i="1"/>
  <c r="X321" i="1"/>
  <c r="W321" i="1"/>
  <c r="T321" i="1"/>
  <c r="AC320" i="1"/>
  <c r="AB320" i="1"/>
  <c r="AA320" i="1"/>
  <c r="Z320" i="1"/>
  <c r="Y320" i="1"/>
  <c r="X320" i="1"/>
  <c r="W320" i="1"/>
  <c r="T320" i="1"/>
  <c r="AC319" i="1"/>
  <c r="AB319" i="1"/>
  <c r="AA319" i="1"/>
  <c r="Z319" i="1"/>
  <c r="Y319" i="1"/>
  <c r="X319" i="1"/>
  <c r="W319" i="1"/>
  <c r="T319" i="1"/>
  <c r="AC318" i="1"/>
  <c r="AB318" i="1"/>
  <c r="AA318" i="1"/>
  <c r="Z318" i="1"/>
  <c r="Y318" i="1"/>
  <c r="X318" i="1"/>
  <c r="W318" i="1"/>
  <c r="T318" i="1"/>
  <c r="AC317" i="1"/>
  <c r="AB317" i="1"/>
  <c r="AA317" i="1"/>
  <c r="Z317" i="1"/>
  <c r="Y317" i="1"/>
  <c r="X317" i="1"/>
  <c r="W317" i="1"/>
  <c r="T317" i="1"/>
  <c r="AC316" i="1"/>
  <c r="AB316" i="1"/>
  <c r="AA316" i="1"/>
  <c r="Z316" i="1"/>
  <c r="Y316" i="1"/>
  <c r="X316" i="1"/>
  <c r="W316" i="1"/>
  <c r="T316" i="1"/>
  <c r="AC315" i="1"/>
  <c r="AB315" i="1"/>
  <c r="AA315" i="1"/>
  <c r="Z315" i="1"/>
  <c r="Y315" i="1"/>
  <c r="X315" i="1"/>
  <c r="W315" i="1"/>
  <c r="T315" i="1"/>
  <c r="AC314" i="1"/>
  <c r="AB314" i="1"/>
  <c r="AA314" i="1"/>
  <c r="Z314" i="1"/>
  <c r="Y314" i="1"/>
  <c r="X314" i="1"/>
  <c r="W314" i="1"/>
  <c r="T314" i="1"/>
  <c r="AC313" i="1"/>
  <c r="AB313" i="1"/>
  <c r="AA313" i="1"/>
  <c r="Z313" i="1"/>
  <c r="Y313" i="1"/>
  <c r="X313" i="1"/>
  <c r="W313" i="1"/>
  <c r="T313" i="1"/>
  <c r="AC312" i="1"/>
  <c r="AB312" i="1"/>
  <c r="AA312" i="1"/>
  <c r="Z312" i="1"/>
  <c r="Y312" i="1"/>
  <c r="X312" i="1"/>
  <c r="W312" i="1"/>
  <c r="T312" i="1"/>
  <c r="AC311" i="1"/>
  <c r="AB311" i="1"/>
  <c r="AA311" i="1"/>
  <c r="Z311" i="1"/>
  <c r="Y311" i="1"/>
  <c r="X311" i="1"/>
  <c r="W311" i="1"/>
  <c r="T311" i="1"/>
  <c r="AC310" i="1"/>
  <c r="AB310" i="1"/>
  <c r="AA310" i="1"/>
  <c r="Z310" i="1"/>
  <c r="Y310" i="1"/>
  <c r="X310" i="1"/>
  <c r="W310" i="1"/>
  <c r="T310" i="1"/>
  <c r="AC309" i="1"/>
  <c r="AB309" i="1"/>
  <c r="AA309" i="1"/>
  <c r="Z309" i="1"/>
  <c r="Y309" i="1"/>
  <c r="X309" i="1"/>
  <c r="W309" i="1"/>
  <c r="T309" i="1"/>
  <c r="AC308" i="1"/>
  <c r="AB308" i="1"/>
  <c r="AA308" i="1"/>
  <c r="Z308" i="1"/>
  <c r="Y308" i="1"/>
  <c r="X308" i="1"/>
  <c r="W308" i="1"/>
  <c r="T308" i="1"/>
  <c r="AC307" i="1"/>
  <c r="AB307" i="1"/>
  <c r="AA307" i="1"/>
  <c r="Z307" i="1"/>
  <c r="Y307" i="1"/>
  <c r="X307" i="1"/>
  <c r="W307" i="1"/>
  <c r="T307" i="1"/>
  <c r="AC306" i="1"/>
  <c r="AB306" i="1"/>
  <c r="AA306" i="1"/>
  <c r="Z306" i="1"/>
  <c r="Y306" i="1"/>
  <c r="X306" i="1"/>
  <c r="W306" i="1"/>
  <c r="T306" i="1"/>
  <c r="AC305" i="1"/>
  <c r="AB305" i="1"/>
  <c r="AA305" i="1"/>
  <c r="Z305" i="1"/>
  <c r="Y305" i="1"/>
  <c r="X305" i="1"/>
  <c r="W305" i="1"/>
  <c r="T305" i="1"/>
  <c r="AC304" i="1"/>
  <c r="AB304" i="1"/>
  <c r="AA304" i="1"/>
  <c r="Z304" i="1"/>
  <c r="Y304" i="1"/>
  <c r="X304" i="1"/>
  <c r="W304" i="1"/>
  <c r="T304" i="1"/>
  <c r="AC303" i="1"/>
  <c r="AB303" i="1"/>
  <c r="AA303" i="1"/>
  <c r="Z303" i="1"/>
  <c r="Y303" i="1"/>
  <c r="X303" i="1"/>
  <c r="W303" i="1"/>
  <c r="T303" i="1"/>
  <c r="AC302" i="1"/>
  <c r="AB302" i="1"/>
  <c r="AA302" i="1"/>
  <c r="Z302" i="1"/>
  <c r="Y302" i="1"/>
  <c r="X302" i="1"/>
  <c r="W302" i="1"/>
  <c r="T302" i="1"/>
  <c r="AC301" i="1"/>
  <c r="AB301" i="1"/>
  <c r="AA301" i="1"/>
  <c r="Z301" i="1"/>
  <c r="Y301" i="1"/>
  <c r="X301" i="1"/>
  <c r="W301" i="1"/>
  <c r="T301" i="1"/>
  <c r="AC300" i="1"/>
  <c r="AB300" i="1"/>
  <c r="AA300" i="1"/>
  <c r="Z300" i="1"/>
  <c r="Y300" i="1"/>
  <c r="X300" i="1"/>
  <c r="W300" i="1"/>
  <c r="T300" i="1"/>
  <c r="AC299" i="1"/>
  <c r="AB299" i="1"/>
  <c r="AA299" i="1"/>
  <c r="Z299" i="1"/>
  <c r="Y299" i="1"/>
  <c r="X299" i="1"/>
  <c r="W299" i="1"/>
  <c r="T299" i="1"/>
  <c r="AC298" i="1"/>
  <c r="AB298" i="1"/>
  <c r="AA298" i="1"/>
  <c r="Z298" i="1"/>
  <c r="Y298" i="1"/>
  <c r="X298" i="1"/>
  <c r="W298" i="1"/>
  <c r="T298" i="1"/>
  <c r="AC297" i="1"/>
  <c r="AB297" i="1"/>
  <c r="AA297" i="1"/>
  <c r="Z297" i="1"/>
  <c r="Y297" i="1"/>
  <c r="X297" i="1"/>
  <c r="W297" i="1"/>
  <c r="T297" i="1"/>
  <c r="AC296" i="1"/>
  <c r="AB296" i="1"/>
  <c r="AA296" i="1"/>
  <c r="Z296" i="1"/>
  <c r="Y296" i="1"/>
  <c r="X296" i="1"/>
  <c r="W296" i="1"/>
  <c r="T296" i="1"/>
  <c r="AC295" i="1"/>
  <c r="AB295" i="1"/>
  <c r="AA295" i="1"/>
  <c r="Z295" i="1"/>
  <c r="Y295" i="1"/>
  <c r="X295" i="1"/>
  <c r="W295" i="1"/>
  <c r="T295" i="1"/>
  <c r="AC294" i="1"/>
  <c r="AB294" i="1"/>
  <c r="AA294" i="1"/>
  <c r="Z294" i="1"/>
  <c r="Y294" i="1"/>
  <c r="X294" i="1"/>
  <c r="W294" i="1"/>
  <c r="T294" i="1"/>
  <c r="AC293" i="1"/>
  <c r="AB293" i="1"/>
  <c r="AA293" i="1"/>
  <c r="Z293" i="1"/>
  <c r="Y293" i="1"/>
  <c r="X293" i="1"/>
  <c r="W293" i="1"/>
  <c r="T293" i="1"/>
  <c r="AC292" i="1"/>
  <c r="AB292" i="1"/>
  <c r="AA292" i="1"/>
  <c r="Z292" i="1"/>
  <c r="Y292" i="1"/>
  <c r="X292" i="1"/>
  <c r="W292" i="1"/>
  <c r="T292" i="1"/>
  <c r="AC291" i="1"/>
  <c r="AB291" i="1"/>
  <c r="AA291" i="1"/>
  <c r="Z291" i="1"/>
  <c r="Y291" i="1"/>
  <c r="X291" i="1"/>
  <c r="W291" i="1"/>
  <c r="T291" i="1"/>
  <c r="AC290" i="1"/>
  <c r="AB290" i="1"/>
  <c r="AA290" i="1"/>
  <c r="Z290" i="1"/>
  <c r="Y290" i="1"/>
  <c r="X290" i="1"/>
  <c r="W290" i="1"/>
  <c r="T290" i="1"/>
  <c r="AC289" i="1"/>
  <c r="AB289" i="1"/>
  <c r="AA289" i="1"/>
  <c r="Z289" i="1"/>
  <c r="Y289" i="1"/>
  <c r="X289" i="1"/>
  <c r="W289" i="1"/>
  <c r="T289" i="1"/>
  <c r="AC288" i="1"/>
  <c r="AB288" i="1"/>
  <c r="AA288" i="1"/>
  <c r="Z288" i="1"/>
  <c r="Y288" i="1"/>
  <c r="X288" i="1"/>
  <c r="W288" i="1"/>
  <c r="T288" i="1"/>
  <c r="AC287" i="1"/>
  <c r="AB287" i="1"/>
  <c r="AA287" i="1"/>
  <c r="Z287" i="1"/>
  <c r="Y287" i="1"/>
  <c r="X287" i="1"/>
  <c r="W287" i="1"/>
  <c r="T287" i="1"/>
  <c r="AC286" i="1"/>
  <c r="AB286" i="1"/>
  <c r="AA286" i="1"/>
  <c r="Z286" i="1"/>
  <c r="Y286" i="1"/>
  <c r="X286" i="1"/>
  <c r="W286" i="1"/>
  <c r="T286" i="1"/>
  <c r="AC285" i="1"/>
  <c r="AB285" i="1"/>
  <c r="AA285" i="1"/>
  <c r="Z285" i="1"/>
  <c r="Y285" i="1"/>
  <c r="X285" i="1"/>
  <c r="W285" i="1"/>
  <c r="T285" i="1"/>
  <c r="AC284" i="1"/>
  <c r="AB284" i="1"/>
  <c r="AA284" i="1"/>
  <c r="Z284" i="1"/>
  <c r="Y284" i="1"/>
  <c r="X284" i="1"/>
  <c r="W284" i="1"/>
  <c r="T284" i="1"/>
  <c r="AC283" i="1"/>
  <c r="AB283" i="1"/>
  <c r="AA283" i="1"/>
  <c r="Z283" i="1"/>
  <c r="Y283" i="1"/>
  <c r="X283" i="1"/>
  <c r="W283" i="1"/>
  <c r="T283" i="1"/>
  <c r="AC282" i="1"/>
  <c r="AB282" i="1"/>
  <c r="AA282" i="1"/>
  <c r="Z282" i="1"/>
  <c r="Y282" i="1"/>
  <c r="X282" i="1"/>
  <c r="W282" i="1"/>
  <c r="T282" i="1"/>
  <c r="AC281" i="1"/>
  <c r="AB281" i="1"/>
  <c r="AA281" i="1"/>
  <c r="Z281" i="1"/>
  <c r="Y281" i="1"/>
  <c r="X281" i="1"/>
  <c r="W281" i="1"/>
  <c r="T281" i="1"/>
  <c r="AC280" i="1"/>
  <c r="AB280" i="1"/>
  <c r="AA280" i="1"/>
  <c r="Z280" i="1"/>
  <c r="Y280" i="1"/>
  <c r="X280" i="1"/>
  <c r="W280" i="1"/>
  <c r="T280" i="1"/>
  <c r="AC279" i="1"/>
  <c r="AB279" i="1"/>
  <c r="AA279" i="1"/>
  <c r="Z279" i="1"/>
  <c r="Y279" i="1"/>
  <c r="X279" i="1"/>
  <c r="W279" i="1"/>
  <c r="T279" i="1"/>
  <c r="AC278" i="1"/>
  <c r="AB278" i="1"/>
  <c r="AA278" i="1"/>
  <c r="Z278" i="1"/>
  <c r="Y278" i="1"/>
  <c r="X278" i="1"/>
  <c r="W278" i="1"/>
  <c r="T278" i="1"/>
  <c r="AC277" i="1"/>
  <c r="AB277" i="1"/>
  <c r="AA277" i="1"/>
  <c r="Z277" i="1"/>
  <c r="Y277" i="1"/>
  <c r="X277" i="1"/>
  <c r="W277" i="1"/>
  <c r="T277" i="1"/>
  <c r="AC276" i="1"/>
  <c r="AB276" i="1"/>
  <c r="AA276" i="1"/>
  <c r="Z276" i="1"/>
  <c r="Y276" i="1"/>
  <c r="X276" i="1"/>
  <c r="W276" i="1"/>
  <c r="T276" i="1"/>
  <c r="AC275" i="1"/>
  <c r="AB275" i="1"/>
  <c r="AA275" i="1"/>
  <c r="Z275" i="1"/>
  <c r="Y275" i="1"/>
  <c r="X275" i="1"/>
  <c r="W275" i="1"/>
  <c r="T275" i="1"/>
  <c r="AC274" i="1"/>
  <c r="AB274" i="1"/>
  <c r="AA274" i="1"/>
  <c r="Z274" i="1"/>
  <c r="Y274" i="1"/>
  <c r="X274" i="1"/>
  <c r="W274" i="1"/>
  <c r="T274" i="1"/>
  <c r="AC273" i="1"/>
  <c r="AB273" i="1"/>
  <c r="AA273" i="1"/>
  <c r="Z273" i="1"/>
  <c r="Y273" i="1"/>
  <c r="X273" i="1"/>
  <c r="W273" i="1"/>
  <c r="T273" i="1"/>
  <c r="AC272" i="1"/>
  <c r="AB272" i="1"/>
  <c r="AA272" i="1"/>
  <c r="Z272" i="1"/>
  <c r="Y272" i="1"/>
  <c r="X272" i="1"/>
  <c r="W272" i="1"/>
  <c r="T272" i="1"/>
  <c r="AC271" i="1"/>
  <c r="AB271" i="1"/>
  <c r="AA271" i="1"/>
  <c r="Z271" i="1"/>
  <c r="Y271" i="1"/>
  <c r="X271" i="1"/>
  <c r="W271" i="1"/>
  <c r="T271" i="1"/>
  <c r="AC270" i="1"/>
  <c r="AB270" i="1"/>
  <c r="AA270" i="1"/>
  <c r="Z270" i="1"/>
  <c r="Y270" i="1"/>
  <c r="X270" i="1"/>
  <c r="W270" i="1"/>
  <c r="T270" i="1"/>
  <c r="AC269" i="1"/>
  <c r="AB269" i="1"/>
  <c r="AA269" i="1"/>
  <c r="Z269" i="1"/>
  <c r="Y269" i="1"/>
  <c r="X269" i="1"/>
  <c r="W269" i="1"/>
  <c r="T269" i="1"/>
  <c r="AC268" i="1"/>
  <c r="AB268" i="1"/>
  <c r="AA268" i="1"/>
  <c r="Z268" i="1"/>
  <c r="Y268" i="1"/>
  <c r="X268" i="1"/>
  <c r="W268" i="1"/>
  <c r="T268" i="1"/>
  <c r="AC267" i="1"/>
  <c r="AB267" i="1"/>
  <c r="AA267" i="1"/>
  <c r="Z267" i="1"/>
  <c r="Y267" i="1"/>
  <c r="X267" i="1"/>
  <c r="W267" i="1"/>
  <c r="T267" i="1"/>
  <c r="AC266" i="1"/>
  <c r="AB266" i="1"/>
  <c r="AA266" i="1"/>
  <c r="Z266" i="1"/>
  <c r="Y266" i="1"/>
  <c r="X266" i="1"/>
  <c r="W266" i="1"/>
  <c r="T266" i="1"/>
  <c r="AC265" i="1"/>
  <c r="AB265" i="1"/>
  <c r="AA265" i="1"/>
  <c r="Z265" i="1"/>
  <c r="Y265" i="1"/>
  <c r="X265" i="1"/>
  <c r="W265" i="1"/>
  <c r="T265" i="1"/>
  <c r="AC264" i="1"/>
  <c r="AB264" i="1"/>
  <c r="AA264" i="1"/>
  <c r="Z264" i="1"/>
  <c r="Y264" i="1"/>
  <c r="X264" i="1"/>
  <c r="W264" i="1"/>
  <c r="T264" i="1"/>
  <c r="AC263" i="1"/>
  <c r="AB263" i="1"/>
  <c r="AA263" i="1"/>
  <c r="Z263" i="1"/>
  <c r="Y263" i="1"/>
  <c r="X263" i="1"/>
  <c r="W263" i="1"/>
  <c r="T263" i="1"/>
  <c r="AC262" i="1"/>
  <c r="AB262" i="1"/>
  <c r="AA262" i="1"/>
  <c r="Z262" i="1"/>
  <c r="Y262" i="1"/>
  <c r="X262" i="1"/>
  <c r="W262" i="1"/>
  <c r="T262" i="1"/>
  <c r="AC261" i="1"/>
  <c r="AB261" i="1"/>
  <c r="AA261" i="1"/>
  <c r="Z261" i="1"/>
  <c r="Y261" i="1"/>
  <c r="X261" i="1"/>
  <c r="W261" i="1"/>
  <c r="T261" i="1"/>
  <c r="AC260" i="1"/>
  <c r="AB260" i="1"/>
  <c r="AA260" i="1"/>
  <c r="Z260" i="1"/>
  <c r="Y260" i="1"/>
  <c r="X260" i="1"/>
  <c r="W260" i="1"/>
  <c r="T260" i="1"/>
  <c r="AC259" i="1"/>
  <c r="AB259" i="1"/>
  <c r="AA259" i="1"/>
  <c r="Z259" i="1"/>
  <c r="Y259" i="1"/>
  <c r="X259" i="1"/>
  <c r="W259" i="1"/>
  <c r="T259" i="1"/>
  <c r="AC258" i="1"/>
  <c r="AB258" i="1"/>
  <c r="AA258" i="1"/>
  <c r="Z258" i="1"/>
  <c r="Y258" i="1"/>
  <c r="X258" i="1"/>
  <c r="W258" i="1"/>
  <c r="T258" i="1"/>
  <c r="AC257" i="1"/>
  <c r="AB257" i="1"/>
  <c r="AA257" i="1"/>
  <c r="Z257" i="1"/>
  <c r="Y257" i="1"/>
  <c r="X257" i="1"/>
  <c r="W257" i="1"/>
  <c r="T257" i="1"/>
  <c r="AC256" i="1"/>
  <c r="AB256" i="1"/>
  <c r="AA256" i="1"/>
  <c r="Z256" i="1"/>
  <c r="Y256" i="1"/>
  <c r="X256" i="1"/>
  <c r="W256" i="1"/>
  <c r="T256" i="1"/>
  <c r="AC255" i="1"/>
  <c r="AB255" i="1"/>
  <c r="AA255" i="1"/>
  <c r="Z255" i="1"/>
  <c r="Y255" i="1"/>
  <c r="X255" i="1"/>
  <c r="W255" i="1"/>
  <c r="T255" i="1"/>
  <c r="AC254" i="1"/>
  <c r="AB254" i="1"/>
  <c r="AA254" i="1"/>
  <c r="Z254" i="1"/>
  <c r="Y254" i="1"/>
  <c r="X254" i="1"/>
  <c r="W254" i="1"/>
  <c r="T254" i="1"/>
  <c r="AC253" i="1"/>
  <c r="AB253" i="1"/>
  <c r="AA253" i="1"/>
  <c r="Z253" i="1"/>
  <c r="Y253" i="1"/>
  <c r="X253" i="1"/>
  <c r="W253" i="1"/>
  <c r="T253" i="1"/>
  <c r="AC252" i="1"/>
  <c r="AB252" i="1"/>
  <c r="AA252" i="1"/>
  <c r="Z252" i="1"/>
  <c r="Y252" i="1"/>
  <c r="X252" i="1"/>
  <c r="W252" i="1"/>
  <c r="T252" i="1"/>
  <c r="AC251" i="1"/>
  <c r="AB251" i="1"/>
  <c r="AA251" i="1"/>
  <c r="Z251" i="1"/>
  <c r="Y251" i="1"/>
  <c r="X251" i="1"/>
  <c r="W251" i="1"/>
  <c r="T251" i="1"/>
  <c r="AC250" i="1"/>
  <c r="AB250" i="1"/>
  <c r="AA250" i="1"/>
  <c r="Z250" i="1"/>
  <c r="Y250" i="1"/>
  <c r="X250" i="1"/>
  <c r="W250" i="1"/>
  <c r="T250" i="1"/>
  <c r="AC249" i="1"/>
  <c r="AB249" i="1"/>
  <c r="AA249" i="1"/>
  <c r="Z249" i="1"/>
  <c r="Y249" i="1"/>
  <c r="X249" i="1"/>
  <c r="W249" i="1"/>
  <c r="T249" i="1"/>
  <c r="AC248" i="1"/>
  <c r="AB248" i="1"/>
  <c r="AA248" i="1"/>
  <c r="Z248" i="1"/>
  <c r="Y248" i="1"/>
  <c r="X248" i="1"/>
  <c r="W248" i="1"/>
  <c r="T248" i="1"/>
  <c r="AC247" i="1"/>
  <c r="AB247" i="1"/>
  <c r="AA247" i="1"/>
  <c r="Z247" i="1"/>
  <c r="Y247" i="1"/>
  <c r="X247" i="1"/>
  <c r="W247" i="1"/>
  <c r="T247" i="1"/>
  <c r="AC246" i="1"/>
  <c r="AB246" i="1"/>
  <c r="AA246" i="1"/>
  <c r="Z246" i="1"/>
  <c r="Y246" i="1"/>
  <c r="X246" i="1"/>
  <c r="W246" i="1"/>
  <c r="T246" i="1"/>
  <c r="AC245" i="1"/>
  <c r="AB245" i="1"/>
  <c r="AA245" i="1"/>
  <c r="Z245" i="1"/>
  <c r="Y245" i="1"/>
  <c r="X245" i="1"/>
  <c r="W245" i="1"/>
  <c r="T245" i="1"/>
  <c r="AC244" i="1"/>
  <c r="AB244" i="1"/>
  <c r="AA244" i="1"/>
  <c r="Z244" i="1"/>
  <c r="Y244" i="1"/>
  <c r="X244" i="1"/>
  <c r="W244" i="1"/>
  <c r="T244" i="1"/>
  <c r="AC243" i="1"/>
  <c r="AB243" i="1"/>
  <c r="AA243" i="1"/>
  <c r="Z243" i="1"/>
  <c r="Y243" i="1"/>
  <c r="X243" i="1"/>
  <c r="W243" i="1"/>
  <c r="T243" i="1"/>
  <c r="AC242" i="1"/>
  <c r="AB242" i="1"/>
  <c r="AA242" i="1"/>
  <c r="Z242" i="1"/>
  <c r="Y242" i="1"/>
  <c r="X242" i="1"/>
  <c r="W242" i="1"/>
  <c r="T242" i="1"/>
  <c r="AC241" i="1"/>
  <c r="AB241" i="1"/>
  <c r="AA241" i="1"/>
  <c r="Z241" i="1"/>
  <c r="Y241" i="1"/>
  <c r="X241" i="1"/>
  <c r="W241" i="1"/>
  <c r="T241" i="1"/>
  <c r="AC240" i="1"/>
  <c r="AB240" i="1"/>
  <c r="AA240" i="1"/>
  <c r="Z240" i="1"/>
  <c r="Y240" i="1"/>
  <c r="X240" i="1"/>
  <c r="W240" i="1"/>
  <c r="T240" i="1"/>
  <c r="AC239" i="1"/>
  <c r="AB239" i="1"/>
  <c r="AA239" i="1"/>
  <c r="Z239" i="1"/>
  <c r="Y239" i="1"/>
  <c r="X239" i="1"/>
  <c r="W239" i="1"/>
  <c r="T239" i="1"/>
  <c r="AC238" i="1"/>
  <c r="AB238" i="1"/>
  <c r="AA238" i="1"/>
  <c r="Z238" i="1"/>
  <c r="Y238" i="1"/>
  <c r="X238" i="1"/>
  <c r="W238" i="1"/>
  <c r="T238" i="1"/>
  <c r="AC237" i="1"/>
  <c r="AB237" i="1"/>
  <c r="AA237" i="1"/>
  <c r="Z237" i="1"/>
  <c r="Y237" i="1"/>
  <c r="X237" i="1"/>
  <c r="W237" i="1"/>
  <c r="T237" i="1"/>
  <c r="AC236" i="1"/>
  <c r="AB236" i="1"/>
  <c r="AA236" i="1"/>
  <c r="Z236" i="1"/>
  <c r="Y236" i="1"/>
  <c r="X236" i="1"/>
  <c r="W236" i="1"/>
  <c r="T236" i="1"/>
  <c r="AC235" i="1"/>
  <c r="AB235" i="1"/>
  <c r="AA235" i="1"/>
  <c r="Z235" i="1"/>
  <c r="Y235" i="1"/>
  <c r="X235" i="1"/>
  <c r="W235" i="1"/>
  <c r="T235" i="1"/>
  <c r="AC234" i="1"/>
  <c r="AB234" i="1"/>
  <c r="AA234" i="1"/>
  <c r="Z234" i="1"/>
  <c r="Y234" i="1"/>
  <c r="X234" i="1"/>
  <c r="W234" i="1"/>
  <c r="T234" i="1"/>
  <c r="AC233" i="1"/>
  <c r="AB233" i="1"/>
  <c r="AA233" i="1"/>
  <c r="Z233" i="1"/>
  <c r="Y233" i="1"/>
  <c r="X233" i="1"/>
  <c r="W233" i="1"/>
  <c r="T233" i="1"/>
  <c r="AC232" i="1"/>
  <c r="AB232" i="1"/>
  <c r="AA232" i="1"/>
  <c r="Z232" i="1"/>
  <c r="Y232" i="1"/>
  <c r="X232" i="1"/>
  <c r="W232" i="1"/>
  <c r="T232" i="1"/>
  <c r="AC231" i="1"/>
  <c r="AB231" i="1"/>
  <c r="AA231" i="1"/>
  <c r="Z231" i="1"/>
  <c r="Y231" i="1"/>
  <c r="X231" i="1"/>
  <c r="W231" i="1"/>
  <c r="T231" i="1"/>
  <c r="AC230" i="1"/>
  <c r="AB230" i="1"/>
  <c r="AA230" i="1"/>
  <c r="Z230" i="1"/>
  <c r="Y230" i="1"/>
  <c r="X230" i="1"/>
  <c r="W230" i="1"/>
  <c r="T230" i="1"/>
  <c r="AC229" i="1"/>
  <c r="AB229" i="1"/>
  <c r="AA229" i="1"/>
  <c r="Z229" i="1"/>
  <c r="Y229" i="1"/>
  <c r="X229" i="1"/>
  <c r="W229" i="1"/>
  <c r="T229" i="1"/>
  <c r="AC228" i="1"/>
  <c r="AB228" i="1"/>
  <c r="AA228" i="1"/>
  <c r="Z228" i="1"/>
  <c r="Y228" i="1"/>
  <c r="X228" i="1"/>
  <c r="W228" i="1"/>
  <c r="T228" i="1"/>
  <c r="AC227" i="1"/>
  <c r="AB227" i="1"/>
  <c r="AA227" i="1"/>
  <c r="Z227" i="1"/>
  <c r="Y227" i="1"/>
  <c r="X227" i="1"/>
  <c r="W227" i="1"/>
  <c r="T227" i="1"/>
  <c r="AC226" i="1"/>
  <c r="AB226" i="1"/>
  <c r="AA226" i="1"/>
  <c r="Z226" i="1"/>
  <c r="Y226" i="1"/>
  <c r="X226" i="1"/>
  <c r="W226" i="1"/>
  <c r="T226" i="1"/>
  <c r="AC225" i="1"/>
  <c r="AB225" i="1"/>
  <c r="AA225" i="1"/>
  <c r="Z225" i="1"/>
  <c r="Y225" i="1"/>
  <c r="X225" i="1"/>
  <c r="W225" i="1"/>
  <c r="T225" i="1"/>
  <c r="AC224" i="1"/>
  <c r="AB224" i="1"/>
  <c r="AA224" i="1"/>
  <c r="Z224" i="1"/>
  <c r="Y224" i="1"/>
  <c r="X224" i="1"/>
  <c r="W224" i="1"/>
  <c r="T224" i="1"/>
  <c r="AC223" i="1"/>
  <c r="AB223" i="1"/>
  <c r="AA223" i="1"/>
  <c r="Z223" i="1"/>
  <c r="Y223" i="1"/>
  <c r="X223" i="1"/>
  <c r="W223" i="1"/>
  <c r="T223" i="1"/>
  <c r="AC222" i="1"/>
  <c r="AB222" i="1"/>
  <c r="AA222" i="1"/>
  <c r="Z222" i="1"/>
  <c r="Y222" i="1"/>
  <c r="X222" i="1"/>
  <c r="W222" i="1"/>
  <c r="T222" i="1"/>
  <c r="AC221" i="1"/>
  <c r="AB221" i="1"/>
  <c r="AA221" i="1"/>
  <c r="Z221" i="1"/>
  <c r="Y221" i="1"/>
  <c r="X221" i="1"/>
  <c r="W221" i="1"/>
  <c r="T221" i="1"/>
  <c r="AC220" i="1"/>
  <c r="AB220" i="1"/>
  <c r="AA220" i="1"/>
  <c r="Z220" i="1"/>
  <c r="Y220" i="1"/>
  <c r="X220" i="1"/>
  <c r="W220" i="1"/>
  <c r="T220" i="1"/>
  <c r="AC219" i="1"/>
  <c r="AB219" i="1"/>
  <c r="AA219" i="1"/>
  <c r="Z219" i="1"/>
  <c r="Y219" i="1"/>
  <c r="X219" i="1"/>
  <c r="W219" i="1"/>
  <c r="T219" i="1"/>
  <c r="AC218" i="1"/>
  <c r="AB218" i="1"/>
  <c r="AA218" i="1"/>
  <c r="Z218" i="1"/>
  <c r="Y218" i="1"/>
  <c r="X218" i="1"/>
  <c r="W218" i="1"/>
  <c r="T218" i="1"/>
  <c r="AC217" i="1"/>
  <c r="AB217" i="1"/>
  <c r="AA217" i="1"/>
  <c r="Z217" i="1"/>
  <c r="Y217" i="1"/>
  <c r="X217" i="1"/>
  <c r="W217" i="1"/>
  <c r="T217" i="1"/>
  <c r="AC216" i="1"/>
  <c r="AB216" i="1"/>
  <c r="AA216" i="1"/>
  <c r="Z216" i="1"/>
  <c r="Y216" i="1"/>
  <c r="X216" i="1"/>
  <c r="W216" i="1"/>
  <c r="T216" i="1"/>
  <c r="AC215" i="1"/>
  <c r="AB215" i="1"/>
  <c r="AA215" i="1"/>
  <c r="Z215" i="1"/>
  <c r="Y215" i="1"/>
  <c r="X215" i="1"/>
  <c r="W215" i="1"/>
  <c r="T215" i="1"/>
  <c r="AC214" i="1"/>
  <c r="AB214" i="1"/>
  <c r="AA214" i="1"/>
  <c r="Z214" i="1"/>
  <c r="Y214" i="1"/>
  <c r="X214" i="1"/>
  <c r="W214" i="1"/>
  <c r="T214" i="1"/>
  <c r="AC213" i="1"/>
  <c r="AB213" i="1"/>
  <c r="AA213" i="1"/>
  <c r="Z213" i="1"/>
  <c r="Y213" i="1"/>
  <c r="X213" i="1"/>
  <c r="W213" i="1"/>
  <c r="T213" i="1"/>
  <c r="AC212" i="1"/>
  <c r="AB212" i="1"/>
  <c r="AA212" i="1"/>
  <c r="Z212" i="1"/>
  <c r="Y212" i="1"/>
  <c r="X212" i="1"/>
  <c r="W212" i="1"/>
  <c r="T212" i="1"/>
  <c r="AC211" i="1"/>
  <c r="AB211" i="1"/>
  <c r="AA211" i="1"/>
  <c r="Z211" i="1"/>
  <c r="Y211" i="1"/>
  <c r="X211" i="1"/>
  <c r="W211" i="1"/>
  <c r="T211" i="1"/>
  <c r="AC210" i="1"/>
  <c r="AB210" i="1"/>
  <c r="AA210" i="1"/>
  <c r="Z210" i="1"/>
  <c r="Y210" i="1"/>
  <c r="X210" i="1"/>
  <c r="W210" i="1"/>
  <c r="T210" i="1"/>
  <c r="AC209" i="1"/>
  <c r="AB209" i="1"/>
  <c r="AA209" i="1"/>
  <c r="Z209" i="1"/>
  <c r="Y209" i="1"/>
  <c r="X209" i="1"/>
  <c r="W209" i="1"/>
  <c r="T209" i="1"/>
  <c r="AC208" i="1"/>
  <c r="AB208" i="1"/>
  <c r="AA208" i="1"/>
  <c r="Z208" i="1"/>
  <c r="Y208" i="1"/>
  <c r="X208" i="1"/>
  <c r="W208" i="1"/>
  <c r="T208" i="1"/>
  <c r="AC207" i="1"/>
  <c r="AB207" i="1"/>
  <c r="AA207" i="1"/>
  <c r="Z207" i="1"/>
  <c r="Y207" i="1"/>
  <c r="X207" i="1"/>
  <c r="W207" i="1"/>
  <c r="T207" i="1"/>
  <c r="AC206" i="1"/>
  <c r="AB206" i="1"/>
  <c r="AA206" i="1"/>
  <c r="Z206" i="1"/>
  <c r="Y206" i="1"/>
  <c r="X206" i="1"/>
  <c r="W206" i="1"/>
  <c r="T206" i="1"/>
  <c r="AC205" i="1"/>
  <c r="AB205" i="1"/>
  <c r="AA205" i="1"/>
  <c r="Z205" i="1"/>
  <c r="Y205" i="1"/>
  <c r="X205" i="1"/>
  <c r="W205" i="1"/>
  <c r="T205" i="1"/>
  <c r="AC204" i="1"/>
  <c r="AB204" i="1"/>
  <c r="AA204" i="1"/>
  <c r="Z204" i="1"/>
  <c r="Y204" i="1"/>
  <c r="X204" i="1"/>
  <c r="W204" i="1"/>
  <c r="T204" i="1"/>
  <c r="AC203" i="1"/>
  <c r="AB203" i="1"/>
  <c r="AA203" i="1"/>
  <c r="Z203" i="1"/>
  <c r="Y203" i="1"/>
  <c r="X203" i="1"/>
  <c r="W203" i="1"/>
  <c r="T203" i="1"/>
  <c r="AC202" i="1"/>
  <c r="AB202" i="1"/>
  <c r="AA202" i="1"/>
  <c r="Z202" i="1"/>
  <c r="Y202" i="1"/>
  <c r="X202" i="1"/>
  <c r="W202" i="1"/>
  <c r="T202" i="1"/>
  <c r="AC201" i="1"/>
  <c r="AB201" i="1"/>
  <c r="AA201" i="1"/>
  <c r="Z201" i="1"/>
  <c r="Y201" i="1"/>
  <c r="X201" i="1"/>
  <c r="W201" i="1"/>
  <c r="T201" i="1"/>
  <c r="AC200" i="1"/>
  <c r="AB200" i="1"/>
  <c r="AA200" i="1"/>
  <c r="Z200" i="1"/>
  <c r="Y200" i="1"/>
  <c r="X200" i="1"/>
  <c r="W200" i="1"/>
  <c r="T200" i="1"/>
  <c r="AC199" i="1"/>
  <c r="AB199" i="1"/>
  <c r="AA199" i="1"/>
  <c r="Z199" i="1"/>
  <c r="Y199" i="1"/>
  <c r="X199" i="1"/>
  <c r="W199" i="1"/>
  <c r="T199" i="1"/>
  <c r="AC198" i="1"/>
  <c r="AB198" i="1"/>
  <c r="AA198" i="1"/>
  <c r="Z198" i="1"/>
  <c r="Y198" i="1"/>
  <c r="X198" i="1"/>
  <c r="W198" i="1"/>
  <c r="T198" i="1"/>
  <c r="AC197" i="1"/>
  <c r="AB197" i="1"/>
  <c r="AA197" i="1"/>
  <c r="Z197" i="1"/>
  <c r="Y197" i="1"/>
  <c r="X197" i="1"/>
  <c r="W197" i="1"/>
  <c r="T197" i="1"/>
  <c r="AC196" i="1"/>
  <c r="AB196" i="1"/>
  <c r="AA196" i="1"/>
  <c r="Z196" i="1"/>
  <c r="Y196" i="1"/>
  <c r="X196" i="1"/>
  <c r="W196" i="1"/>
  <c r="T196" i="1"/>
  <c r="AC195" i="1"/>
  <c r="AB195" i="1"/>
  <c r="AA195" i="1"/>
  <c r="Z195" i="1"/>
  <c r="Y195" i="1"/>
  <c r="X195" i="1"/>
  <c r="W195" i="1"/>
  <c r="T195" i="1"/>
  <c r="AC194" i="1"/>
  <c r="AB194" i="1"/>
  <c r="AA194" i="1"/>
  <c r="Z194" i="1"/>
  <c r="Y194" i="1"/>
  <c r="X194" i="1"/>
  <c r="W194" i="1"/>
  <c r="T194" i="1"/>
  <c r="AC193" i="1"/>
  <c r="AB193" i="1"/>
  <c r="AA193" i="1"/>
  <c r="Z193" i="1"/>
  <c r="Y193" i="1"/>
  <c r="X193" i="1"/>
  <c r="W193" i="1"/>
  <c r="T193" i="1"/>
  <c r="AC192" i="1"/>
  <c r="AB192" i="1"/>
  <c r="AA192" i="1"/>
  <c r="Z192" i="1"/>
  <c r="Y192" i="1"/>
  <c r="X192" i="1"/>
  <c r="W192" i="1"/>
  <c r="T192" i="1"/>
  <c r="AC191" i="1"/>
  <c r="AB191" i="1"/>
  <c r="AA191" i="1"/>
  <c r="Z191" i="1"/>
  <c r="Y191" i="1"/>
  <c r="X191" i="1"/>
  <c r="W191" i="1"/>
  <c r="T191" i="1"/>
  <c r="AC190" i="1"/>
  <c r="AB190" i="1"/>
  <c r="AA190" i="1"/>
  <c r="Z190" i="1"/>
  <c r="Y190" i="1"/>
  <c r="X190" i="1"/>
  <c r="W190" i="1"/>
  <c r="T190" i="1"/>
  <c r="AC189" i="1"/>
  <c r="AB189" i="1"/>
  <c r="AA189" i="1"/>
  <c r="Z189" i="1"/>
  <c r="Y189" i="1"/>
  <c r="X189" i="1"/>
  <c r="W189" i="1"/>
  <c r="T189" i="1"/>
  <c r="AC188" i="1"/>
  <c r="AB188" i="1"/>
  <c r="AA188" i="1"/>
  <c r="Z188" i="1"/>
  <c r="Y188" i="1"/>
  <c r="X188" i="1"/>
  <c r="W188" i="1"/>
  <c r="T188" i="1"/>
  <c r="AC187" i="1"/>
  <c r="AB187" i="1"/>
  <c r="AA187" i="1"/>
  <c r="Z187" i="1"/>
  <c r="Y187" i="1"/>
  <c r="X187" i="1"/>
  <c r="W187" i="1"/>
  <c r="T187" i="1"/>
  <c r="AC186" i="1"/>
  <c r="AB186" i="1"/>
  <c r="AA186" i="1"/>
  <c r="Z186" i="1"/>
  <c r="Y186" i="1"/>
  <c r="X186" i="1"/>
  <c r="W186" i="1"/>
  <c r="T186" i="1"/>
  <c r="AC185" i="1"/>
  <c r="AB185" i="1"/>
  <c r="AA185" i="1"/>
  <c r="Z185" i="1"/>
  <c r="Y185" i="1"/>
  <c r="X185" i="1"/>
  <c r="W185" i="1"/>
  <c r="T185" i="1"/>
  <c r="AC184" i="1"/>
  <c r="AB184" i="1"/>
  <c r="AA184" i="1"/>
  <c r="Z184" i="1"/>
  <c r="Y184" i="1"/>
  <c r="X184" i="1"/>
  <c r="W184" i="1"/>
  <c r="T184" i="1"/>
  <c r="AC183" i="1"/>
  <c r="AB183" i="1"/>
  <c r="AA183" i="1"/>
  <c r="Z183" i="1"/>
  <c r="Y183" i="1"/>
  <c r="X183" i="1"/>
  <c r="W183" i="1"/>
  <c r="T183" i="1"/>
  <c r="AC182" i="1"/>
  <c r="AB182" i="1"/>
  <c r="AA182" i="1"/>
  <c r="Z182" i="1"/>
  <c r="Y182" i="1"/>
  <c r="X182" i="1"/>
  <c r="W182" i="1"/>
  <c r="T182" i="1"/>
  <c r="AC181" i="1"/>
  <c r="AB181" i="1"/>
  <c r="AA181" i="1"/>
  <c r="Z181" i="1"/>
  <c r="Y181" i="1"/>
  <c r="X181" i="1"/>
  <c r="W181" i="1"/>
  <c r="T181" i="1"/>
  <c r="AC180" i="1"/>
  <c r="AB180" i="1"/>
  <c r="AA180" i="1"/>
  <c r="Z180" i="1"/>
  <c r="Y180" i="1"/>
  <c r="X180" i="1"/>
  <c r="W180" i="1"/>
  <c r="T180" i="1"/>
  <c r="AC179" i="1"/>
  <c r="AB179" i="1"/>
  <c r="AA179" i="1"/>
  <c r="Z179" i="1"/>
  <c r="Y179" i="1"/>
  <c r="X179" i="1"/>
  <c r="W179" i="1"/>
  <c r="T179" i="1"/>
  <c r="AC178" i="1"/>
  <c r="AB178" i="1"/>
  <c r="AA178" i="1"/>
  <c r="Z178" i="1"/>
  <c r="Y178" i="1"/>
  <c r="X178" i="1"/>
  <c r="W178" i="1"/>
  <c r="T178" i="1"/>
  <c r="AC177" i="1"/>
  <c r="AB177" i="1"/>
  <c r="AA177" i="1"/>
  <c r="Z177" i="1"/>
  <c r="Y177" i="1"/>
  <c r="X177" i="1"/>
  <c r="W177" i="1"/>
  <c r="T177" i="1"/>
  <c r="AC176" i="1"/>
  <c r="AB176" i="1"/>
  <c r="AA176" i="1"/>
  <c r="Z176" i="1"/>
  <c r="Y176" i="1"/>
  <c r="X176" i="1"/>
  <c r="W176" i="1"/>
  <c r="T176" i="1"/>
  <c r="AC175" i="1"/>
  <c r="AB175" i="1"/>
  <c r="AA175" i="1"/>
  <c r="Z175" i="1"/>
  <c r="Y175" i="1"/>
  <c r="X175" i="1"/>
  <c r="W175" i="1"/>
  <c r="T175" i="1"/>
  <c r="AC174" i="1"/>
  <c r="AB174" i="1"/>
  <c r="AA174" i="1"/>
  <c r="Z174" i="1"/>
  <c r="Y174" i="1"/>
  <c r="X174" i="1"/>
  <c r="W174" i="1"/>
  <c r="T174" i="1"/>
  <c r="AC173" i="1"/>
  <c r="AB173" i="1"/>
  <c r="AA173" i="1"/>
  <c r="Z173" i="1"/>
  <c r="Y173" i="1"/>
  <c r="X173" i="1"/>
  <c r="W173" i="1"/>
  <c r="T173" i="1"/>
  <c r="AC172" i="1"/>
  <c r="AB172" i="1"/>
  <c r="AA172" i="1"/>
  <c r="Z172" i="1"/>
  <c r="Y172" i="1"/>
  <c r="X172" i="1"/>
  <c r="W172" i="1"/>
  <c r="T172" i="1"/>
  <c r="AC171" i="1"/>
  <c r="AB171" i="1"/>
  <c r="AA171" i="1"/>
  <c r="Z171" i="1"/>
  <c r="Y171" i="1"/>
  <c r="X171" i="1"/>
  <c r="W171" i="1"/>
  <c r="T171" i="1"/>
  <c r="AC170" i="1"/>
  <c r="AB170" i="1"/>
  <c r="AA170" i="1"/>
  <c r="Z170" i="1"/>
  <c r="Y170" i="1"/>
  <c r="X170" i="1"/>
  <c r="W170" i="1"/>
  <c r="T170" i="1"/>
  <c r="AC169" i="1"/>
  <c r="AB169" i="1"/>
  <c r="AA169" i="1"/>
  <c r="Z169" i="1"/>
  <c r="Y169" i="1"/>
  <c r="X169" i="1"/>
  <c r="W169" i="1"/>
  <c r="T169" i="1"/>
  <c r="AC168" i="1"/>
  <c r="AB168" i="1"/>
  <c r="AA168" i="1"/>
  <c r="Z168" i="1"/>
  <c r="Y168" i="1"/>
  <c r="X168" i="1"/>
  <c r="W168" i="1"/>
  <c r="T168" i="1"/>
  <c r="AC167" i="1"/>
  <c r="AB167" i="1"/>
  <c r="AA167" i="1"/>
  <c r="Z167" i="1"/>
  <c r="Y167" i="1"/>
  <c r="X167" i="1"/>
  <c r="W167" i="1"/>
  <c r="T167" i="1"/>
  <c r="AC166" i="1"/>
  <c r="AB166" i="1"/>
  <c r="AA166" i="1"/>
  <c r="Z166" i="1"/>
  <c r="Y166" i="1"/>
  <c r="X166" i="1"/>
  <c r="W166" i="1"/>
  <c r="T166" i="1"/>
  <c r="AC165" i="1"/>
  <c r="AB165" i="1"/>
  <c r="AA165" i="1"/>
  <c r="Z165" i="1"/>
  <c r="Y165" i="1"/>
  <c r="X165" i="1"/>
  <c r="W165" i="1"/>
  <c r="T165" i="1"/>
  <c r="AC164" i="1"/>
  <c r="AB164" i="1"/>
  <c r="AA164" i="1"/>
  <c r="Z164" i="1"/>
  <c r="Y164" i="1"/>
  <c r="X164" i="1"/>
  <c r="W164" i="1"/>
  <c r="T164" i="1"/>
  <c r="AC163" i="1"/>
  <c r="AB163" i="1"/>
  <c r="AA163" i="1"/>
  <c r="Z163" i="1"/>
  <c r="Y163" i="1"/>
  <c r="X163" i="1"/>
  <c r="W163" i="1"/>
  <c r="T163" i="1"/>
  <c r="AC162" i="1"/>
  <c r="AB162" i="1"/>
  <c r="AA162" i="1"/>
  <c r="Z162" i="1"/>
  <c r="Y162" i="1"/>
  <c r="X162" i="1"/>
  <c r="W162" i="1"/>
  <c r="T162" i="1"/>
  <c r="AC161" i="1"/>
  <c r="AB161" i="1"/>
  <c r="AA161" i="1"/>
  <c r="Z161" i="1"/>
  <c r="Y161" i="1"/>
  <c r="X161" i="1"/>
  <c r="W161" i="1"/>
  <c r="T161" i="1"/>
  <c r="AC160" i="1"/>
  <c r="AB160" i="1"/>
  <c r="AA160" i="1"/>
  <c r="Z160" i="1"/>
  <c r="Y160" i="1"/>
  <c r="X160" i="1"/>
  <c r="W160" i="1"/>
  <c r="T160" i="1"/>
  <c r="AC159" i="1"/>
  <c r="AB159" i="1"/>
  <c r="AA159" i="1"/>
  <c r="Z159" i="1"/>
  <c r="Y159" i="1"/>
  <c r="X159" i="1"/>
  <c r="W159" i="1"/>
  <c r="T159" i="1"/>
  <c r="AC158" i="1"/>
  <c r="AB158" i="1"/>
  <c r="AA158" i="1"/>
  <c r="Z158" i="1"/>
  <c r="Y158" i="1"/>
  <c r="X158" i="1"/>
  <c r="W158" i="1"/>
  <c r="T158" i="1"/>
  <c r="AC157" i="1"/>
  <c r="AB157" i="1"/>
  <c r="AA157" i="1"/>
  <c r="Z157" i="1"/>
  <c r="Y157" i="1"/>
  <c r="X157" i="1"/>
  <c r="W157" i="1"/>
  <c r="T157" i="1"/>
  <c r="AC156" i="1"/>
  <c r="AB156" i="1"/>
  <c r="AA156" i="1"/>
  <c r="Z156" i="1"/>
  <c r="Y156" i="1"/>
  <c r="X156" i="1"/>
  <c r="W156" i="1"/>
  <c r="T156" i="1"/>
  <c r="AC155" i="1"/>
  <c r="AB155" i="1"/>
  <c r="AA155" i="1"/>
  <c r="Z155" i="1"/>
  <c r="Y155" i="1"/>
  <c r="X155" i="1"/>
  <c r="W155" i="1"/>
  <c r="T155" i="1"/>
  <c r="AC154" i="1"/>
  <c r="AB154" i="1"/>
  <c r="AA154" i="1"/>
  <c r="Z154" i="1"/>
  <c r="Y154" i="1"/>
  <c r="X154" i="1"/>
  <c r="W154" i="1"/>
  <c r="T154" i="1"/>
  <c r="AC153" i="1"/>
  <c r="AB153" i="1"/>
  <c r="AA153" i="1"/>
  <c r="Z153" i="1"/>
  <c r="Y153" i="1"/>
  <c r="X153" i="1"/>
  <c r="W153" i="1"/>
  <c r="T153" i="1"/>
  <c r="AC152" i="1"/>
  <c r="AB152" i="1"/>
  <c r="AA152" i="1"/>
  <c r="Z152" i="1"/>
  <c r="Y152" i="1"/>
  <c r="X152" i="1"/>
  <c r="W152" i="1"/>
  <c r="T152" i="1"/>
  <c r="AC151" i="1"/>
  <c r="AB151" i="1"/>
  <c r="AA151" i="1"/>
  <c r="Z151" i="1"/>
  <c r="Y151" i="1"/>
  <c r="X151" i="1"/>
  <c r="W151" i="1"/>
  <c r="T151" i="1"/>
  <c r="AC150" i="1"/>
  <c r="AB150" i="1"/>
  <c r="AA150" i="1"/>
  <c r="Z150" i="1"/>
  <c r="Y150" i="1"/>
  <c r="X150" i="1"/>
  <c r="W150" i="1"/>
  <c r="T150" i="1"/>
  <c r="AC149" i="1"/>
  <c r="AB149" i="1"/>
  <c r="AA149" i="1"/>
  <c r="Z149" i="1"/>
  <c r="Y149" i="1"/>
  <c r="X149" i="1"/>
  <c r="W149" i="1"/>
  <c r="T149" i="1"/>
  <c r="AC148" i="1"/>
  <c r="AB148" i="1"/>
  <c r="AA148" i="1"/>
  <c r="Z148" i="1"/>
  <c r="Y148" i="1"/>
  <c r="X148" i="1"/>
  <c r="W148" i="1"/>
  <c r="T148" i="1"/>
  <c r="AC147" i="1"/>
  <c r="AB147" i="1"/>
  <c r="AA147" i="1"/>
  <c r="Z147" i="1"/>
  <c r="Y147" i="1"/>
  <c r="X147" i="1"/>
  <c r="W147" i="1"/>
  <c r="T147" i="1"/>
  <c r="AC146" i="1"/>
  <c r="AB146" i="1"/>
  <c r="AA146" i="1"/>
  <c r="Z146" i="1"/>
  <c r="Y146" i="1"/>
  <c r="X146" i="1"/>
  <c r="W146" i="1"/>
  <c r="T146" i="1"/>
  <c r="AC145" i="1"/>
  <c r="AB145" i="1"/>
  <c r="AA145" i="1"/>
  <c r="Z145" i="1"/>
  <c r="Y145" i="1"/>
  <c r="X145" i="1"/>
  <c r="W145" i="1"/>
  <c r="T145" i="1"/>
  <c r="AC144" i="1"/>
  <c r="AB144" i="1"/>
  <c r="AA144" i="1"/>
  <c r="Z144" i="1"/>
  <c r="Y144" i="1"/>
  <c r="X144" i="1"/>
  <c r="W144" i="1"/>
  <c r="T144" i="1"/>
  <c r="AC143" i="1"/>
  <c r="AB143" i="1"/>
  <c r="AA143" i="1"/>
  <c r="Z143" i="1"/>
  <c r="Y143" i="1"/>
  <c r="X143" i="1"/>
  <c r="W143" i="1"/>
  <c r="T143" i="1"/>
  <c r="AC142" i="1"/>
  <c r="AB142" i="1"/>
  <c r="AA142" i="1"/>
  <c r="Z142" i="1"/>
  <c r="Y142" i="1"/>
  <c r="X142" i="1"/>
  <c r="W142" i="1"/>
  <c r="T142" i="1"/>
  <c r="AC141" i="1"/>
  <c r="AB141" i="1"/>
  <c r="AA141" i="1"/>
  <c r="Z141" i="1"/>
  <c r="Y141" i="1"/>
  <c r="X141" i="1"/>
  <c r="W141" i="1"/>
  <c r="T141" i="1"/>
  <c r="AC140" i="1"/>
  <c r="AB140" i="1"/>
  <c r="AA140" i="1"/>
  <c r="Z140" i="1"/>
  <c r="Y140" i="1"/>
  <c r="X140" i="1"/>
  <c r="W140" i="1"/>
  <c r="T140" i="1"/>
  <c r="AC139" i="1"/>
  <c r="AB139" i="1"/>
  <c r="AA139" i="1"/>
  <c r="Z139" i="1"/>
  <c r="Y139" i="1"/>
  <c r="X139" i="1"/>
  <c r="W139" i="1"/>
  <c r="T139" i="1"/>
  <c r="AC138" i="1"/>
  <c r="AB138" i="1"/>
  <c r="AA138" i="1"/>
  <c r="Z138" i="1"/>
  <c r="Y138" i="1"/>
  <c r="X138" i="1"/>
  <c r="W138" i="1"/>
  <c r="T138" i="1"/>
  <c r="AC137" i="1"/>
  <c r="AB137" i="1"/>
  <c r="AA137" i="1"/>
  <c r="Z137" i="1"/>
  <c r="Y137" i="1"/>
  <c r="X137" i="1"/>
  <c r="W137" i="1"/>
  <c r="T137" i="1"/>
  <c r="AC136" i="1"/>
  <c r="AB136" i="1"/>
  <c r="AA136" i="1"/>
  <c r="Z136" i="1"/>
  <c r="Y136" i="1"/>
  <c r="X136" i="1"/>
  <c r="W136" i="1"/>
  <c r="T136" i="1"/>
  <c r="AC135" i="1"/>
  <c r="AB135" i="1"/>
  <c r="AA135" i="1"/>
  <c r="Z135" i="1"/>
  <c r="Y135" i="1"/>
  <c r="X135" i="1"/>
  <c r="W135" i="1"/>
  <c r="T135" i="1"/>
  <c r="AC134" i="1"/>
  <c r="AB134" i="1"/>
  <c r="AA134" i="1"/>
  <c r="Z134" i="1"/>
  <c r="Y134" i="1"/>
  <c r="X134" i="1"/>
  <c r="W134" i="1"/>
  <c r="T134" i="1"/>
  <c r="AC133" i="1"/>
  <c r="AB133" i="1"/>
  <c r="AA133" i="1"/>
  <c r="Z133" i="1"/>
  <c r="Y133" i="1"/>
  <c r="X133" i="1"/>
  <c r="W133" i="1"/>
  <c r="T133" i="1"/>
  <c r="AC132" i="1"/>
  <c r="AB132" i="1"/>
  <c r="AA132" i="1"/>
  <c r="Z132" i="1"/>
  <c r="Y132" i="1"/>
  <c r="X132" i="1"/>
  <c r="W132" i="1"/>
  <c r="T132" i="1"/>
  <c r="AC131" i="1"/>
  <c r="AB131" i="1"/>
  <c r="AA131" i="1"/>
  <c r="Z131" i="1"/>
  <c r="Y131" i="1"/>
  <c r="X131" i="1"/>
  <c r="W131" i="1"/>
  <c r="T131" i="1"/>
  <c r="AC130" i="1"/>
  <c r="AB130" i="1"/>
  <c r="AA130" i="1"/>
  <c r="Z130" i="1"/>
  <c r="Y130" i="1"/>
  <c r="X130" i="1"/>
  <c r="W130" i="1"/>
  <c r="T130" i="1"/>
  <c r="AC129" i="1"/>
  <c r="AB129" i="1"/>
  <c r="AA129" i="1"/>
  <c r="Z129" i="1"/>
  <c r="Y129" i="1"/>
  <c r="X129" i="1"/>
  <c r="W129" i="1"/>
  <c r="T129" i="1"/>
  <c r="AC128" i="1"/>
  <c r="AB128" i="1"/>
  <c r="AA128" i="1"/>
  <c r="Z128" i="1"/>
  <c r="Y128" i="1"/>
  <c r="X128" i="1"/>
  <c r="W128" i="1"/>
  <c r="T128" i="1"/>
  <c r="AC127" i="1"/>
  <c r="AB127" i="1"/>
  <c r="AA127" i="1"/>
  <c r="Z127" i="1"/>
  <c r="Y127" i="1"/>
  <c r="X127" i="1"/>
  <c r="W127" i="1"/>
  <c r="T127" i="1"/>
  <c r="AC126" i="1"/>
  <c r="AB126" i="1"/>
  <c r="AA126" i="1"/>
  <c r="Z126" i="1"/>
  <c r="Y126" i="1"/>
  <c r="X126" i="1"/>
  <c r="W126" i="1"/>
  <c r="T126" i="1"/>
  <c r="AC125" i="1"/>
  <c r="AB125" i="1"/>
  <c r="AA125" i="1"/>
  <c r="Z125" i="1"/>
  <c r="Y125" i="1"/>
  <c r="X125" i="1"/>
  <c r="W125" i="1"/>
  <c r="T125" i="1"/>
  <c r="AC124" i="1"/>
  <c r="AB124" i="1"/>
  <c r="AA124" i="1"/>
  <c r="Z124" i="1"/>
  <c r="Y124" i="1"/>
  <c r="X124" i="1"/>
  <c r="W124" i="1"/>
  <c r="T124" i="1"/>
  <c r="AC123" i="1"/>
  <c r="AB123" i="1"/>
  <c r="AA123" i="1"/>
  <c r="Z123" i="1"/>
  <c r="Y123" i="1"/>
  <c r="X123" i="1"/>
  <c r="W123" i="1"/>
  <c r="T123" i="1"/>
  <c r="AC122" i="1"/>
  <c r="AB122" i="1"/>
  <c r="AA122" i="1"/>
  <c r="Z122" i="1"/>
  <c r="Y122" i="1"/>
  <c r="X122" i="1"/>
  <c r="W122" i="1"/>
  <c r="T122" i="1"/>
  <c r="AC121" i="1"/>
  <c r="AB121" i="1"/>
  <c r="AA121" i="1"/>
  <c r="Z121" i="1"/>
  <c r="Y121" i="1"/>
  <c r="X121" i="1"/>
  <c r="W121" i="1"/>
  <c r="T121" i="1"/>
  <c r="AC120" i="1"/>
  <c r="AB120" i="1"/>
  <c r="AA120" i="1"/>
  <c r="Z120" i="1"/>
  <c r="Y120" i="1"/>
  <c r="X120" i="1"/>
  <c r="W120" i="1"/>
  <c r="T120" i="1"/>
  <c r="AC119" i="1"/>
  <c r="AB119" i="1"/>
  <c r="AA119" i="1"/>
  <c r="Z119" i="1"/>
  <c r="Y119" i="1"/>
  <c r="X119" i="1"/>
  <c r="W119" i="1"/>
  <c r="T119" i="1"/>
  <c r="AC118" i="1"/>
  <c r="AB118" i="1"/>
  <c r="AA118" i="1"/>
  <c r="Z118" i="1"/>
  <c r="Y118" i="1"/>
  <c r="X118" i="1"/>
  <c r="W118" i="1"/>
  <c r="T118" i="1"/>
  <c r="AC117" i="1"/>
  <c r="AB117" i="1"/>
  <c r="AA117" i="1"/>
  <c r="Z117" i="1"/>
  <c r="Y117" i="1"/>
  <c r="X117" i="1"/>
  <c r="W117" i="1"/>
  <c r="T117" i="1"/>
  <c r="AC116" i="1"/>
  <c r="AB116" i="1"/>
  <c r="AA116" i="1"/>
  <c r="Z116" i="1"/>
  <c r="Y116" i="1"/>
  <c r="X116" i="1"/>
  <c r="W116" i="1"/>
  <c r="T116" i="1"/>
  <c r="AC115" i="1"/>
  <c r="AB115" i="1"/>
  <c r="AA115" i="1"/>
  <c r="Z115" i="1"/>
  <c r="Y115" i="1"/>
  <c r="X115" i="1"/>
  <c r="W115" i="1"/>
  <c r="T115" i="1"/>
  <c r="AC114" i="1"/>
  <c r="AB114" i="1"/>
  <c r="AA114" i="1"/>
  <c r="Z114" i="1"/>
  <c r="Y114" i="1"/>
  <c r="X114" i="1"/>
  <c r="W114" i="1"/>
  <c r="T114" i="1"/>
  <c r="AC113" i="1"/>
  <c r="AB113" i="1"/>
  <c r="AA113" i="1"/>
  <c r="Z113" i="1"/>
  <c r="Y113" i="1"/>
  <c r="X113" i="1"/>
  <c r="W113" i="1"/>
  <c r="T113" i="1"/>
  <c r="AC112" i="1"/>
  <c r="AB112" i="1"/>
  <c r="AA112" i="1"/>
  <c r="Z112" i="1"/>
  <c r="Y112" i="1"/>
  <c r="X112" i="1"/>
  <c r="W112" i="1"/>
  <c r="T112" i="1"/>
  <c r="AC111" i="1"/>
  <c r="AB111" i="1"/>
  <c r="AA111" i="1"/>
  <c r="Z111" i="1"/>
  <c r="Y111" i="1"/>
  <c r="X111" i="1"/>
  <c r="W111" i="1"/>
  <c r="T111" i="1"/>
  <c r="AC110" i="1"/>
  <c r="AB110" i="1"/>
  <c r="AA110" i="1"/>
  <c r="Z110" i="1"/>
  <c r="Y110" i="1"/>
  <c r="X110" i="1"/>
  <c r="W110" i="1"/>
  <c r="T110" i="1"/>
  <c r="AC109" i="1"/>
  <c r="AB109" i="1"/>
  <c r="AA109" i="1"/>
  <c r="Z109" i="1"/>
  <c r="Y109" i="1"/>
  <c r="X109" i="1"/>
  <c r="W109" i="1"/>
  <c r="T109" i="1"/>
  <c r="AC108" i="1"/>
  <c r="AB108" i="1"/>
  <c r="AA108" i="1"/>
  <c r="Z108" i="1"/>
  <c r="Y108" i="1"/>
  <c r="X108" i="1"/>
  <c r="W108" i="1"/>
  <c r="T108" i="1"/>
  <c r="AC107" i="1"/>
  <c r="AB107" i="1"/>
  <c r="AA107" i="1"/>
  <c r="Z107" i="1"/>
  <c r="Y107" i="1"/>
  <c r="X107" i="1"/>
  <c r="W107" i="1"/>
  <c r="T107" i="1"/>
  <c r="AC106" i="1"/>
  <c r="AB106" i="1"/>
  <c r="AA106" i="1"/>
  <c r="Z106" i="1"/>
  <c r="Y106" i="1"/>
  <c r="X106" i="1"/>
  <c r="W106" i="1"/>
  <c r="T106" i="1"/>
  <c r="AC105" i="1"/>
  <c r="AB105" i="1"/>
  <c r="AA105" i="1"/>
  <c r="Z105" i="1"/>
  <c r="Y105" i="1"/>
  <c r="X105" i="1"/>
  <c r="W105" i="1"/>
  <c r="T105" i="1"/>
  <c r="AC104" i="1"/>
  <c r="AB104" i="1"/>
  <c r="AA104" i="1"/>
  <c r="Z104" i="1"/>
  <c r="Y104" i="1"/>
  <c r="X104" i="1"/>
  <c r="W104" i="1"/>
  <c r="T104" i="1"/>
  <c r="AC103" i="1"/>
  <c r="AB103" i="1"/>
  <c r="AA103" i="1"/>
  <c r="Z103" i="1"/>
  <c r="Y103" i="1"/>
  <c r="X103" i="1"/>
  <c r="W103" i="1"/>
  <c r="T103" i="1"/>
  <c r="AC102" i="1"/>
  <c r="AB102" i="1"/>
  <c r="AA102" i="1"/>
  <c r="Z102" i="1"/>
  <c r="Y102" i="1"/>
  <c r="X102" i="1"/>
  <c r="W102" i="1"/>
  <c r="T102" i="1"/>
  <c r="AC101" i="1"/>
  <c r="AB101" i="1"/>
  <c r="AA101" i="1"/>
  <c r="Z101" i="1"/>
  <c r="Y101" i="1"/>
  <c r="X101" i="1"/>
  <c r="W101" i="1"/>
  <c r="T101" i="1"/>
  <c r="AC100" i="1"/>
  <c r="AB100" i="1"/>
  <c r="AA100" i="1"/>
  <c r="Z100" i="1"/>
  <c r="Y100" i="1"/>
  <c r="X100" i="1"/>
  <c r="W100" i="1"/>
  <c r="T100" i="1"/>
  <c r="AC99" i="1"/>
  <c r="AB99" i="1"/>
  <c r="AA99" i="1"/>
  <c r="Z99" i="1"/>
  <c r="Y99" i="1"/>
  <c r="X99" i="1"/>
  <c r="W99" i="1"/>
  <c r="T99" i="1"/>
  <c r="AC98" i="1"/>
  <c r="AB98" i="1"/>
  <c r="AA98" i="1"/>
  <c r="Z98" i="1"/>
  <c r="Y98" i="1"/>
  <c r="X98" i="1"/>
  <c r="W98" i="1"/>
  <c r="T98" i="1"/>
  <c r="AC97" i="1"/>
  <c r="AB97" i="1"/>
  <c r="AA97" i="1"/>
  <c r="Z97" i="1"/>
  <c r="Y97" i="1"/>
  <c r="X97" i="1"/>
  <c r="W97" i="1"/>
  <c r="T97" i="1"/>
  <c r="AC96" i="1"/>
  <c r="AB96" i="1"/>
  <c r="AA96" i="1"/>
  <c r="Z96" i="1"/>
  <c r="Y96" i="1"/>
  <c r="X96" i="1"/>
  <c r="W96" i="1"/>
  <c r="T96" i="1"/>
  <c r="AC95" i="1"/>
  <c r="AB95" i="1"/>
  <c r="AA95" i="1"/>
  <c r="Z95" i="1"/>
  <c r="Y95" i="1"/>
  <c r="X95" i="1"/>
  <c r="W95" i="1"/>
  <c r="T95" i="1"/>
  <c r="AC94" i="1"/>
  <c r="AB94" i="1"/>
  <c r="AA94" i="1"/>
  <c r="Z94" i="1"/>
  <c r="Y94" i="1"/>
  <c r="X94" i="1"/>
  <c r="W94" i="1"/>
  <c r="T94" i="1"/>
  <c r="AC93" i="1"/>
  <c r="AB93" i="1"/>
  <c r="AA93" i="1"/>
  <c r="Z93" i="1"/>
  <c r="Y93" i="1"/>
  <c r="X93" i="1"/>
  <c r="W93" i="1"/>
  <c r="T93" i="1"/>
  <c r="AC92" i="1"/>
  <c r="AB92" i="1"/>
  <c r="AA92" i="1"/>
  <c r="Z92" i="1"/>
  <c r="Y92" i="1"/>
  <c r="X92" i="1"/>
  <c r="W92" i="1"/>
  <c r="T92" i="1"/>
  <c r="AC91" i="1"/>
  <c r="AB91" i="1"/>
  <c r="AA91" i="1"/>
  <c r="Z91" i="1"/>
  <c r="Y91" i="1"/>
  <c r="X91" i="1"/>
  <c r="W91" i="1"/>
  <c r="T91" i="1"/>
  <c r="AC90" i="1"/>
  <c r="AB90" i="1"/>
  <c r="AA90" i="1"/>
  <c r="Z90" i="1"/>
  <c r="Y90" i="1"/>
  <c r="X90" i="1"/>
  <c r="W90" i="1"/>
  <c r="T90" i="1"/>
  <c r="AC89" i="1"/>
  <c r="AB89" i="1"/>
  <c r="AA89" i="1"/>
  <c r="Z89" i="1"/>
  <c r="Y89" i="1"/>
  <c r="X89" i="1"/>
  <c r="W89" i="1"/>
  <c r="T89" i="1"/>
  <c r="AC88" i="1"/>
  <c r="AB88" i="1"/>
  <c r="AA88" i="1"/>
  <c r="Z88" i="1"/>
  <c r="Y88" i="1"/>
  <c r="X88" i="1"/>
  <c r="W88" i="1"/>
  <c r="T88" i="1"/>
  <c r="AC87" i="1"/>
  <c r="AB87" i="1"/>
  <c r="AA87" i="1"/>
  <c r="Z87" i="1"/>
  <c r="Y87" i="1"/>
  <c r="X87" i="1"/>
  <c r="W87" i="1"/>
  <c r="T87" i="1"/>
  <c r="AC86" i="1"/>
  <c r="AB86" i="1"/>
  <c r="AA86" i="1"/>
  <c r="Z86" i="1"/>
  <c r="Y86" i="1"/>
  <c r="X86" i="1"/>
  <c r="W86" i="1"/>
  <c r="T86" i="1"/>
  <c r="AC85" i="1"/>
  <c r="AB85" i="1"/>
  <c r="AA85" i="1"/>
  <c r="Z85" i="1"/>
  <c r="Y85" i="1"/>
  <c r="X85" i="1"/>
  <c r="W85" i="1"/>
  <c r="T85" i="1"/>
  <c r="AC84" i="1"/>
  <c r="AB84" i="1"/>
  <c r="AA84" i="1"/>
  <c r="Z84" i="1"/>
  <c r="Y84" i="1"/>
  <c r="X84" i="1"/>
  <c r="W84" i="1"/>
  <c r="T84" i="1"/>
  <c r="AC83" i="1"/>
  <c r="AB83" i="1"/>
  <c r="AA83" i="1"/>
  <c r="Z83" i="1"/>
  <c r="Y83" i="1"/>
  <c r="X83" i="1"/>
  <c r="W83" i="1"/>
  <c r="T83" i="1"/>
  <c r="AC82" i="1"/>
  <c r="AB82" i="1"/>
  <c r="AA82" i="1"/>
  <c r="Z82" i="1"/>
  <c r="Y82" i="1"/>
  <c r="X82" i="1"/>
  <c r="W82" i="1"/>
  <c r="T82" i="1"/>
  <c r="AC81" i="1"/>
  <c r="AB81" i="1"/>
  <c r="AA81" i="1"/>
  <c r="Z81" i="1"/>
  <c r="Y81" i="1"/>
  <c r="X81" i="1"/>
  <c r="W81" i="1"/>
  <c r="T81" i="1"/>
  <c r="AC80" i="1"/>
  <c r="AB80" i="1"/>
  <c r="AA80" i="1"/>
  <c r="Z80" i="1"/>
  <c r="Y80" i="1"/>
  <c r="X80" i="1"/>
  <c r="W80" i="1"/>
  <c r="T80" i="1"/>
  <c r="AC79" i="1"/>
  <c r="AB79" i="1"/>
  <c r="AA79" i="1"/>
  <c r="Z79" i="1"/>
  <c r="Y79" i="1"/>
  <c r="X79" i="1"/>
  <c r="W79" i="1"/>
  <c r="T79" i="1"/>
  <c r="AC78" i="1"/>
  <c r="AB78" i="1"/>
  <c r="AA78" i="1"/>
  <c r="Z78" i="1"/>
  <c r="Y78" i="1"/>
  <c r="X78" i="1"/>
  <c r="W78" i="1"/>
  <c r="T78" i="1"/>
  <c r="AC77" i="1"/>
  <c r="AB77" i="1"/>
  <c r="AA77" i="1"/>
  <c r="Z77" i="1"/>
  <c r="Y77" i="1"/>
  <c r="X77" i="1"/>
  <c r="W77" i="1"/>
  <c r="T77" i="1"/>
  <c r="AC76" i="1"/>
  <c r="AB76" i="1"/>
  <c r="AA76" i="1"/>
  <c r="Z76" i="1"/>
  <c r="Y76" i="1"/>
  <c r="X76" i="1"/>
  <c r="W76" i="1"/>
  <c r="T76" i="1"/>
  <c r="AC75" i="1"/>
  <c r="AB75" i="1"/>
  <c r="AA75" i="1"/>
  <c r="Z75" i="1"/>
  <c r="Y75" i="1"/>
  <c r="X75" i="1"/>
  <c r="W75" i="1"/>
  <c r="T75" i="1"/>
  <c r="AC74" i="1"/>
  <c r="AB74" i="1"/>
  <c r="AA74" i="1"/>
  <c r="Z74" i="1"/>
  <c r="Y74" i="1"/>
  <c r="X74" i="1"/>
  <c r="W74" i="1"/>
  <c r="T74" i="1"/>
  <c r="AC73" i="1"/>
  <c r="AB73" i="1"/>
  <c r="AA73" i="1"/>
  <c r="Z73" i="1"/>
  <c r="Y73" i="1"/>
  <c r="X73" i="1"/>
  <c r="W73" i="1"/>
  <c r="T73" i="1"/>
  <c r="AC72" i="1"/>
  <c r="AB72" i="1"/>
  <c r="AA72" i="1"/>
  <c r="Z72" i="1"/>
  <c r="Y72" i="1"/>
  <c r="X72" i="1"/>
  <c r="W72" i="1"/>
  <c r="T72" i="1"/>
  <c r="AC71" i="1"/>
  <c r="AB71" i="1"/>
  <c r="AA71" i="1"/>
  <c r="Z71" i="1"/>
  <c r="Y71" i="1"/>
  <c r="X71" i="1"/>
  <c r="W71" i="1"/>
  <c r="T71" i="1"/>
  <c r="AC70" i="1"/>
  <c r="AB70" i="1"/>
  <c r="AA70" i="1"/>
  <c r="Z70" i="1"/>
  <c r="Y70" i="1"/>
  <c r="X70" i="1"/>
  <c r="W70" i="1"/>
  <c r="T70" i="1"/>
  <c r="AC69" i="1"/>
  <c r="AB69" i="1"/>
  <c r="AA69" i="1"/>
  <c r="Z69" i="1"/>
  <c r="Y69" i="1"/>
  <c r="X69" i="1"/>
  <c r="W69" i="1"/>
  <c r="T69" i="1"/>
  <c r="AC68" i="1"/>
  <c r="AB68" i="1"/>
  <c r="AA68" i="1"/>
  <c r="Z68" i="1"/>
  <c r="Y68" i="1"/>
  <c r="X68" i="1"/>
  <c r="W68" i="1"/>
  <c r="T68" i="1"/>
  <c r="AC67" i="1"/>
  <c r="AB67" i="1"/>
  <c r="AA67" i="1"/>
  <c r="Z67" i="1"/>
  <c r="Y67" i="1"/>
  <c r="X67" i="1"/>
  <c r="W67" i="1"/>
  <c r="T67" i="1"/>
  <c r="AC66" i="1"/>
  <c r="AB66" i="1"/>
  <c r="AA66" i="1"/>
  <c r="Z66" i="1"/>
  <c r="Y66" i="1"/>
  <c r="X66" i="1"/>
  <c r="W66" i="1"/>
  <c r="T66" i="1"/>
  <c r="AC65" i="1"/>
  <c r="AB65" i="1"/>
  <c r="AA65" i="1"/>
  <c r="Z65" i="1"/>
  <c r="Y65" i="1"/>
  <c r="X65" i="1"/>
  <c r="W65" i="1"/>
  <c r="T65" i="1"/>
  <c r="AC64" i="1"/>
  <c r="AB64" i="1"/>
  <c r="AA64" i="1"/>
  <c r="Z64" i="1"/>
  <c r="Y64" i="1"/>
  <c r="X64" i="1"/>
  <c r="W64" i="1"/>
  <c r="T64" i="1"/>
  <c r="AC63" i="1"/>
  <c r="AB63" i="1"/>
  <c r="AA63" i="1"/>
  <c r="Z63" i="1"/>
  <c r="Y63" i="1"/>
  <c r="X63" i="1"/>
  <c r="W63" i="1"/>
  <c r="T63" i="1"/>
  <c r="AC62" i="1"/>
  <c r="AB62" i="1"/>
  <c r="AA62" i="1"/>
  <c r="Z62" i="1"/>
  <c r="Y62" i="1"/>
  <c r="X62" i="1"/>
  <c r="W62" i="1"/>
  <c r="T62" i="1"/>
  <c r="AC61" i="1"/>
  <c r="AB61" i="1"/>
  <c r="AA61" i="1"/>
  <c r="Z61" i="1"/>
  <c r="Y61" i="1"/>
  <c r="X61" i="1"/>
  <c r="W61" i="1"/>
  <c r="T61" i="1"/>
  <c r="AC60" i="1"/>
  <c r="AB60" i="1"/>
  <c r="AA60" i="1"/>
  <c r="Z60" i="1"/>
  <c r="Y60" i="1"/>
  <c r="X60" i="1"/>
  <c r="W60" i="1"/>
  <c r="T60" i="1"/>
  <c r="AC59" i="1"/>
  <c r="AB59" i="1"/>
  <c r="AA59" i="1"/>
  <c r="Z59" i="1"/>
  <c r="Y59" i="1"/>
  <c r="X59" i="1"/>
  <c r="W59" i="1"/>
  <c r="T59" i="1"/>
  <c r="AC58" i="1"/>
  <c r="AB58" i="1"/>
  <c r="AA58" i="1"/>
  <c r="Z58" i="1"/>
  <c r="Y58" i="1"/>
  <c r="X58" i="1"/>
  <c r="W58" i="1"/>
  <c r="T58" i="1"/>
  <c r="AC57" i="1"/>
  <c r="AB57" i="1"/>
  <c r="AA57" i="1"/>
  <c r="Z57" i="1"/>
  <c r="Y57" i="1"/>
  <c r="X57" i="1"/>
  <c r="W57" i="1"/>
  <c r="T57" i="1"/>
  <c r="AC56" i="1"/>
  <c r="AB56" i="1"/>
  <c r="AA56" i="1"/>
  <c r="Z56" i="1"/>
  <c r="Y56" i="1"/>
  <c r="X56" i="1"/>
  <c r="W56" i="1"/>
  <c r="T56" i="1"/>
  <c r="AC55" i="1"/>
  <c r="AB55" i="1"/>
  <c r="AA55" i="1"/>
  <c r="Z55" i="1"/>
  <c r="Y55" i="1"/>
  <c r="X55" i="1"/>
  <c r="W55" i="1"/>
  <c r="T55" i="1"/>
  <c r="AC54" i="1"/>
  <c r="AB54" i="1"/>
  <c r="AA54" i="1"/>
  <c r="Z54" i="1"/>
  <c r="Y54" i="1"/>
  <c r="X54" i="1"/>
  <c r="W54" i="1"/>
  <c r="T54" i="1"/>
  <c r="AC53" i="1"/>
  <c r="AB53" i="1"/>
  <c r="AA53" i="1"/>
  <c r="Z53" i="1"/>
  <c r="Y53" i="1"/>
  <c r="X53" i="1"/>
  <c r="W53" i="1"/>
  <c r="T53" i="1"/>
  <c r="AC52" i="1"/>
  <c r="AB52" i="1"/>
  <c r="AA52" i="1"/>
  <c r="Z52" i="1"/>
  <c r="Y52" i="1"/>
  <c r="X52" i="1"/>
  <c r="W52" i="1"/>
  <c r="T52" i="1"/>
  <c r="AC51" i="1"/>
  <c r="AB51" i="1"/>
  <c r="AA51" i="1"/>
  <c r="Z51" i="1"/>
  <c r="Y51" i="1"/>
  <c r="X51" i="1"/>
  <c r="W51" i="1"/>
  <c r="T51" i="1"/>
  <c r="AC50" i="1"/>
  <c r="AB50" i="1"/>
  <c r="AA50" i="1"/>
  <c r="Z50" i="1"/>
  <c r="Y50" i="1"/>
  <c r="X50" i="1"/>
  <c r="W50" i="1"/>
  <c r="T50" i="1"/>
  <c r="AC49" i="1"/>
  <c r="AB49" i="1"/>
  <c r="AA49" i="1"/>
  <c r="Z49" i="1"/>
  <c r="Y49" i="1"/>
  <c r="X49" i="1"/>
  <c r="W49" i="1"/>
  <c r="T49" i="1"/>
  <c r="AC48" i="1"/>
  <c r="AB48" i="1"/>
  <c r="AA48" i="1"/>
  <c r="Z48" i="1"/>
  <c r="Y48" i="1"/>
  <c r="X48" i="1"/>
  <c r="W48" i="1"/>
  <c r="T48" i="1"/>
  <c r="AC47" i="1"/>
  <c r="AB47" i="1"/>
  <c r="AA47" i="1"/>
  <c r="Z47" i="1"/>
  <c r="Y47" i="1"/>
  <c r="X47" i="1"/>
  <c r="W47" i="1"/>
  <c r="T47" i="1"/>
  <c r="AC46" i="1"/>
  <c r="AB46" i="1"/>
  <c r="AA46" i="1"/>
  <c r="Z46" i="1"/>
  <c r="Y46" i="1"/>
  <c r="X46" i="1"/>
  <c r="W46" i="1"/>
  <c r="T46" i="1"/>
  <c r="AC45" i="1"/>
  <c r="AB45" i="1"/>
  <c r="AA45" i="1"/>
  <c r="Z45" i="1"/>
  <c r="Y45" i="1"/>
  <c r="X45" i="1"/>
  <c r="W45" i="1"/>
  <c r="T45" i="1"/>
  <c r="AC44" i="1"/>
  <c r="AB44" i="1"/>
  <c r="AA44" i="1"/>
  <c r="Z44" i="1"/>
  <c r="Y44" i="1"/>
  <c r="X44" i="1"/>
  <c r="W44" i="1"/>
  <c r="T44" i="1"/>
  <c r="AC43" i="1"/>
  <c r="AB43" i="1"/>
  <c r="AA43" i="1"/>
  <c r="Z43" i="1"/>
  <c r="Y43" i="1"/>
  <c r="X43" i="1"/>
  <c r="W43" i="1"/>
  <c r="T43" i="1"/>
  <c r="AC42" i="1"/>
  <c r="AB42" i="1"/>
  <c r="AA42" i="1"/>
  <c r="Z42" i="1"/>
  <c r="Y42" i="1"/>
  <c r="X42" i="1"/>
  <c r="W42" i="1"/>
  <c r="T42" i="1"/>
  <c r="AC41" i="1"/>
  <c r="AB41" i="1"/>
  <c r="AA41" i="1"/>
  <c r="Z41" i="1"/>
  <c r="Y41" i="1"/>
  <c r="X41" i="1"/>
  <c r="W41" i="1"/>
  <c r="T41" i="1"/>
  <c r="AC40" i="1"/>
  <c r="AB40" i="1"/>
  <c r="AA40" i="1"/>
  <c r="Z40" i="1"/>
  <c r="Y40" i="1"/>
  <c r="X40" i="1"/>
  <c r="W40" i="1"/>
  <c r="T40" i="1"/>
  <c r="AC39" i="1"/>
  <c r="AB39" i="1"/>
  <c r="AA39" i="1"/>
  <c r="Z39" i="1"/>
  <c r="Y39" i="1"/>
  <c r="X39" i="1"/>
  <c r="W39" i="1"/>
  <c r="T39" i="1"/>
  <c r="AC38" i="1"/>
  <c r="AB38" i="1"/>
  <c r="AA38" i="1"/>
  <c r="Z38" i="1"/>
  <c r="Y38" i="1"/>
  <c r="X38" i="1"/>
  <c r="W38" i="1"/>
  <c r="T38" i="1"/>
  <c r="AC37" i="1"/>
  <c r="AB37" i="1"/>
  <c r="AA37" i="1"/>
  <c r="Z37" i="1"/>
  <c r="Y37" i="1"/>
  <c r="X37" i="1"/>
  <c r="W37" i="1"/>
  <c r="T37" i="1"/>
  <c r="AC36" i="1"/>
  <c r="AB36" i="1"/>
  <c r="AA36" i="1"/>
  <c r="Z36" i="1"/>
  <c r="Y36" i="1"/>
  <c r="X36" i="1"/>
  <c r="W36" i="1"/>
  <c r="T36" i="1"/>
  <c r="AC35" i="1"/>
  <c r="AB35" i="1"/>
  <c r="AA35" i="1"/>
  <c r="Z35" i="1"/>
  <c r="Y35" i="1"/>
  <c r="X35" i="1"/>
  <c r="W35" i="1"/>
  <c r="T35" i="1"/>
  <c r="AC34" i="1"/>
  <c r="AB34" i="1"/>
  <c r="AA34" i="1"/>
  <c r="Z34" i="1"/>
  <c r="Y34" i="1"/>
  <c r="X34" i="1"/>
  <c r="W34" i="1"/>
  <c r="T34" i="1"/>
  <c r="AC33" i="1"/>
  <c r="AB33" i="1"/>
  <c r="AA33" i="1"/>
  <c r="Z33" i="1"/>
  <c r="Y33" i="1"/>
  <c r="X33" i="1"/>
  <c r="W33" i="1"/>
  <c r="T33" i="1"/>
  <c r="AC32" i="1"/>
  <c r="AB32" i="1"/>
  <c r="AA32" i="1"/>
  <c r="Z32" i="1"/>
  <c r="Y32" i="1"/>
  <c r="X32" i="1"/>
  <c r="W32" i="1"/>
  <c r="T32" i="1"/>
  <c r="AC31" i="1"/>
  <c r="AB31" i="1"/>
  <c r="AA31" i="1"/>
  <c r="Z31" i="1"/>
  <c r="Y31" i="1"/>
  <c r="X31" i="1"/>
  <c r="W31" i="1"/>
  <c r="T31" i="1"/>
  <c r="AC30" i="1"/>
  <c r="AB30" i="1"/>
  <c r="AA30" i="1"/>
  <c r="Z30" i="1"/>
  <c r="Y30" i="1"/>
  <c r="X30" i="1"/>
  <c r="W30" i="1"/>
  <c r="T30" i="1"/>
  <c r="AC29" i="1"/>
  <c r="AB29" i="1"/>
  <c r="AA29" i="1"/>
  <c r="Z29" i="1"/>
  <c r="Y29" i="1"/>
  <c r="X29" i="1"/>
  <c r="W29" i="1"/>
  <c r="T29" i="1"/>
  <c r="AC28" i="1"/>
  <c r="AB28" i="1"/>
  <c r="AA28" i="1"/>
  <c r="Z28" i="1"/>
  <c r="Y28" i="1"/>
  <c r="X28" i="1"/>
  <c r="W28" i="1"/>
  <c r="T28" i="1"/>
  <c r="AC27" i="1"/>
  <c r="AB27" i="1"/>
  <c r="AA27" i="1"/>
  <c r="Z27" i="1"/>
  <c r="Y27" i="1"/>
  <c r="X27" i="1"/>
  <c r="W27" i="1"/>
  <c r="T27" i="1"/>
  <c r="AC26" i="1"/>
  <c r="AB26" i="1"/>
  <c r="AA26" i="1"/>
  <c r="Z26" i="1"/>
  <c r="Y26" i="1"/>
  <c r="X26" i="1"/>
  <c r="W26" i="1"/>
  <c r="T26" i="1"/>
  <c r="AC25" i="1"/>
  <c r="AB25" i="1"/>
  <c r="AA25" i="1"/>
  <c r="Z25" i="1"/>
  <c r="Y25" i="1"/>
  <c r="X25" i="1"/>
  <c r="W25" i="1"/>
  <c r="T25" i="1"/>
  <c r="AC24" i="1"/>
  <c r="AB24" i="1"/>
  <c r="AA24" i="1"/>
  <c r="Z24" i="1"/>
  <c r="Y24" i="1"/>
  <c r="X24" i="1"/>
  <c r="W24" i="1"/>
  <c r="T24" i="1"/>
  <c r="AC23" i="1"/>
  <c r="AB23" i="1"/>
  <c r="AA23" i="1"/>
  <c r="Z23" i="1"/>
  <c r="Y23" i="1"/>
  <c r="X23" i="1"/>
  <c r="W23" i="1"/>
  <c r="T23" i="1"/>
  <c r="AC22" i="1"/>
  <c r="AB22" i="1"/>
  <c r="AA22" i="1"/>
  <c r="Z22" i="1"/>
  <c r="Y22" i="1"/>
  <c r="X22" i="1"/>
  <c r="W22" i="1"/>
  <c r="T22" i="1"/>
  <c r="AC21" i="1"/>
  <c r="AB21" i="1"/>
  <c r="AA21" i="1"/>
  <c r="Z21" i="1"/>
  <c r="Y21" i="1"/>
  <c r="X21" i="1"/>
  <c r="W21" i="1"/>
  <c r="T21" i="1"/>
  <c r="AC20" i="1"/>
  <c r="AB20" i="1"/>
  <c r="AA20" i="1"/>
  <c r="Z20" i="1"/>
  <c r="Y20" i="1"/>
  <c r="X20" i="1"/>
  <c r="W20" i="1"/>
  <c r="T20" i="1"/>
  <c r="AC19" i="1"/>
  <c r="AB19" i="1"/>
  <c r="AA19" i="1"/>
  <c r="Z19" i="1"/>
  <c r="Y19" i="1"/>
  <c r="X19" i="1"/>
  <c r="W19" i="1"/>
  <c r="T19" i="1"/>
  <c r="AC18" i="1"/>
  <c r="AB18" i="1"/>
  <c r="AA18" i="1"/>
  <c r="Z18" i="1"/>
  <c r="Y18" i="1"/>
  <c r="X18" i="1"/>
  <c r="W18" i="1"/>
  <c r="T18" i="1"/>
  <c r="AC17" i="1"/>
  <c r="AB17" i="1"/>
  <c r="AA17" i="1"/>
  <c r="Z17" i="1"/>
  <c r="Y17" i="1"/>
  <c r="X17" i="1"/>
  <c r="W17" i="1"/>
  <c r="T17" i="1"/>
  <c r="AC16" i="1"/>
  <c r="AB16" i="1"/>
  <c r="AA16" i="1"/>
  <c r="Z16" i="1"/>
  <c r="Y16" i="1"/>
  <c r="X16" i="1"/>
  <c r="W16" i="1"/>
  <c r="T16" i="1"/>
  <c r="AC15" i="1"/>
  <c r="AB15" i="1"/>
  <c r="AA15" i="1"/>
  <c r="Z15" i="1"/>
  <c r="Y15" i="1"/>
  <c r="X15" i="1"/>
  <c r="W15" i="1"/>
  <c r="T15" i="1"/>
  <c r="AC14" i="1"/>
  <c r="AB14" i="1"/>
  <c r="AA14" i="1"/>
  <c r="Z14" i="1"/>
  <c r="Y14" i="1"/>
  <c r="X14" i="1"/>
  <c r="W14" i="1"/>
  <c r="T14" i="1"/>
  <c r="AC13" i="1"/>
  <c r="AB13" i="1"/>
  <c r="AA13" i="1"/>
  <c r="Z13" i="1"/>
  <c r="Y13" i="1"/>
  <c r="X13" i="1"/>
  <c r="W13" i="1"/>
  <c r="T13" i="1"/>
  <c r="AC12" i="1"/>
  <c r="AB12" i="1"/>
  <c r="AA12" i="1"/>
  <c r="Z12" i="1"/>
  <c r="Y12" i="1"/>
  <c r="X12" i="1"/>
  <c r="W12" i="1"/>
  <c r="T12" i="1"/>
  <c r="AC11" i="1"/>
  <c r="AB11" i="1"/>
  <c r="AA11" i="1"/>
  <c r="Z11" i="1"/>
  <c r="Y11" i="1"/>
  <c r="X11" i="1"/>
  <c r="W11" i="1"/>
  <c r="T11" i="1"/>
  <c r="AC10" i="1"/>
  <c r="AB10" i="1"/>
  <c r="AA10" i="1"/>
  <c r="Z10" i="1"/>
  <c r="Y10" i="1"/>
  <c r="X10" i="1"/>
  <c r="W10" i="1"/>
  <c r="T10" i="1"/>
  <c r="AC9" i="1"/>
  <c r="AB9" i="1"/>
  <c r="AA9" i="1"/>
  <c r="Z9" i="1"/>
  <c r="Y9" i="1"/>
  <c r="X9" i="1"/>
  <c r="W9" i="1"/>
  <c r="T9" i="1"/>
  <c r="AC8" i="1"/>
  <c r="AB8" i="1"/>
  <c r="AA8" i="1"/>
  <c r="Z8" i="1"/>
  <c r="Y8" i="1"/>
  <c r="X8" i="1"/>
  <c r="W8" i="1"/>
  <c r="T8" i="1"/>
  <c r="AC7" i="1"/>
  <c r="AB7" i="1"/>
  <c r="AA7" i="1"/>
  <c r="Z7" i="1"/>
  <c r="Y7" i="1"/>
  <c r="X7" i="1"/>
  <c r="W7" i="1"/>
  <c r="T7" i="1"/>
  <c r="AC6" i="1"/>
  <c r="AB6" i="1"/>
  <c r="AA6" i="1"/>
  <c r="Z6" i="1"/>
  <c r="Y6" i="1"/>
  <c r="X6" i="1"/>
  <c r="W6" i="1"/>
  <c r="T6" i="1"/>
  <c r="AC5" i="1"/>
  <c r="AB5" i="1"/>
  <c r="AA5" i="1"/>
  <c r="Z5" i="1"/>
  <c r="Y5" i="1"/>
  <c r="X5" i="1"/>
  <c r="W5" i="1"/>
  <c r="T5" i="1"/>
  <c r="AC4" i="1"/>
  <c r="AB4" i="1"/>
  <c r="AA4" i="1"/>
  <c r="Z4" i="1"/>
  <c r="Y4" i="1"/>
  <c r="X4" i="1"/>
  <c r="W4" i="1"/>
  <c r="T4" i="1"/>
  <c r="R543" i="1"/>
  <c r="Q543" i="1"/>
  <c r="P543" i="1"/>
  <c r="O543" i="1"/>
  <c r="N543" i="1"/>
  <c r="M543" i="1"/>
  <c r="L543" i="1"/>
  <c r="I543" i="1"/>
  <c r="R542" i="1"/>
  <c r="Q542" i="1"/>
  <c r="P542" i="1"/>
  <c r="O542" i="1"/>
  <c r="N542" i="1"/>
  <c r="M542" i="1"/>
  <c r="L542" i="1"/>
  <c r="I542" i="1"/>
  <c r="R541" i="1"/>
  <c r="Q541" i="1"/>
  <c r="P541" i="1"/>
  <c r="O541" i="1"/>
  <c r="N541" i="1"/>
  <c r="M541" i="1"/>
  <c r="L541" i="1"/>
  <c r="I541" i="1"/>
  <c r="R540" i="1"/>
  <c r="Q540" i="1"/>
  <c r="P540" i="1"/>
  <c r="O540" i="1"/>
  <c r="N540" i="1"/>
  <c r="M540" i="1"/>
  <c r="L540" i="1"/>
  <c r="I540" i="1"/>
  <c r="R539" i="1"/>
  <c r="Q539" i="1"/>
  <c r="P539" i="1"/>
  <c r="O539" i="1"/>
  <c r="N539" i="1"/>
  <c r="M539" i="1"/>
  <c r="L539" i="1"/>
  <c r="I539" i="1"/>
  <c r="R538" i="1"/>
  <c r="Q538" i="1"/>
  <c r="P538" i="1"/>
  <c r="O538" i="1"/>
  <c r="N538" i="1"/>
  <c r="M538" i="1"/>
  <c r="L538" i="1"/>
  <c r="I538" i="1"/>
  <c r="R537" i="1"/>
  <c r="Q537" i="1"/>
  <c r="P537" i="1"/>
  <c r="O537" i="1"/>
  <c r="N537" i="1"/>
  <c r="M537" i="1"/>
  <c r="L537" i="1"/>
  <c r="I537" i="1"/>
  <c r="R536" i="1"/>
  <c r="Q536" i="1"/>
  <c r="P536" i="1"/>
  <c r="O536" i="1"/>
  <c r="N536" i="1"/>
  <c r="M536" i="1"/>
  <c r="L536" i="1"/>
  <c r="I536" i="1"/>
  <c r="R535" i="1"/>
  <c r="Q535" i="1"/>
  <c r="P535" i="1"/>
  <c r="O535" i="1"/>
  <c r="N535" i="1"/>
  <c r="M535" i="1"/>
  <c r="L535" i="1"/>
  <c r="I535" i="1"/>
  <c r="R534" i="1"/>
  <c r="Q534" i="1"/>
  <c r="P534" i="1"/>
  <c r="O534" i="1"/>
  <c r="N534" i="1"/>
  <c r="M534" i="1"/>
  <c r="L534" i="1"/>
  <c r="I534" i="1"/>
  <c r="R533" i="1"/>
  <c r="Q533" i="1"/>
  <c r="P533" i="1"/>
  <c r="O533" i="1"/>
  <c r="N533" i="1"/>
  <c r="M533" i="1"/>
  <c r="L533" i="1"/>
  <c r="I533" i="1"/>
  <c r="R532" i="1"/>
  <c r="Q532" i="1"/>
  <c r="P532" i="1"/>
  <c r="O532" i="1"/>
  <c r="N532" i="1"/>
  <c r="M532" i="1"/>
  <c r="L532" i="1"/>
  <c r="I532" i="1"/>
  <c r="R531" i="1"/>
  <c r="Q531" i="1"/>
  <c r="P531" i="1"/>
  <c r="O531" i="1"/>
  <c r="N531" i="1"/>
  <c r="M531" i="1"/>
  <c r="L531" i="1"/>
  <c r="I531" i="1"/>
  <c r="R530" i="1"/>
  <c r="Q530" i="1"/>
  <c r="P530" i="1"/>
  <c r="O530" i="1"/>
  <c r="N530" i="1"/>
  <c r="M530" i="1"/>
  <c r="L530" i="1"/>
  <c r="I530" i="1"/>
  <c r="R529" i="1"/>
  <c r="Q529" i="1"/>
  <c r="P529" i="1"/>
  <c r="O529" i="1"/>
  <c r="N529" i="1"/>
  <c r="M529" i="1"/>
  <c r="L529" i="1"/>
  <c r="I529" i="1"/>
  <c r="R528" i="1"/>
  <c r="Q528" i="1"/>
  <c r="P528" i="1"/>
  <c r="O528" i="1"/>
  <c r="N528" i="1"/>
  <c r="M528" i="1"/>
  <c r="L528" i="1"/>
  <c r="I528" i="1"/>
  <c r="R527" i="1"/>
  <c r="Q527" i="1"/>
  <c r="P527" i="1"/>
  <c r="O527" i="1"/>
  <c r="N527" i="1"/>
  <c r="M527" i="1"/>
  <c r="L527" i="1"/>
  <c r="I527" i="1"/>
  <c r="R526" i="1"/>
  <c r="Q526" i="1"/>
  <c r="P526" i="1"/>
  <c r="O526" i="1"/>
  <c r="N526" i="1"/>
  <c r="M526" i="1"/>
  <c r="L526" i="1"/>
  <c r="I526" i="1"/>
  <c r="R525" i="1"/>
  <c r="Q525" i="1"/>
  <c r="P525" i="1"/>
  <c r="O525" i="1"/>
  <c r="N525" i="1"/>
  <c r="M525" i="1"/>
  <c r="L525" i="1"/>
  <c r="I525" i="1"/>
  <c r="R524" i="1"/>
  <c r="Q524" i="1"/>
  <c r="P524" i="1"/>
  <c r="O524" i="1"/>
  <c r="N524" i="1"/>
  <c r="M524" i="1"/>
  <c r="L524" i="1"/>
  <c r="I524" i="1"/>
  <c r="R523" i="1"/>
  <c r="Q523" i="1"/>
  <c r="P523" i="1"/>
  <c r="O523" i="1"/>
  <c r="N523" i="1"/>
  <c r="M523" i="1"/>
  <c r="L523" i="1"/>
  <c r="I523" i="1"/>
  <c r="R522" i="1"/>
  <c r="Q522" i="1"/>
  <c r="P522" i="1"/>
  <c r="O522" i="1"/>
  <c r="N522" i="1"/>
  <c r="M522" i="1"/>
  <c r="L522" i="1"/>
  <c r="I522" i="1"/>
  <c r="R521" i="1"/>
  <c r="Q521" i="1"/>
  <c r="P521" i="1"/>
  <c r="O521" i="1"/>
  <c r="N521" i="1"/>
  <c r="M521" i="1"/>
  <c r="L521" i="1"/>
  <c r="I521" i="1"/>
  <c r="R520" i="1"/>
  <c r="Q520" i="1"/>
  <c r="P520" i="1"/>
  <c r="O520" i="1"/>
  <c r="N520" i="1"/>
  <c r="M520" i="1"/>
  <c r="L520" i="1"/>
  <c r="I520" i="1"/>
  <c r="R519" i="1"/>
  <c r="Q519" i="1"/>
  <c r="P519" i="1"/>
  <c r="O519" i="1"/>
  <c r="N519" i="1"/>
  <c r="M519" i="1"/>
  <c r="L519" i="1"/>
  <c r="I519" i="1"/>
  <c r="R518" i="1"/>
  <c r="Q518" i="1"/>
  <c r="P518" i="1"/>
  <c r="O518" i="1"/>
  <c r="N518" i="1"/>
  <c r="M518" i="1"/>
  <c r="L518" i="1"/>
  <c r="I518" i="1"/>
  <c r="R517" i="1"/>
  <c r="Q517" i="1"/>
  <c r="P517" i="1"/>
  <c r="O517" i="1"/>
  <c r="N517" i="1"/>
  <c r="M517" i="1"/>
  <c r="L517" i="1"/>
  <c r="I517" i="1"/>
  <c r="R516" i="1"/>
  <c r="Q516" i="1"/>
  <c r="P516" i="1"/>
  <c r="O516" i="1"/>
  <c r="N516" i="1"/>
  <c r="M516" i="1"/>
  <c r="L516" i="1"/>
  <c r="I516" i="1"/>
  <c r="R515" i="1"/>
  <c r="Q515" i="1"/>
  <c r="P515" i="1"/>
  <c r="O515" i="1"/>
  <c r="N515" i="1"/>
  <c r="M515" i="1"/>
  <c r="L515" i="1"/>
  <c r="I515" i="1"/>
  <c r="R514" i="1"/>
  <c r="Q514" i="1"/>
  <c r="P514" i="1"/>
  <c r="O514" i="1"/>
  <c r="N514" i="1"/>
  <c r="M514" i="1"/>
  <c r="L514" i="1"/>
  <c r="I514" i="1"/>
  <c r="R513" i="1"/>
  <c r="Q513" i="1"/>
  <c r="P513" i="1"/>
  <c r="O513" i="1"/>
  <c r="N513" i="1"/>
  <c r="M513" i="1"/>
  <c r="L513" i="1"/>
  <c r="I513" i="1"/>
  <c r="R512" i="1"/>
  <c r="Q512" i="1"/>
  <c r="P512" i="1"/>
  <c r="O512" i="1"/>
  <c r="N512" i="1"/>
  <c r="M512" i="1"/>
  <c r="L512" i="1"/>
  <c r="I512" i="1"/>
  <c r="R511" i="1"/>
  <c r="Q511" i="1"/>
  <c r="P511" i="1"/>
  <c r="O511" i="1"/>
  <c r="N511" i="1"/>
  <c r="M511" i="1"/>
  <c r="L511" i="1"/>
  <c r="I511" i="1"/>
  <c r="R510" i="1"/>
  <c r="Q510" i="1"/>
  <c r="P510" i="1"/>
  <c r="O510" i="1"/>
  <c r="N510" i="1"/>
  <c r="M510" i="1"/>
  <c r="L510" i="1"/>
  <c r="I510" i="1"/>
  <c r="R509" i="1"/>
  <c r="Q509" i="1"/>
  <c r="P509" i="1"/>
  <c r="O509" i="1"/>
  <c r="N509" i="1"/>
  <c r="M509" i="1"/>
  <c r="L509" i="1"/>
  <c r="I509" i="1"/>
  <c r="R508" i="1"/>
  <c r="Q508" i="1"/>
  <c r="P508" i="1"/>
  <c r="O508" i="1"/>
  <c r="N508" i="1"/>
  <c r="M508" i="1"/>
  <c r="L508" i="1"/>
  <c r="I508" i="1"/>
  <c r="R507" i="1"/>
  <c r="Q507" i="1"/>
  <c r="P507" i="1"/>
  <c r="O507" i="1"/>
  <c r="N507" i="1"/>
  <c r="M507" i="1"/>
  <c r="L507" i="1"/>
  <c r="I507" i="1"/>
  <c r="R506" i="1"/>
  <c r="Q506" i="1"/>
  <c r="P506" i="1"/>
  <c r="O506" i="1"/>
  <c r="N506" i="1"/>
  <c r="M506" i="1"/>
  <c r="L506" i="1"/>
  <c r="I506" i="1"/>
  <c r="R505" i="1"/>
  <c r="Q505" i="1"/>
  <c r="P505" i="1"/>
  <c r="O505" i="1"/>
  <c r="N505" i="1"/>
  <c r="M505" i="1"/>
  <c r="L505" i="1"/>
  <c r="I505" i="1"/>
  <c r="R504" i="1"/>
  <c r="Q504" i="1"/>
  <c r="P504" i="1"/>
  <c r="O504" i="1"/>
  <c r="N504" i="1"/>
  <c r="M504" i="1"/>
  <c r="L504" i="1"/>
  <c r="I504" i="1"/>
  <c r="R503" i="1"/>
  <c r="Q503" i="1"/>
  <c r="P503" i="1"/>
  <c r="O503" i="1"/>
  <c r="N503" i="1"/>
  <c r="M503" i="1"/>
  <c r="L503" i="1"/>
  <c r="I503" i="1"/>
  <c r="R502" i="1"/>
  <c r="Q502" i="1"/>
  <c r="P502" i="1"/>
  <c r="O502" i="1"/>
  <c r="N502" i="1"/>
  <c r="M502" i="1"/>
  <c r="L502" i="1"/>
  <c r="I502" i="1"/>
  <c r="R501" i="1"/>
  <c r="Q501" i="1"/>
  <c r="P501" i="1"/>
  <c r="O501" i="1"/>
  <c r="N501" i="1"/>
  <c r="M501" i="1"/>
  <c r="L501" i="1"/>
  <c r="I501" i="1"/>
  <c r="R500" i="1"/>
  <c r="Q500" i="1"/>
  <c r="P500" i="1"/>
  <c r="O500" i="1"/>
  <c r="N500" i="1"/>
  <c r="M500" i="1"/>
  <c r="L500" i="1"/>
  <c r="I500" i="1"/>
  <c r="R499" i="1"/>
  <c r="Q499" i="1"/>
  <c r="P499" i="1"/>
  <c r="O499" i="1"/>
  <c r="N499" i="1"/>
  <c r="M499" i="1"/>
  <c r="L499" i="1"/>
  <c r="I499" i="1"/>
  <c r="R498" i="1"/>
  <c r="Q498" i="1"/>
  <c r="P498" i="1"/>
  <c r="O498" i="1"/>
  <c r="N498" i="1"/>
  <c r="M498" i="1"/>
  <c r="L498" i="1"/>
  <c r="I498" i="1"/>
  <c r="R497" i="1"/>
  <c r="Q497" i="1"/>
  <c r="P497" i="1"/>
  <c r="O497" i="1"/>
  <c r="N497" i="1"/>
  <c r="M497" i="1"/>
  <c r="L497" i="1"/>
  <c r="I497" i="1"/>
  <c r="R496" i="1"/>
  <c r="Q496" i="1"/>
  <c r="P496" i="1"/>
  <c r="O496" i="1"/>
  <c r="N496" i="1"/>
  <c r="M496" i="1"/>
  <c r="L496" i="1"/>
  <c r="I496" i="1"/>
  <c r="R495" i="1"/>
  <c r="Q495" i="1"/>
  <c r="P495" i="1"/>
  <c r="O495" i="1"/>
  <c r="N495" i="1"/>
  <c r="M495" i="1"/>
  <c r="L495" i="1"/>
  <c r="I495" i="1"/>
  <c r="R494" i="1"/>
  <c r="Q494" i="1"/>
  <c r="P494" i="1"/>
  <c r="O494" i="1"/>
  <c r="N494" i="1"/>
  <c r="M494" i="1"/>
  <c r="L494" i="1"/>
  <c r="I494" i="1"/>
  <c r="R493" i="1"/>
  <c r="Q493" i="1"/>
  <c r="P493" i="1"/>
  <c r="O493" i="1"/>
  <c r="N493" i="1"/>
  <c r="M493" i="1"/>
  <c r="L493" i="1"/>
  <c r="I493" i="1"/>
  <c r="R492" i="1"/>
  <c r="Q492" i="1"/>
  <c r="P492" i="1"/>
  <c r="O492" i="1"/>
  <c r="N492" i="1"/>
  <c r="M492" i="1"/>
  <c r="L492" i="1"/>
  <c r="I492" i="1"/>
  <c r="R491" i="1"/>
  <c r="Q491" i="1"/>
  <c r="P491" i="1"/>
  <c r="O491" i="1"/>
  <c r="N491" i="1"/>
  <c r="M491" i="1"/>
  <c r="L491" i="1"/>
  <c r="I491" i="1"/>
  <c r="R490" i="1"/>
  <c r="Q490" i="1"/>
  <c r="P490" i="1"/>
  <c r="O490" i="1"/>
  <c r="N490" i="1"/>
  <c r="M490" i="1"/>
  <c r="L490" i="1"/>
  <c r="I490" i="1"/>
  <c r="R489" i="1"/>
  <c r="Q489" i="1"/>
  <c r="P489" i="1"/>
  <c r="O489" i="1"/>
  <c r="N489" i="1"/>
  <c r="M489" i="1"/>
  <c r="L489" i="1"/>
  <c r="I489" i="1"/>
  <c r="R488" i="1"/>
  <c r="Q488" i="1"/>
  <c r="P488" i="1"/>
  <c r="O488" i="1"/>
  <c r="N488" i="1"/>
  <c r="M488" i="1"/>
  <c r="L488" i="1"/>
  <c r="I488" i="1"/>
  <c r="R487" i="1"/>
  <c r="Q487" i="1"/>
  <c r="P487" i="1"/>
  <c r="O487" i="1"/>
  <c r="N487" i="1"/>
  <c r="M487" i="1"/>
  <c r="L487" i="1"/>
  <c r="I487" i="1"/>
  <c r="R486" i="1"/>
  <c r="Q486" i="1"/>
  <c r="P486" i="1"/>
  <c r="O486" i="1"/>
  <c r="N486" i="1"/>
  <c r="M486" i="1"/>
  <c r="L486" i="1"/>
  <c r="I486" i="1"/>
  <c r="R485" i="1"/>
  <c r="Q485" i="1"/>
  <c r="P485" i="1"/>
  <c r="O485" i="1"/>
  <c r="N485" i="1"/>
  <c r="M485" i="1"/>
  <c r="L485" i="1"/>
  <c r="I485" i="1"/>
  <c r="R484" i="1"/>
  <c r="Q484" i="1"/>
  <c r="P484" i="1"/>
  <c r="O484" i="1"/>
  <c r="N484" i="1"/>
  <c r="M484" i="1"/>
  <c r="L484" i="1"/>
  <c r="I484" i="1"/>
  <c r="R483" i="1"/>
  <c r="Q483" i="1"/>
  <c r="P483" i="1"/>
  <c r="O483" i="1"/>
  <c r="N483" i="1"/>
  <c r="M483" i="1"/>
  <c r="L483" i="1"/>
  <c r="I483" i="1"/>
  <c r="R482" i="1"/>
  <c r="Q482" i="1"/>
  <c r="P482" i="1"/>
  <c r="O482" i="1"/>
  <c r="N482" i="1"/>
  <c r="M482" i="1"/>
  <c r="L482" i="1"/>
  <c r="I482" i="1"/>
  <c r="R481" i="1"/>
  <c r="Q481" i="1"/>
  <c r="P481" i="1"/>
  <c r="O481" i="1"/>
  <c r="N481" i="1"/>
  <c r="M481" i="1"/>
  <c r="L481" i="1"/>
  <c r="I481" i="1"/>
  <c r="R480" i="1"/>
  <c r="Q480" i="1"/>
  <c r="P480" i="1"/>
  <c r="O480" i="1"/>
  <c r="N480" i="1"/>
  <c r="M480" i="1"/>
  <c r="L480" i="1"/>
  <c r="I480" i="1"/>
  <c r="R479" i="1"/>
  <c r="Q479" i="1"/>
  <c r="P479" i="1"/>
  <c r="O479" i="1"/>
  <c r="N479" i="1"/>
  <c r="M479" i="1"/>
  <c r="L479" i="1"/>
  <c r="I479" i="1"/>
  <c r="R478" i="1"/>
  <c r="Q478" i="1"/>
  <c r="P478" i="1"/>
  <c r="O478" i="1"/>
  <c r="N478" i="1"/>
  <c r="M478" i="1"/>
  <c r="L478" i="1"/>
  <c r="I478" i="1"/>
  <c r="R477" i="1"/>
  <c r="Q477" i="1"/>
  <c r="P477" i="1"/>
  <c r="O477" i="1"/>
  <c r="N477" i="1"/>
  <c r="M477" i="1"/>
  <c r="L477" i="1"/>
  <c r="I477" i="1"/>
  <c r="R476" i="1"/>
  <c r="Q476" i="1"/>
  <c r="P476" i="1"/>
  <c r="O476" i="1"/>
  <c r="N476" i="1"/>
  <c r="M476" i="1"/>
  <c r="L476" i="1"/>
  <c r="I476" i="1"/>
  <c r="R475" i="1"/>
  <c r="Q475" i="1"/>
  <c r="P475" i="1"/>
  <c r="O475" i="1"/>
  <c r="N475" i="1"/>
  <c r="M475" i="1"/>
  <c r="L475" i="1"/>
  <c r="I475" i="1"/>
  <c r="R474" i="1"/>
  <c r="Q474" i="1"/>
  <c r="P474" i="1"/>
  <c r="O474" i="1"/>
  <c r="N474" i="1"/>
  <c r="M474" i="1"/>
  <c r="L474" i="1"/>
  <c r="I474" i="1"/>
  <c r="R473" i="1"/>
  <c r="Q473" i="1"/>
  <c r="P473" i="1"/>
  <c r="O473" i="1"/>
  <c r="N473" i="1"/>
  <c r="M473" i="1"/>
  <c r="L473" i="1"/>
  <c r="I473" i="1"/>
  <c r="R472" i="1"/>
  <c r="Q472" i="1"/>
  <c r="P472" i="1"/>
  <c r="O472" i="1"/>
  <c r="N472" i="1"/>
  <c r="M472" i="1"/>
  <c r="L472" i="1"/>
  <c r="I472" i="1"/>
  <c r="R471" i="1"/>
  <c r="Q471" i="1"/>
  <c r="P471" i="1"/>
  <c r="O471" i="1"/>
  <c r="N471" i="1"/>
  <c r="M471" i="1"/>
  <c r="L471" i="1"/>
  <c r="I471" i="1"/>
  <c r="R470" i="1"/>
  <c r="Q470" i="1"/>
  <c r="P470" i="1"/>
  <c r="O470" i="1"/>
  <c r="N470" i="1"/>
  <c r="M470" i="1"/>
  <c r="L470" i="1"/>
  <c r="I470" i="1"/>
  <c r="R469" i="1"/>
  <c r="Q469" i="1"/>
  <c r="P469" i="1"/>
  <c r="O469" i="1"/>
  <c r="N469" i="1"/>
  <c r="M469" i="1"/>
  <c r="L469" i="1"/>
  <c r="I469" i="1"/>
  <c r="R468" i="1"/>
  <c r="Q468" i="1"/>
  <c r="P468" i="1"/>
  <c r="O468" i="1"/>
  <c r="N468" i="1"/>
  <c r="M468" i="1"/>
  <c r="L468" i="1"/>
  <c r="I468" i="1"/>
  <c r="R467" i="1"/>
  <c r="Q467" i="1"/>
  <c r="P467" i="1"/>
  <c r="O467" i="1"/>
  <c r="N467" i="1"/>
  <c r="M467" i="1"/>
  <c r="L467" i="1"/>
  <c r="I467" i="1"/>
  <c r="R466" i="1"/>
  <c r="Q466" i="1"/>
  <c r="P466" i="1"/>
  <c r="O466" i="1"/>
  <c r="N466" i="1"/>
  <c r="M466" i="1"/>
  <c r="L466" i="1"/>
  <c r="I466" i="1"/>
  <c r="R465" i="1"/>
  <c r="Q465" i="1"/>
  <c r="P465" i="1"/>
  <c r="O465" i="1"/>
  <c r="N465" i="1"/>
  <c r="M465" i="1"/>
  <c r="L465" i="1"/>
  <c r="I465" i="1"/>
  <c r="R464" i="1"/>
  <c r="Q464" i="1"/>
  <c r="P464" i="1"/>
  <c r="O464" i="1"/>
  <c r="N464" i="1"/>
  <c r="M464" i="1"/>
  <c r="L464" i="1"/>
  <c r="I464" i="1"/>
  <c r="R463" i="1"/>
  <c r="Q463" i="1"/>
  <c r="P463" i="1"/>
  <c r="O463" i="1"/>
  <c r="N463" i="1"/>
  <c r="M463" i="1"/>
  <c r="L463" i="1"/>
  <c r="I463" i="1"/>
  <c r="R462" i="1"/>
  <c r="Q462" i="1"/>
  <c r="P462" i="1"/>
  <c r="O462" i="1"/>
  <c r="N462" i="1"/>
  <c r="M462" i="1"/>
  <c r="L462" i="1"/>
  <c r="I462" i="1"/>
  <c r="R461" i="1"/>
  <c r="Q461" i="1"/>
  <c r="P461" i="1"/>
  <c r="O461" i="1"/>
  <c r="N461" i="1"/>
  <c r="M461" i="1"/>
  <c r="L461" i="1"/>
  <c r="I461" i="1"/>
  <c r="R460" i="1"/>
  <c r="Q460" i="1"/>
  <c r="P460" i="1"/>
  <c r="O460" i="1"/>
  <c r="N460" i="1"/>
  <c r="M460" i="1"/>
  <c r="L460" i="1"/>
  <c r="I460" i="1"/>
  <c r="R459" i="1"/>
  <c r="Q459" i="1"/>
  <c r="P459" i="1"/>
  <c r="O459" i="1"/>
  <c r="N459" i="1"/>
  <c r="M459" i="1"/>
  <c r="L459" i="1"/>
  <c r="I459" i="1"/>
  <c r="R458" i="1"/>
  <c r="Q458" i="1"/>
  <c r="P458" i="1"/>
  <c r="O458" i="1"/>
  <c r="N458" i="1"/>
  <c r="M458" i="1"/>
  <c r="L458" i="1"/>
  <c r="I458" i="1"/>
  <c r="R457" i="1"/>
  <c r="Q457" i="1"/>
  <c r="P457" i="1"/>
  <c r="O457" i="1"/>
  <c r="N457" i="1"/>
  <c r="M457" i="1"/>
  <c r="L457" i="1"/>
  <c r="I457" i="1"/>
  <c r="R456" i="1"/>
  <c r="Q456" i="1"/>
  <c r="P456" i="1"/>
  <c r="O456" i="1"/>
  <c r="N456" i="1"/>
  <c r="M456" i="1"/>
  <c r="L456" i="1"/>
  <c r="I456" i="1"/>
  <c r="R455" i="1"/>
  <c r="Q455" i="1"/>
  <c r="P455" i="1"/>
  <c r="O455" i="1"/>
  <c r="N455" i="1"/>
  <c r="M455" i="1"/>
  <c r="L455" i="1"/>
  <c r="I455" i="1"/>
  <c r="R454" i="1"/>
  <c r="Q454" i="1"/>
  <c r="P454" i="1"/>
  <c r="O454" i="1"/>
  <c r="N454" i="1"/>
  <c r="M454" i="1"/>
  <c r="L454" i="1"/>
  <c r="I454" i="1"/>
  <c r="R453" i="1"/>
  <c r="Q453" i="1"/>
  <c r="P453" i="1"/>
  <c r="O453" i="1"/>
  <c r="N453" i="1"/>
  <c r="M453" i="1"/>
  <c r="L453" i="1"/>
  <c r="I453" i="1"/>
  <c r="R452" i="1"/>
  <c r="Q452" i="1"/>
  <c r="P452" i="1"/>
  <c r="O452" i="1"/>
  <c r="N452" i="1"/>
  <c r="M452" i="1"/>
  <c r="L452" i="1"/>
  <c r="I452" i="1"/>
  <c r="R451" i="1"/>
  <c r="Q451" i="1"/>
  <c r="P451" i="1"/>
  <c r="O451" i="1"/>
  <c r="N451" i="1"/>
  <c r="M451" i="1"/>
  <c r="L451" i="1"/>
  <c r="I451" i="1"/>
  <c r="R450" i="1"/>
  <c r="Q450" i="1"/>
  <c r="P450" i="1"/>
  <c r="O450" i="1"/>
  <c r="N450" i="1"/>
  <c r="M450" i="1"/>
  <c r="L450" i="1"/>
  <c r="I450" i="1"/>
  <c r="R449" i="1"/>
  <c r="Q449" i="1"/>
  <c r="P449" i="1"/>
  <c r="O449" i="1"/>
  <c r="N449" i="1"/>
  <c r="M449" i="1"/>
  <c r="L449" i="1"/>
  <c r="I449" i="1"/>
  <c r="R448" i="1"/>
  <c r="Q448" i="1"/>
  <c r="P448" i="1"/>
  <c r="O448" i="1"/>
  <c r="N448" i="1"/>
  <c r="M448" i="1"/>
  <c r="L448" i="1"/>
  <c r="I448" i="1"/>
  <c r="R447" i="1"/>
  <c r="Q447" i="1"/>
  <c r="P447" i="1"/>
  <c r="O447" i="1"/>
  <c r="N447" i="1"/>
  <c r="M447" i="1"/>
  <c r="L447" i="1"/>
  <c r="I447" i="1"/>
  <c r="R446" i="1"/>
  <c r="Q446" i="1"/>
  <c r="P446" i="1"/>
  <c r="O446" i="1"/>
  <c r="N446" i="1"/>
  <c r="M446" i="1"/>
  <c r="L446" i="1"/>
  <c r="I446" i="1"/>
  <c r="R445" i="1"/>
  <c r="Q445" i="1"/>
  <c r="P445" i="1"/>
  <c r="O445" i="1"/>
  <c r="N445" i="1"/>
  <c r="M445" i="1"/>
  <c r="L445" i="1"/>
  <c r="I445" i="1"/>
  <c r="R444" i="1"/>
  <c r="Q444" i="1"/>
  <c r="P444" i="1"/>
  <c r="O444" i="1"/>
  <c r="N444" i="1"/>
  <c r="M444" i="1"/>
  <c r="L444" i="1"/>
  <c r="I444" i="1"/>
  <c r="R443" i="1"/>
  <c r="Q443" i="1"/>
  <c r="P443" i="1"/>
  <c r="O443" i="1"/>
  <c r="N443" i="1"/>
  <c r="M443" i="1"/>
  <c r="L443" i="1"/>
  <c r="I443" i="1"/>
  <c r="R442" i="1"/>
  <c r="Q442" i="1"/>
  <c r="P442" i="1"/>
  <c r="O442" i="1"/>
  <c r="N442" i="1"/>
  <c r="M442" i="1"/>
  <c r="L442" i="1"/>
  <c r="I442" i="1"/>
  <c r="R441" i="1"/>
  <c r="Q441" i="1"/>
  <c r="P441" i="1"/>
  <c r="O441" i="1"/>
  <c r="N441" i="1"/>
  <c r="M441" i="1"/>
  <c r="L441" i="1"/>
  <c r="I441" i="1"/>
  <c r="R440" i="1"/>
  <c r="Q440" i="1"/>
  <c r="P440" i="1"/>
  <c r="O440" i="1"/>
  <c r="N440" i="1"/>
  <c r="M440" i="1"/>
  <c r="L440" i="1"/>
  <c r="I440" i="1"/>
  <c r="R439" i="1"/>
  <c r="Q439" i="1"/>
  <c r="P439" i="1"/>
  <c r="O439" i="1"/>
  <c r="N439" i="1"/>
  <c r="M439" i="1"/>
  <c r="L439" i="1"/>
  <c r="I439" i="1"/>
  <c r="R438" i="1"/>
  <c r="Q438" i="1"/>
  <c r="P438" i="1"/>
  <c r="O438" i="1"/>
  <c r="N438" i="1"/>
  <c r="M438" i="1"/>
  <c r="L438" i="1"/>
  <c r="I438" i="1"/>
  <c r="R437" i="1"/>
  <c r="Q437" i="1"/>
  <c r="P437" i="1"/>
  <c r="O437" i="1"/>
  <c r="N437" i="1"/>
  <c r="M437" i="1"/>
  <c r="L437" i="1"/>
  <c r="I437" i="1"/>
  <c r="R436" i="1"/>
  <c r="Q436" i="1"/>
  <c r="P436" i="1"/>
  <c r="O436" i="1"/>
  <c r="N436" i="1"/>
  <c r="M436" i="1"/>
  <c r="L436" i="1"/>
  <c r="I436" i="1"/>
  <c r="R435" i="1"/>
  <c r="Q435" i="1"/>
  <c r="P435" i="1"/>
  <c r="O435" i="1"/>
  <c r="N435" i="1"/>
  <c r="M435" i="1"/>
  <c r="L435" i="1"/>
  <c r="I435" i="1"/>
  <c r="R434" i="1"/>
  <c r="Q434" i="1"/>
  <c r="P434" i="1"/>
  <c r="O434" i="1"/>
  <c r="N434" i="1"/>
  <c r="M434" i="1"/>
  <c r="L434" i="1"/>
  <c r="I434" i="1"/>
  <c r="R433" i="1"/>
  <c r="Q433" i="1"/>
  <c r="P433" i="1"/>
  <c r="O433" i="1"/>
  <c r="N433" i="1"/>
  <c r="M433" i="1"/>
  <c r="L433" i="1"/>
  <c r="I433" i="1"/>
  <c r="R432" i="1"/>
  <c r="Q432" i="1"/>
  <c r="P432" i="1"/>
  <c r="O432" i="1"/>
  <c r="N432" i="1"/>
  <c r="M432" i="1"/>
  <c r="L432" i="1"/>
  <c r="I432" i="1"/>
  <c r="R431" i="1"/>
  <c r="Q431" i="1"/>
  <c r="P431" i="1"/>
  <c r="O431" i="1"/>
  <c r="N431" i="1"/>
  <c r="M431" i="1"/>
  <c r="L431" i="1"/>
  <c r="I431" i="1"/>
  <c r="R430" i="1"/>
  <c r="Q430" i="1"/>
  <c r="P430" i="1"/>
  <c r="O430" i="1"/>
  <c r="N430" i="1"/>
  <c r="M430" i="1"/>
  <c r="L430" i="1"/>
  <c r="I430" i="1"/>
  <c r="R429" i="1"/>
  <c r="Q429" i="1"/>
  <c r="P429" i="1"/>
  <c r="O429" i="1"/>
  <c r="N429" i="1"/>
  <c r="M429" i="1"/>
  <c r="L429" i="1"/>
  <c r="I429" i="1"/>
  <c r="R428" i="1"/>
  <c r="Q428" i="1"/>
  <c r="P428" i="1"/>
  <c r="O428" i="1"/>
  <c r="N428" i="1"/>
  <c r="M428" i="1"/>
  <c r="L428" i="1"/>
  <c r="I428" i="1"/>
  <c r="R427" i="1"/>
  <c r="Q427" i="1"/>
  <c r="P427" i="1"/>
  <c r="O427" i="1"/>
  <c r="N427" i="1"/>
  <c r="M427" i="1"/>
  <c r="L427" i="1"/>
  <c r="I427" i="1"/>
  <c r="R426" i="1"/>
  <c r="Q426" i="1"/>
  <c r="P426" i="1"/>
  <c r="O426" i="1"/>
  <c r="N426" i="1"/>
  <c r="M426" i="1"/>
  <c r="L426" i="1"/>
  <c r="I426" i="1"/>
  <c r="R425" i="1"/>
  <c r="Q425" i="1"/>
  <c r="P425" i="1"/>
  <c r="O425" i="1"/>
  <c r="N425" i="1"/>
  <c r="M425" i="1"/>
  <c r="L425" i="1"/>
  <c r="I425" i="1"/>
  <c r="R424" i="1"/>
  <c r="Q424" i="1"/>
  <c r="P424" i="1"/>
  <c r="O424" i="1"/>
  <c r="N424" i="1"/>
  <c r="M424" i="1"/>
  <c r="L424" i="1"/>
  <c r="I424" i="1"/>
  <c r="R423" i="1"/>
  <c r="Q423" i="1"/>
  <c r="P423" i="1"/>
  <c r="O423" i="1"/>
  <c r="N423" i="1"/>
  <c r="M423" i="1"/>
  <c r="L423" i="1"/>
  <c r="I423" i="1"/>
  <c r="R422" i="1"/>
  <c r="Q422" i="1"/>
  <c r="P422" i="1"/>
  <c r="O422" i="1"/>
  <c r="N422" i="1"/>
  <c r="M422" i="1"/>
  <c r="L422" i="1"/>
  <c r="I422" i="1"/>
  <c r="R421" i="1"/>
  <c r="Q421" i="1"/>
  <c r="P421" i="1"/>
  <c r="O421" i="1"/>
  <c r="N421" i="1"/>
  <c r="M421" i="1"/>
  <c r="L421" i="1"/>
  <c r="I421" i="1"/>
  <c r="R420" i="1"/>
  <c r="Q420" i="1"/>
  <c r="P420" i="1"/>
  <c r="O420" i="1"/>
  <c r="N420" i="1"/>
  <c r="M420" i="1"/>
  <c r="L420" i="1"/>
  <c r="I420" i="1"/>
  <c r="R419" i="1"/>
  <c r="Q419" i="1"/>
  <c r="P419" i="1"/>
  <c r="O419" i="1"/>
  <c r="N419" i="1"/>
  <c r="M419" i="1"/>
  <c r="L419" i="1"/>
  <c r="I419" i="1"/>
  <c r="R418" i="1"/>
  <c r="Q418" i="1"/>
  <c r="P418" i="1"/>
  <c r="O418" i="1"/>
  <c r="N418" i="1"/>
  <c r="M418" i="1"/>
  <c r="L418" i="1"/>
  <c r="I418" i="1"/>
  <c r="R417" i="1"/>
  <c r="Q417" i="1"/>
  <c r="P417" i="1"/>
  <c r="O417" i="1"/>
  <c r="N417" i="1"/>
  <c r="M417" i="1"/>
  <c r="L417" i="1"/>
  <c r="I417" i="1"/>
  <c r="R416" i="1"/>
  <c r="Q416" i="1"/>
  <c r="P416" i="1"/>
  <c r="O416" i="1"/>
  <c r="N416" i="1"/>
  <c r="M416" i="1"/>
  <c r="L416" i="1"/>
  <c r="I416" i="1"/>
  <c r="R415" i="1"/>
  <c r="Q415" i="1"/>
  <c r="P415" i="1"/>
  <c r="O415" i="1"/>
  <c r="N415" i="1"/>
  <c r="M415" i="1"/>
  <c r="L415" i="1"/>
  <c r="I415" i="1"/>
  <c r="R414" i="1"/>
  <c r="Q414" i="1"/>
  <c r="P414" i="1"/>
  <c r="O414" i="1"/>
  <c r="N414" i="1"/>
  <c r="M414" i="1"/>
  <c r="L414" i="1"/>
  <c r="I414" i="1"/>
  <c r="R413" i="1"/>
  <c r="Q413" i="1"/>
  <c r="P413" i="1"/>
  <c r="O413" i="1"/>
  <c r="N413" i="1"/>
  <c r="M413" i="1"/>
  <c r="L413" i="1"/>
  <c r="I413" i="1"/>
  <c r="R412" i="1"/>
  <c r="Q412" i="1"/>
  <c r="P412" i="1"/>
  <c r="O412" i="1"/>
  <c r="N412" i="1"/>
  <c r="M412" i="1"/>
  <c r="L412" i="1"/>
  <c r="I412" i="1"/>
  <c r="R411" i="1"/>
  <c r="Q411" i="1"/>
  <c r="P411" i="1"/>
  <c r="O411" i="1"/>
  <c r="N411" i="1"/>
  <c r="M411" i="1"/>
  <c r="L411" i="1"/>
  <c r="I411" i="1"/>
  <c r="R410" i="1"/>
  <c r="Q410" i="1"/>
  <c r="P410" i="1"/>
  <c r="O410" i="1"/>
  <c r="N410" i="1"/>
  <c r="M410" i="1"/>
  <c r="L410" i="1"/>
  <c r="I410" i="1"/>
  <c r="R409" i="1"/>
  <c r="Q409" i="1"/>
  <c r="P409" i="1"/>
  <c r="O409" i="1"/>
  <c r="N409" i="1"/>
  <c r="M409" i="1"/>
  <c r="L409" i="1"/>
  <c r="I409" i="1"/>
  <c r="R408" i="1"/>
  <c r="Q408" i="1"/>
  <c r="P408" i="1"/>
  <c r="O408" i="1"/>
  <c r="N408" i="1"/>
  <c r="M408" i="1"/>
  <c r="L408" i="1"/>
  <c r="I408" i="1"/>
  <c r="R407" i="1"/>
  <c r="Q407" i="1"/>
  <c r="P407" i="1"/>
  <c r="O407" i="1"/>
  <c r="N407" i="1"/>
  <c r="M407" i="1"/>
  <c r="L407" i="1"/>
  <c r="I407" i="1"/>
  <c r="R406" i="1"/>
  <c r="Q406" i="1"/>
  <c r="P406" i="1"/>
  <c r="O406" i="1"/>
  <c r="N406" i="1"/>
  <c r="M406" i="1"/>
  <c r="L406" i="1"/>
  <c r="I406" i="1"/>
  <c r="R405" i="1"/>
  <c r="Q405" i="1"/>
  <c r="P405" i="1"/>
  <c r="O405" i="1"/>
  <c r="N405" i="1"/>
  <c r="M405" i="1"/>
  <c r="L405" i="1"/>
  <c r="I405" i="1"/>
  <c r="R404" i="1"/>
  <c r="Q404" i="1"/>
  <c r="P404" i="1"/>
  <c r="O404" i="1"/>
  <c r="N404" i="1"/>
  <c r="M404" i="1"/>
  <c r="L404" i="1"/>
  <c r="I404" i="1"/>
  <c r="R403" i="1"/>
  <c r="Q403" i="1"/>
  <c r="P403" i="1"/>
  <c r="O403" i="1"/>
  <c r="N403" i="1"/>
  <c r="M403" i="1"/>
  <c r="L403" i="1"/>
  <c r="I403" i="1"/>
  <c r="R402" i="1"/>
  <c r="Q402" i="1"/>
  <c r="P402" i="1"/>
  <c r="O402" i="1"/>
  <c r="N402" i="1"/>
  <c r="M402" i="1"/>
  <c r="L402" i="1"/>
  <c r="I402" i="1"/>
  <c r="R401" i="1"/>
  <c r="Q401" i="1"/>
  <c r="P401" i="1"/>
  <c r="O401" i="1"/>
  <c r="N401" i="1"/>
  <c r="M401" i="1"/>
  <c r="L401" i="1"/>
  <c r="I401" i="1"/>
  <c r="R400" i="1"/>
  <c r="Q400" i="1"/>
  <c r="P400" i="1"/>
  <c r="O400" i="1"/>
  <c r="N400" i="1"/>
  <c r="M400" i="1"/>
  <c r="L400" i="1"/>
  <c r="I400" i="1"/>
  <c r="R399" i="1"/>
  <c r="Q399" i="1"/>
  <c r="P399" i="1"/>
  <c r="O399" i="1"/>
  <c r="N399" i="1"/>
  <c r="M399" i="1"/>
  <c r="L399" i="1"/>
  <c r="I399" i="1"/>
  <c r="R398" i="1"/>
  <c r="Q398" i="1"/>
  <c r="P398" i="1"/>
  <c r="O398" i="1"/>
  <c r="N398" i="1"/>
  <c r="M398" i="1"/>
  <c r="L398" i="1"/>
  <c r="I398" i="1"/>
  <c r="R397" i="1"/>
  <c r="Q397" i="1"/>
  <c r="P397" i="1"/>
  <c r="O397" i="1"/>
  <c r="N397" i="1"/>
  <c r="M397" i="1"/>
  <c r="L397" i="1"/>
  <c r="I397" i="1"/>
  <c r="R396" i="1"/>
  <c r="Q396" i="1"/>
  <c r="P396" i="1"/>
  <c r="O396" i="1"/>
  <c r="N396" i="1"/>
  <c r="M396" i="1"/>
  <c r="L396" i="1"/>
  <c r="I396" i="1"/>
  <c r="R395" i="1"/>
  <c r="Q395" i="1"/>
  <c r="P395" i="1"/>
  <c r="O395" i="1"/>
  <c r="N395" i="1"/>
  <c r="M395" i="1"/>
  <c r="L395" i="1"/>
  <c r="I395" i="1"/>
  <c r="R394" i="1"/>
  <c r="Q394" i="1"/>
  <c r="P394" i="1"/>
  <c r="O394" i="1"/>
  <c r="N394" i="1"/>
  <c r="M394" i="1"/>
  <c r="L394" i="1"/>
  <c r="I394" i="1"/>
  <c r="R393" i="1"/>
  <c r="Q393" i="1"/>
  <c r="P393" i="1"/>
  <c r="O393" i="1"/>
  <c r="N393" i="1"/>
  <c r="M393" i="1"/>
  <c r="L393" i="1"/>
  <c r="I393" i="1"/>
  <c r="R392" i="1"/>
  <c r="Q392" i="1"/>
  <c r="P392" i="1"/>
  <c r="O392" i="1"/>
  <c r="N392" i="1"/>
  <c r="M392" i="1"/>
  <c r="L392" i="1"/>
  <c r="I392" i="1"/>
  <c r="R391" i="1"/>
  <c r="Q391" i="1"/>
  <c r="P391" i="1"/>
  <c r="O391" i="1"/>
  <c r="N391" i="1"/>
  <c r="M391" i="1"/>
  <c r="L391" i="1"/>
  <c r="I391" i="1"/>
  <c r="R390" i="1"/>
  <c r="Q390" i="1"/>
  <c r="P390" i="1"/>
  <c r="O390" i="1"/>
  <c r="N390" i="1"/>
  <c r="M390" i="1"/>
  <c r="L390" i="1"/>
  <c r="I390" i="1"/>
  <c r="R389" i="1"/>
  <c r="Q389" i="1"/>
  <c r="P389" i="1"/>
  <c r="O389" i="1"/>
  <c r="N389" i="1"/>
  <c r="M389" i="1"/>
  <c r="L389" i="1"/>
  <c r="I389" i="1"/>
  <c r="R388" i="1"/>
  <c r="Q388" i="1"/>
  <c r="P388" i="1"/>
  <c r="O388" i="1"/>
  <c r="N388" i="1"/>
  <c r="M388" i="1"/>
  <c r="L388" i="1"/>
  <c r="I388" i="1"/>
  <c r="R387" i="1"/>
  <c r="Q387" i="1"/>
  <c r="P387" i="1"/>
  <c r="O387" i="1"/>
  <c r="N387" i="1"/>
  <c r="M387" i="1"/>
  <c r="L387" i="1"/>
  <c r="I387" i="1"/>
  <c r="R386" i="1"/>
  <c r="Q386" i="1"/>
  <c r="P386" i="1"/>
  <c r="O386" i="1"/>
  <c r="N386" i="1"/>
  <c r="M386" i="1"/>
  <c r="L386" i="1"/>
  <c r="I386" i="1"/>
  <c r="R385" i="1"/>
  <c r="Q385" i="1"/>
  <c r="P385" i="1"/>
  <c r="O385" i="1"/>
  <c r="N385" i="1"/>
  <c r="M385" i="1"/>
  <c r="L385" i="1"/>
  <c r="I385" i="1"/>
  <c r="R384" i="1"/>
  <c r="Q384" i="1"/>
  <c r="P384" i="1"/>
  <c r="O384" i="1"/>
  <c r="N384" i="1"/>
  <c r="M384" i="1"/>
  <c r="L384" i="1"/>
  <c r="I384" i="1"/>
  <c r="R383" i="1"/>
  <c r="Q383" i="1"/>
  <c r="P383" i="1"/>
  <c r="O383" i="1"/>
  <c r="N383" i="1"/>
  <c r="M383" i="1"/>
  <c r="L383" i="1"/>
  <c r="I383" i="1"/>
  <c r="R382" i="1"/>
  <c r="Q382" i="1"/>
  <c r="P382" i="1"/>
  <c r="O382" i="1"/>
  <c r="N382" i="1"/>
  <c r="M382" i="1"/>
  <c r="L382" i="1"/>
  <c r="I382" i="1"/>
  <c r="R381" i="1"/>
  <c r="Q381" i="1"/>
  <c r="P381" i="1"/>
  <c r="O381" i="1"/>
  <c r="N381" i="1"/>
  <c r="M381" i="1"/>
  <c r="L381" i="1"/>
  <c r="I381" i="1"/>
  <c r="R380" i="1"/>
  <c r="Q380" i="1"/>
  <c r="P380" i="1"/>
  <c r="O380" i="1"/>
  <c r="N380" i="1"/>
  <c r="M380" i="1"/>
  <c r="L380" i="1"/>
  <c r="I380" i="1"/>
  <c r="R379" i="1"/>
  <c r="Q379" i="1"/>
  <c r="P379" i="1"/>
  <c r="O379" i="1"/>
  <c r="N379" i="1"/>
  <c r="M379" i="1"/>
  <c r="L379" i="1"/>
  <c r="I379" i="1"/>
  <c r="R378" i="1"/>
  <c r="Q378" i="1"/>
  <c r="P378" i="1"/>
  <c r="O378" i="1"/>
  <c r="N378" i="1"/>
  <c r="M378" i="1"/>
  <c r="L378" i="1"/>
  <c r="I378" i="1"/>
  <c r="R377" i="1"/>
  <c r="Q377" i="1"/>
  <c r="P377" i="1"/>
  <c r="O377" i="1"/>
  <c r="N377" i="1"/>
  <c r="M377" i="1"/>
  <c r="L377" i="1"/>
  <c r="I377" i="1"/>
  <c r="R376" i="1"/>
  <c r="Q376" i="1"/>
  <c r="P376" i="1"/>
  <c r="O376" i="1"/>
  <c r="N376" i="1"/>
  <c r="M376" i="1"/>
  <c r="L376" i="1"/>
  <c r="I376" i="1"/>
  <c r="R375" i="1"/>
  <c r="Q375" i="1"/>
  <c r="P375" i="1"/>
  <c r="O375" i="1"/>
  <c r="N375" i="1"/>
  <c r="M375" i="1"/>
  <c r="L375" i="1"/>
  <c r="I375" i="1"/>
  <c r="R374" i="1"/>
  <c r="Q374" i="1"/>
  <c r="P374" i="1"/>
  <c r="O374" i="1"/>
  <c r="N374" i="1"/>
  <c r="M374" i="1"/>
  <c r="L374" i="1"/>
  <c r="I374" i="1"/>
  <c r="R373" i="1"/>
  <c r="Q373" i="1"/>
  <c r="P373" i="1"/>
  <c r="O373" i="1"/>
  <c r="N373" i="1"/>
  <c r="M373" i="1"/>
  <c r="L373" i="1"/>
  <c r="I373" i="1"/>
  <c r="R372" i="1"/>
  <c r="Q372" i="1"/>
  <c r="P372" i="1"/>
  <c r="O372" i="1"/>
  <c r="N372" i="1"/>
  <c r="M372" i="1"/>
  <c r="L372" i="1"/>
  <c r="I372" i="1"/>
  <c r="R371" i="1"/>
  <c r="Q371" i="1"/>
  <c r="P371" i="1"/>
  <c r="O371" i="1"/>
  <c r="N371" i="1"/>
  <c r="M371" i="1"/>
  <c r="L371" i="1"/>
  <c r="I371" i="1"/>
  <c r="R370" i="1"/>
  <c r="Q370" i="1"/>
  <c r="P370" i="1"/>
  <c r="O370" i="1"/>
  <c r="N370" i="1"/>
  <c r="M370" i="1"/>
  <c r="L370" i="1"/>
  <c r="I370" i="1"/>
  <c r="R369" i="1"/>
  <c r="Q369" i="1"/>
  <c r="P369" i="1"/>
  <c r="O369" i="1"/>
  <c r="N369" i="1"/>
  <c r="M369" i="1"/>
  <c r="L369" i="1"/>
  <c r="I369" i="1"/>
  <c r="R368" i="1"/>
  <c r="Q368" i="1"/>
  <c r="P368" i="1"/>
  <c r="O368" i="1"/>
  <c r="N368" i="1"/>
  <c r="M368" i="1"/>
  <c r="L368" i="1"/>
  <c r="I368" i="1"/>
  <c r="R367" i="1"/>
  <c r="Q367" i="1"/>
  <c r="P367" i="1"/>
  <c r="O367" i="1"/>
  <c r="N367" i="1"/>
  <c r="M367" i="1"/>
  <c r="L367" i="1"/>
  <c r="I367" i="1"/>
  <c r="R366" i="1"/>
  <c r="Q366" i="1"/>
  <c r="P366" i="1"/>
  <c r="O366" i="1"/>
  <c r="N366" i="1"/>
  <c r="M366" i="1"/>
  <c r="L366" i="1"/>
  <c r="I366" i="1"/>
  <c r="R365" i="1"/>
  <c r="Q365" i="1"/>
  <c r="P365" i="1"/>
  <c r="O365" i="1"/>
  <c r="N365" i="1"/>
  <c r="M365" i="1"/>
  <c r="L365" i="1"/>
  <c r="I365" i="1"/>
  <c r="R364" i="1"/>
  <c r="Q364" i="1"/>
  <c r="P364" i="1"/>
  <c r="O364" i="1"/>
  <c r="N364" i="1"/>
  <c r="M364" i="1"/>
  <c r="L364" i="1"/>
  <c r="I364" i="1"/>
  <c r="R363" i="1"/>
  <c r="Q363" i="1"/>
  <c r="P363" i="1"/>
  <c r="O363" i="1"/>
  <c r="N363" i="1"/>
  <c r="M363" i="1"/>
  <c r="L363" i="1"/>
  <c r="I363" i="1"/>
  <c r="R362" i="1"/>
  <c r="Q362" i="1"/>
  <c r="P362" i="1"/>
  <c r="O362" i="1"/>
  <c r="N362" i="1"/>
  <c r="M362" i="1"/>
  <c r="L362" i="1"/>
  <c r="I362" i="1"/>
  <c r="R361" i="1"/>
  <c r="Q361" i="1"/>
  <c r="P361" i="1"/>
  <c r="O361" i="1"/>
  <c r="N361" i="1"/>
  <c r="M361" i="1"/>
  <c r="L361" i="1"/>
  <c r="I361" i="1"/>
  <c r="R360" i="1"/>
  <c r="Q360" i="1"/>
  <c r="P360" i="1"/>
  <c r="O360" i="1"/>
  <c r="N360" i="1"/>
  <c r="M360" i="1"/>
  <c r="L360" i="1"/>
  <c r="I360" i="1"/>
  <c r="R359" i="1"/>
  <c r="Q359" i="1"/>
  <c r="P359" i="1"/>
  <c r="O359" i="1"/>
  <c r="N359" i="1"/>
  <c r="M359" i="1"/>
  <c r="L359" i="1"/>
  <c r="I359" i="1"/>
  <c r="R358" i="1"/>
  <c r="Q358" i="1"/>
  <c r="P358" i="1"/>
  <c r="O358" i="1"/>
  <c r="N358" i="1"/>
  <c r="M358" i="1"/>
  <c r="L358" i="1"/>
  <c r="I358" i="1"/>
  <c r="R357" i="1"/>
  <c r="Q357" i="1"/>
  <c r="P357" i="1"/>
  <c r="O357" i="1"/>
  <c r="N357" i="1"/>
  <c r="M357" i="1"/>
  <c r="L357" i="1"/>
  <c r="I357" i="1"/>
  <c r="R356" i="1"/>
  <c r="Q356" i="1"/>
  <c r="P356" i="1"/>
  <c r="O356" i="1"/>
  <c r="N356" i="1"/>
  <c r="M356" i="1"/>
  <c r="L356" i="1"/>
  <c r="I356" i="1"/>
  <c r="R355" i="1"/>
  <c r="Q355" i="1"/>
  <c r="P355" i="1"/>
  <c r="O355" i="1"/>
  <c r="N355" i="1"/>
  <c r="M355" i="1"/>
  <c r="L355" i="1"/>
  <c r="I355" i="1"/>
  <c r="R354" i="1"/>
  <c r="Q354" i="1"/>
  <c r="P354" i="1"/>
  <c r="O354" i="1"/>
  <c r="N354" i="1"/>
  <c r="M354" i="1"/>
  <c r="L354" i="1"/>
  <c r="I354" i="1"/>
  <c r="R353" i="1"/>
  <c r="Q353" i="1"/>
  <c r="P353" i="1"/>
  <c r="O353" i="1"/>
  <c r="N353" i="1"/>
  <c r="M353" i="1"/>
  <c r="L353" i="1"/>
  <c r="I353" i="1"/>
  <c r="R352" i="1"/>
  <c r="Q352" i="1"/>
  <c r="P352" i="1"/>
  <c r="O352" i="1"/>
  <c r="N352" i="1"/>
  <c r="M352" i="1"/>
  <c r="L352" i="1"/>
  <c r="I352" i="1"/>
  <c r="R351" i="1"/>
  <c r="Q351" i="1"/>
  <c r="P351" i="1"/>
  <c r="O351" i="1"/>
  <c r="N351" i="1"/>
  <c r="M351" i="1"/>
  <c r="L351" i="1"/>
  <c r="I351" i="1"/>
  <c r="R350" i="1"/>
  <c r="Q350" i="1"/>
  <c r="P350" i="1"/>
  <c r="O350" i="1"/>
  <c r="N350" i="1"/>
  <c r="M350" i="1"/>
  <c r="L350" i="1"/>
  <c r="I350" i="1"/>
  <c r="R349" i="1"/>
  <c r="Q349" i="1"/>
  <c r="P349" i="1"/>
  <c r="O349" i="1"/>
  <c r="N349" i="1"/>
  <c r="M349" i="1"/>
  <c r="L349" i="1"/>
  <c r="I349" i="1"/>
  <c r="R348" i="1"/>
  <c r="Q348" i="1"/>
  <c r="P348" i="1"/>
  <c r="O348" i="1"/>
  <c r="N348" i="1"/>
  <c r="M348" i="1"/>
  <c r="L348" i="1"/>
  <c r="I348" i="1"/>
  <c r="R347" i="1"/>
  <c r="Q347" i="1"/>
  <c r="P347" i="1"/>
  <c r="O347" i="1"/>
  <c r="N347" i="1"/>
  <c r="M347" i="1"/>
  <c r="L347" i="1"/>
  <c r="I347" i="1"/>
  <c r="R346" i="1"/>
  <c r="Q346" i="1"/>
  <c r="P346" i="1"/>
  <c r="O346" i="1"/>
  <c r="N346" i="1"/>
  <c r="M346" i="1"/>
  <c r="L346" i="1"/>
  <c r="I346" i="1"/>
  <c r="R345" i="1"/>
  <c r="Q345" i="1"/>
  <c r="P345" i="1"/>
  <c r="O345" i="1"/>
  <c r="N345" i="1"/>
  <c r="M345" i="1"/>
  <c r="L345" i="1"/>
  <c r="I345" i="1"/>
  <c r="R344" i="1"/>
  <c r="Q344" i="1"/>
  <c r="P344" i="1"/>
  <c r="O344" i="1"/>
  <c r="N344" i="1"/>
  <c r="M344" i="1"/>
  <c r="L344" i="1"/>
  <c r="I344" i="1"/>
  <c r="R343" i="1"/>
  <c r="Q343" i="1"/>
  <c r="P343" i="1"/>
  <c r="O343" i="1"/>
  <c r="N343" i="1"/>
  <c r="M343" i="1"/>
  <c r="L343" i="1"/>
  <c r="I343" i="1"/>
  <c r="R342" i="1"/>
  <c r="Q342" i="1"/>
  <c r="P342" i="1"/>
  <c r="O342" i="1"/>
  <c r="N342" i="1"/>
  <c r="M342" i="1"/>
  <c r="L342" i="1"/>
  <c r="I342" i="1"/>
  <c r="R341" i="1"/>
  <c r="Q341" i="1"/>
  <c r="P341" i="1"/>
  <c r="O341" i="1"/>
  <c r="N341" i="1"/>
  <c r="M341" i="1"/>
  <c r="L341" i="1"/>
  <c r="I341" i="1"/>
  <c r="R340" i="1"/>
  <c r="Q340" i="1"/>
  <c r="P340" i="1"/>
  <c r="O340" i="1"/>
  <c r="N340" i="1"/>
  <c r="M340" i="1"/>
  <c r="L340" i="1"/>
  <c r="I340" i="1"/>
  <c r="R339" i="1"/>
  <c r="Q339" i="1"/>
  <c r="P339" i="1"/>
  <c r="O339" i="1"/>
  <c r="N339" i="1"/>
  <c r="M339" i="1"/>
  <c r="L339" i="1"/>
  <c r="I339" i="1"/>
  <c r="R338" i="1"/>
  <c r="Q338" i="1"/>
  <c r="P338" i="1"/>
  <c r="O338" i="1"/>
  <c r="N338" i="1"/>
  <c r="M338" i="1"/>
  <c r="L338" i="1"/>
  <c r="I338" i="1"/>
  <c r="R337" i="1"/>
  <c r="Q337" i="1"/>
  <c r="P337" i="1"/>
  <c r="O337" i="1"/>
  <c r="N337" i="1"/>
  <c r="M337" i="1"/>
  <c r="L337" i="1"/>
  <c r="I337" i="1"/>
  <c r="R336" i="1"/>
  <c r="Q336" i="1"/>
  <c r="P336" i="1"/>
  <c r="O336" i="1"/>
  <c r="N336" i="1"/>
  <c r="M336" i="1"/>
  <c r="L336" i="1"/>
  <c r="I336" i="1"/>
  <c r="R335" i="1"/>
  <c r="Q335" i="1"/>
  <c r="P335" i="1"/>
  <c r="O335" i="1"/>
  <c r="N335" i="1"/>
  <c r="M335" i="1"/>
  <c r="L335" i="1"/>
  <c r="I335" i="1"/>
  <c r="R334" i="1"/>
  <c r="Q334" i="1"/>
  <c r="P334" i="1"/>
  <c r="O334" i="1"/>
  <c r="N334" i="1"/>
  <c r="M334" i="1"/>
  <c r="L334" i="1"/>
  <c r="I334" i="1"/>
  <c r="R333" i="1"/>
  <c r="Q333" i="1"/>
  <c r="P333" i="1"/>
  <c r="O333" i="1"/>
  <c r="N333" i="1"/>
  <c r="M333" i="1"/>
  <c r="L333" i="1"/>
  <c r="I333" i="1"/>
  <c r="R332" i="1"/>
  <c r="Q332" i="1"/>
  <c r="P332" i="1"/>
  <c r="O332" i="1"/>
  <c r="N332" i="1"/>
  <c r="M332" i="1"/>
  <c r="L332" i="1"/>
  <c r="I332" i="1"/>
  <c r="R331" i="1"/>
  <c r="Q331" i="1"/>
  <c r="P331" i="1"/>
  <c r="O331" i="1"/>
  <c r="N331" i="1"/>
  <c r="M331" i="1"/>
  <c r="L331" i="1"/>
  <c r="I331" i="1"/>
  <c r="R330" i="1"/>
  <c r="Q330" i="1"/>
  <c r="P330" i="1"/>
  <c r="O330" i="1"/>
  <c r="N330" i="1"/>
  <c r="M330" i="1"/>
  <c r="L330" i="1"/>
  <c r="I330" i="1"/>
  <c r="R329" i="1"/>
  <c r="Q329" i="1"/>
  <c r="P329" i="1"/>
  <c r="O329" i="1"/>
  <c r="N329" i="1"/>
  <c r="M329" i="1"/>
  <c r="L329" i="1"/>
  <c r="I329" i="1"/>
  <c r="R328" i="1"/>
  <c r="Q328" i="1"/>
  <c r="P328" i="1"/>
  <c r="O328" i="1"/>
  <c r="N328" i="1"/>
  <c r="M328" i="1"/>
  <c r="L328" i="1"/>
  <c r="I328" i="1"/>
  <c r="R327" i="1"/>
  <c r="Q327" i="1"/>
  <c r="P327" i="1"/>
  <c r="O327" i="1"/>
  <c r="N327" i="1"/>
  <c r="M327" i="1"/>
  <c r="L327" i="1"/>
  <c r="I327" i="1"/>
  <c r="R326" i="1"/>
  <c r="Q326" i="1"/>
  <c r="P326" i="1"/>
  <c r="O326" i="1"/>
  <c r="N326" i="1"/>
  <c r="M326" i="1"/>
  <c r="L326" i="1"/>
  <c r="I326" i="1"/>
  <c r="R325" i="1"/>
  <c r="Q325" i="1"/>
  <c r="P325" i="1"/>
  <c r="O325" i="1"/>
  <c r="N325" i="1"/>
  <c r="M325" i="1"/>
  <c r="L325" i="1"/>
  <c r="I325" i="1"/>
  <c r="R324" i="1"/>
  <c r="Q324" i="1"/>
  <c r="P324" i="1"/>
  <c r="O324" i="1"/>
  <c r="N324" i="1"/>
  <c r="M324" i="1"/>
  <c r="L324" i="1"/>
  <c r="I324" i="1"/>
  <c r="R323" i="1"/>
  <c r="Q323" i="1"/>
  <c r="P323" i="1"/>
  <c r="O323" i="1"/>
  <c r="N323" i="1"/>
  <c r="M323" i="1"/>
  <c r="L323" i="1"/>
  <c r="I323" i="1"/>
  <c r="R322" i="1"/>
  <c r="Q322" i="1"/>
  <c r="P322" i="1"/>
  <c r="O322" i="1"/>
  <c r="N322" i="1"/>
  <c r="M322" i="1"/>
  <c r="L322" i="1"/>
  <c r="I322" i="1"/>
  <c r="R321" i="1"/>
  <c r="Q321" i="1"/>
  <c r="P321" i="1"/>
  <c r="O321" i="1"/>
  <c r="N321" i="1"/>
  <c r="M321" i="1"/>
  <c r="L321" i="1"/>
  <c r="I321" i="1"/>
  <c r="R320" i="1"/>
  <c r="Q320" i="1"/>
  <c r="P320" i="1"/>
  <c r="O320" i="1"/>
  <c r="N320" i="1"/>
  <c r="M320" i="1"/>
  <c r="L320" i="1"/>
  <c r="I320" i="1"/>
  <c r="R319" i="1"/>
  <c r="Q319" i="1"/>
  <c r="P319" i="1"/>
  <c r="O319" i="1"/>
  <c r="N319" i="1"/>
  <c r="M319" i="1"/>
  <c r="L319" i="1"/>
  <c r="I319" i="1"/>
  <c r="R318" i="1"/>
  <c r="Q318" i="1"/>
  <c r="P318" i="1"/>
  <c r="O318" i="1"/>
  <c r="N318" i="1"/>
  <c r="M318" i="1"/>
  <c r="L318" i="1"/>
  <c r="I318" i="1"/>
  <c r="R317" i="1"/>
  <c r="Q317" i="1"/>
  <c r="P317" i="1"/>
  <c r="O317" i="1"/>
  <c r="N317" i="1"/>
  <c r="M317" i="1"/>
  <c r="L317" i="1"/>
  <c r="I317" i="1"/>
  <c r="R316" i="1"/>
  <c r="Q316" i="1"/>
  <c r="P316" i="1"/>
  <c r="O316" i="1"/>
  <c r="N316" i="1"/>
  <c r="M316" i="1"/>
  <c r="L316" i="1"/>
  <c r="I316" i="1"/>
  <c r="R315" i="1"/>
  <c r="Q315" i="1"/>
  <c r="P315" i="1"/>
  <c r="O315" i="1"/>
  <c r="N315" i="1"/>
  <c r="M315" i="1"/>
  <c r="L315" i="1"/>
  <c r="I315" i="1"/>
  <c r="R314" i="1"/>
  <c r="Q314" i="1"/>
  <c r="P314" i="1"/>
  <c r="O314" i="1"/>
  <c r="N314" i="1"/>
  <c r="M314" i="1"/>
  <c r="L314" i="1"/>
  <c r="I314" i="1"/>
  <c r="R313" i="1"/>
  <c r="Q313" i="1"/>
  <c r="P313" i="1"/>
  <c r="O313" i="1"/>
  <c r="N313" i="1"/>
  <c r="M313" i="1"/>
  <c r="L313" i="1"/>
  <c r="I313" i="1"/>
  <c r="R312" i="1"/>
  <c r="Q312" i="1"/>
  <c r="P312" i="1"/>
  <c r="O312" i="1"/>
  <c r="N312" i="1"/>
  <c r="M312" i="1"/>
  <c r="L312" i="1"/>
  <c r="I312" i="1"/>
  <c r="R311" i="1"/>
  <c r="Q311" i="1"/>
  <c r="P311" i="1"/>
  <c r="O311" i="1"/>
  <c r="N311" i="1"/>
  <c r="M311" i="1"/>
  <c r="L311" i="1"/>
  <c r="I311" i="1"/>
  <c r="R310" i="1"/>
  <c r="Q310" i="1"/>
  <c r="P310" i="1"/>
  <c r="O310" i="1"/>
  <c r="N310" i="1"/>
  <c r="M310" i="1"/>
  <c r="L310" i="1"/>
  <c r="I310" i="1"/>
  <c r="R309" i="1"/>
  <c r="Q309" i="1"/>
  <c r="P309" i="1"/>
  <c r="O309" i="1"/>
  <c r="N309" i="1"/>
  <c r="M309" i="1"/>
  <c r="L309" i="1"/>
  <c r="I309" i="1"/>
  <c r="R308" i="1"/>
  <c r="Q308" i="1"/>
  <c r="P308" i="1"/>
  <c r="O308" i="1"/>
  <c r="N308" i="1"/>
  <c r="M308" i="1"/>
  <c r="L308" i="1"/>
  <c r="I308" i="1"/>
  <c r="R307" i="1"/>
  <c r="Q307" i="1"/>
  <c r="P307" i="1"/>
  <c r="O307" i="1"/>
  <c r="N307" i="1"/>
  <c r="M307" i="1"/>
  <c r="L307" i="1"/>
  <c r="I307" i="1"/>
  <c r="R306" i="1"/>
  <c r="Q306" i="1"/>
  <c r="P306" i="1"/>
  <c r="O306" i="1"/>
  <c r="N306" i="1"/>
  <c r="M306" i="1"/>
  <c r="L306" i="1"/>
  <c r="I306" i="1"/>
  <c r="R305" i="1"/>
  <c r="Q305" i="1"/>
  <c r="P305" i="1"/>
  <c r="O305" i="1"/>
  <c r="N305" i="1"/>
  <c r="M305" i="1"/>
  <c r="L305" i="1"/>
  <c r="I305" i="1"/>
  <c r="R304" i="1"/>
  <c r="Q304" i="1"/>
  <c r="P304" i="1"/>
  <c r="O304" i="1"/>
  <c r="N304" i="1"/>
  <c r="M304" i="1"/>
  <c r="L304" i="1"/>
  <c r="I304" i="1"/>
  <c r="R303" i="1"/>
  <c r="Q303" i="1"/>
  <c r="P303" i="1"/>
  <c r="O303" i="1"/>
  <c r="N303" i="1"/>
  <c r="M303" i="1"/>
  <c r="L303" i="1"/>
  <c r="I303" i="1"/>
  <c r="R302" i="1"/>
  <c r="Q302" i="1"/>
  <c r="P302" i="1"/>
  <c r="O302" i="1"/>
  <c r="N302" i="1"/>
  <c r="M302" i="1"/>
  <c r="L302" i="1"/>
  <c r="I302" i="1"/>
  <c r="R301" i="1"/>
  <c r="Q301" i="1"/>
  <c r="P301" i="1"/>
  <c r="O301" i="1"/>
  <c r="N301" i="1"/>
  <c r="M301" i="1"/>
  <c r="L301" i="1"/>
  <c r="I301" i="1"/>
  <c r="R300" i="1"/>
  <c r="Q300" i="1"/>
  <c r="P300" i="1"/>
  <c r="O300" i="1"/>
  <c r="N300" i="1"/>
  <c r="M300" i="1"/>
  <c r="L300" i="1"/>
  <c r="I300" i="1"/>
  <c r="R299" i="1"/>
  <c r="Q299" i="1"/>
  <c r="P299" i="1"/>
  <c r="O299" i="1"/>
  <c r="N299" i="1"/>
  <c r="M299" i="1"/>
  <c r="L299" i="1"/>
  <c r="I299" i="1"/>
  <c r="R298" i="1"/>
  <c r="Q298" i="1"/>
  <c r="P298" i="1"/>
  <c r="O298" i="1"/>
  <c r="N298" i="1"/>
  <c r="M298" i="1"/>
  <c r="L298" i="1"/>
  <c r="I298" i="1"/>
  <c r="R297" i="1"/>
  <c r="Q297" i="1"/>
  <c r="P297" i="1"/>
  <c r="O297" i="1"/>
  <c r="N297" i="1"/>
  <c r="M297" i="1"/>
  <c r="L297" i="1"/>
  <c r="I297" i="1"/>
  <c r="R296" i="1"/>
  <c r="Q296" i="1"/>
  <c r="P296" i="1"/>
  <c r="O296" i="1"/>
  <c r="N296" i="1"/>
  <c r="M296" i="1"/>
  <c r="L296" i="1"/>
  <c r="I296" i="1"/>
  <c r="R295" i="1"/>
  <c r="Q295" i="1"/>
  <c r="P295" i="1"/>
  <c r="O295" i="1"/>
  <c r="N295" i="1"/>
  <c r="M295" i="1"/>
  <c r="L295" i="1"/>
  <c r="I295" i="1"/>
  <c r="R294" i="1"/>
  <c r="Q294" i="1"/>
  <c r="P294" i="1"/>
  <c r="O294" i="1"/>
  <c r="N294" i="1"/>
  <c r="M294" i="1"/>
  <c r="L294" i="1"/>
  <c r="I294" i="1"/>
  <c r="R293" i="1"/>
  <c r="Q293" i="1"/>
  <c r="P293" i="1"/>
  <c r="O293" i="1"/>
  <c r="N293" i="1"/>
  <c r="M293" i="1"/>
  <c r="L293" i="1"/>
  <c r="I293" i="1"/>
  <c r="R292" i="1"/>
  <c r="Q292" i="1"/>
  <c r="P292" i="1"/>
  <c r="O292" i="1"/>
  <c r="N292" i="1"/>
  <c r="M292" i="1"/>
  <c r="L292" i="1"/>
  <c r="I292" i="1"/>
  <c r="R291" i="1"/>
  <c r="Q291" i="1"/>
  <c r="P291" i="1"/>
  <c r="O291" i="1"/>
  <c r="N291" i="1"/>
  <c r="M291" i="1"/>
  <c r="L291" i="1"/>
  <c r="I291" i="1"/>
  <c r="R290" i="1"/>
  <c r="Q290" i="1"/>
  <c r="P290" i="1"/>
  <c r="O290" i="1"/>
  <c r="N290" i="1"/>
  <c r="M290" i="1"/>
  <c r="L290" i="1"/>
  <c r="I290" i="1"/>
  <c r="R289" i="1"/>
  <c r="Q289" i="1"/>
  <c r="P289" i="1"/>
  <c r="O289" i="1"/>
  <c r="N289" i="1"/>
  <c r="M289" i="1"/>
  <c r="L289" i="1"/>
  <c r="I289" i="1"/>
  <c r="R288" i="1"/>
  <c r="Q288" i="1"/>
  <c r="P288" i="1"/>
  <c r="O288" i="1"/>
  <c r="N288" i="1"/>
  <c r="M288" i="1"/>
  <c r="L288" i="1"/>
  <c r="I288" i="1"/>
  <c r="R287" i="1"/>
  <c r="Q287" i="1"/>
  <c r="P287" i="1"/>
  <c r="O287" i="1"/>
  <c r="N287" i="1"/>
  <c r="M287" i="1"/>
  <c r="L287" i="1"/>
  <c r="I287" i="1"/>
  <c r="R286" i="1"/>
  <c r="Q286" i="1"/>
  <c r="P286" i="1"/>
  <c r="O286" i="1"/>
  <c r="N286" i="1"/>
  <c r="M286" i="1"/>
  <c r="L286" i="1"/>
  <c r="I286" i="1"/>
  <c r="R285" i="1"/>
  <c r="Q285" i="1"/>
  <c r="P285" i="1"/>
  <c r="O285" i="1"/>
  <c r="N285" i="1"/>
  <c r="M285" i="1"/>
  <c r="L285" i="1"/>
  <c r="I285" i="1"/>
  <c r="R284" i="1"/>
  <c r="Q284" i="1"/>
  <c r="P284" i="1"/>
  <c r="O284" i="1"/>
  <c r="N284" i="1"/>
  <c r="M284" i="1"/>
  <c r="L284" i="1"/>
  <c r="I284" i="1"/>
  <c r="R283" i="1"/>
  <c r="Q283" i="1"/>
  <c r="P283" i="1"/>
  <c r="O283" i="1"/>
  <c r="N283" i="1"/>
  <c r="M283" i="1"/>
  <c r="L283" i="1"/>
  <c r="I283" i="1"/>
  <c r="R282" i="1"/>
  <c r="Q282" i="1"/>
  <c r="P282" i="1"/>
  <c r="O282" i="1"/>
  <c r="N282" i="1"/>
  <c r="M282" i="1"/>
  <c r="L282" i="1"/>
  <c r="I282" i="1"/>
  <c r="R281" i="1"/>
  <c r="Q281" i="1"/>
  <c r="P281" i="1"/>
  <c r="O281" i="1"/>
  <c r="N281" i="1"/>
  <c r="M281" i="1"/>
  <c r="L281" i="1"/>
  <c r="I281" i="1"/>
  <c r="R280" i="1"/>
  <c r="Q280" i="1"/>
  <c r="P280" i="1"/>
  <c r="O280" i="1"/>
  <c r="N280" i="1"/>
  <c r="M280" i="1"/>
  <c r="L280" i="1"/>
  <c r="I280" i="1"/>
  <c r="R279" i="1"/>
  <c r="Q279" i="1"/>
  <c r="P279" i="1"/>
  <c r="O279" i="1"/>
  <c r="N279" i="1"/>
  <c r="M279" i="1"/>
  <c r="L279" i="1"/>
  <c r="I279" i="1"/>
  <c r="R278" i="1"/>
  <c r="Q278" i="1"/>
  <c r="P278" i="1"/>
  <c r="O278" i="1"/>
  <c r="N278" i="1"/>
  <c r="M278" i="1"/>
  <c r="L278" i="1"/>
  <c r="I278" i="1"/>
  <c r="R277" i="1"/>
  <c r="Q277" i="1"/>
  <c r="P277" i="1"/>
  <c r="O277" i="1"/>
  <c r="N277" i="1"/>
  <c r="M277" i="1"/>
  <c r="L277" i="1"/>
  <c r="I277" i="1"/>
  <c r="R276" i="1"/>
  <c r="Q276" i="1"/>
  <c r="P276" i="1"/>
  <c r="O276" i="1"/>
  <c r="N276" i="1"/>
  <c r="M276" i="1"/>
  <c r="L276" i="1"/>
  <c r="I276" i="1"/>
  <c r="R275" i="1"/>
  <c r="Q275" i="1"/>
  <c r="P275" i="1"/>
  <c r="O275" i="1"/>
  <c r="N275" i="1"/>
  <c r="M275" i="1"/>
  <c r="L275" i="1"/>
  <c r="I275" i="1"/>
  <c r="R274" i="1"/>
  <c r="Q274" i="1"/>
  <c r="P274" i="1"/>
  <c r="O274" i="1"/>
  <c r="N274" i="1"/>
  <c r="M274" i="1"/>
  <c r="L274" i="1"/>
  <c r="I274" i="1"/>
  <c r="R273" i="1"/>
  <c r="Q273" i="1"/>
  <c r="P273" i="1"/>
  <c r="O273" i="1"/>
  <c r="N273" i="1"/>
  <c r="M273" i="1"/>
  <c r="L273" i="1"/>
  <c r="I273" i="1"/>
  <c r="R272" i="1"/>
  <c r="Q272" i="1"/>
  <c r="P272" i="1"/>
  <c r="O272" i="1"/>
  <c r="N272" i="1"/>
  <c r="M272" i="1"/>
  <c r="L272" i="1"/>
  <c r="I272" i="1"/>
  <c r="R271" i="1"/>
  <c r="Q271" i="1"/>
  <c r="P271" i="1"/>
  <c r="O271" i="1"/>
  <c r="N271" i="1"/>
  <c r="M271" i="1"/>
  <c r="L271" i="1"/>
  <c r="I271" i="1"/>
  <c r="R270" i="1"/>
  <c r="Q270" i="1"/>
  <c r="P270" i="1"/>
  <c r="O270" i="1"/>
  <c r="N270" i="1"/>
  <c r="M270" i="1"/>
  <c r="L270" i="1"/>
  <c r="I270" i="1"/>
  <c r="R269" i="1"/>
  <c r="Q269" i="1"/>
  <c r="P269" i="1"/>
  <c r="O269" i="1"/>
  <c r="N269" i="1"/>
  <c r="M269" i="1"/>
  <c r="L269" i="1"/>
  <c r="I269" i="1"/>
  <c r="R268" i="1"/>
  <c r="Q268" i="1"/>
  <c r="P268" i="1"/>
  <c r="O268" i="1"/>
  <c r="N268" i="1"/>
  <c r="M268" i="1"/>
  <c r="L268" i="1"/>
  <c r="I268" i="1"/>
  <c r="R267" i="1"/>
  <c r="Q267" i="1"/>
  <c r="P267" i="1"/>
  <c r="O267" i="1"/>
  <c r="N267" i="1"/>
  <c r="M267" i="1"/>
  <c r="L267" i="1"/>
  <c r="I267" i="1"/>
  <c r="R266" i="1"/>
  <c r="Q266" i="1"/>
  <c r="P266" i="1"/>
  <c r="O266" i="1"/>
  <c r="N266" i="1"/>
  <c r="M266" i="1"/>
  <c r="L266" i="1"/>
  <c r="I266" i="1"/>
  <c r="R265" i="1"/>
  <c r="Q265" i="1"/>
  <c r="P265" i="1"/>
  <c r="O265" i="1"/>
  <c r="N265" i="1"/>
  <c r="M265" i="1"/>
  <c r="L265" i="1"/>
  <c r="I265" i="1"/>
  <c r="R264" i="1"/>
  <c r="Q264" i="1"/>
  <c r="P264" i="1"/>
  <c r="O264" i="1"/>
  <c r="N264" i="1"/>
  <c r="M264" i="1"/>
  <c r="L264" i="1"/>
  <c r="I264" i="1"/>
  <c r="R263" i="1"/>
  <c r="Q263" i="1"/>
  <c r="P263" i="1"/>
  <c r="O263" i="1"/>
  <c r="N263" i="1"/>
  <c r="M263" i="1"/>
  <c r="L263" i="1"/>
  <c r="I263" i="1"/>
  <c r="R262" i="1"/>
  <c r="Q262" i="1"/>
  <c r="P262" i="1"/>
  <c r="O262" i="1"/>
  <c r="N262" i="1"/>
  <c r="M262" i="1"/>
  <c r="L262" i="1"/>
  <c r="I262" i="1"/>
  <c r="R261" i="1"/>
  <c r="Q261" i="1"/>
  <c r="P261" i="1"/>
  <c r="O261" i="1"/>
  <c r="N261" i="1"/>
  <c r="M261" i="1"/>
  <c r="L261" i="1"/>
  <c r="I261" i="1"/>
  <c r="R260" i="1"/>
  <c r="Q260" i="1"/>
  <c r="P260" i="1"/>
  <c r="O260" i="1"/>
  <c r="N260" i="1"/>
  <c r="M260" i="1"/>
  <c r="L260" i="1"/>
  <c r="I260" i="1"/>
  <c r="R259" i="1"/>
  <c r="Q259" i="1"/>
  <c r="P259" i="1"/>
  <c r="O259" i="1"/>
  <c r="N259" i="1"/>
  <c r="M259" i="1"/>
  <c r="L259" i="1"/>
  <c r="I259" i="1"/>
  <c r="R258" i="1"/>
  <c r="Q258" i="1"/>
  <c r="P258" i="1"/>
  <c r="O258" i="1"/>
  <c r="N258" i="1"/>
  <c r="M258" i="1"/>
  <c r="L258" i="1"/>
  <c r="I258" i="1"/>
  <c r="R257" i="1"/>
  <c r="Q257" i="1"/>
  <c r="P257" i="1"/>
  <c r="O257" i="1"/>
  <c r="N257" i="1"/>
  <c r="M257" i="1"/>
  <c r="L257" i="1"/>
  <c r="I257" i="1"/>
  <c r="R256" i="1"/>
  <c r="Q256" i="1"/>
  <c r="P256" i="1"/>
  <c r="O256" i="1"/>
  <c r="N256" i="1"/>
  <c r="M256" i="1"/>
  <c r="L256" i="1"/>
  <c r="I256" i="1"/>
  <c r="R255" i="1"/>
  <c r="Q255" i="1"/>
  <c r="P255" i="1"/>
  <c r="O255" i="1"/>
  <c r="N255" i="1"/>
  <c r="M255" i="1"/>
  <c r="L255" i="1"/>
  <c r="I255" i="1"/>
  <c r="R254" i="1"/>
  <c r="Q254" i="1"/>
  <c r="P254" i="1"/>
  <c r="O254" i="1"/>
  <c r="N254" i="1"/>
  <c r="M254" i="1"/>
  <c r="L254" i="1"/>
  <c r="I254" i="1"/>
  <c r="R253" i="1"/>
  <c r="Q253" i="1"/>
  <c r="P253" i="1"/>
  <c r="O253" i="1"/>
  <c r="N253" i="1"/>
  <c r="M253" i="1"/>
  <c r="L253" i="1"/>
  <c r="I253" i="1"/>
  <c r="R252" i="1"/>
  <c r="Q252" i="1"/>
  <c r="P252" i="1"/>
  <c r="O252" i="1"/>
  <c r="N252" i="1"/>
  <c r="M252" i="1"/>
  <c r="L252" i="1"/>
  <c r="I252" i="1"/>
  <c r="R251" i="1"/>
  <c r="Q251" i="1"/>
  <c r="P251" i="1"/>
  <c r="O251" i="1"/>
  <c r="N251" i="1"/>
  <c r="M251" i="1"/>
  <c r="L251" i="1"/>
  <c r="I251" i="1"/>
  <c r="R250" i="1"/>
  <c r="Q250" i="1"/>
  <c r="P250" i="1"/>
  <c r="O250" i="1"/>
  <c r="N250" i="1"/>
  <c r="M250" i="1"/>
  <c r="L250" i="1"/>
  <c r="I250" i="1"/>
  <c r="R249" i="1"/>
  <c r="Q249" i="1"/>
  <c r="P249" i="1"/>
  <c r="O249" i="1"/>
  <c r="N249" i="1"/>
  <c r="M249" i="1"/>
  <c r="L249" i="1"/>
  <c r="I249" i="1"/>
  <c r="R248" i="1"/>
  <c r="Q248" i="1"/>
  <c r="P248" i="1"/>
  <c r="O248" i="1"/>
  <c r="N248" i="1"/>
  <c r="M248" i="1"/>
  <c r="L248" i="1"/>
  <c r="I248" i="1"/>
  <c r="R247" i="1"/>
  <c r="Q247" i="1"/>
  <c r="P247" i="1"/>
  <c r="O247" i="1"/>
  <c r="N247" i="1"/>
  <c r="M247" i="1"/>
  <c r="L247" i="1"/>
  <c r="I247" i="1"/>
  <c r="R246" i="1"/>
  <c r="Q246" i="1"/>
  <c r="P246" i="1"/>
  <c r="O246" i="1"/>
  <c r="N246" i="1"/>
  <c r="M246" i="1"/>
  <c r="L246" i="1"/>
  <c r="I246" i="1"/>
  <c r="R245" i="1"/>
  <c r="Q245" i="1"/>
  <c r="P245" i="1"/>
  <c r="O245" i="1"/>
  <c r="N245" i="1"/>
  <c r="M245" i="1"/>
  <c r="L245" i="1"/>
  <c r="I245" i="1"/>
  <c r="R244" i="1"/>
  <c r="Q244" i="1"/>
  <c r="P244" i="1"/>
  <c r="O244" i="1"/>
  <c r="N244" i="1"/>
  <c r="M244" i="1"/>
  <c r="L244" i="1"/>
  <c r="I244" i="1"/>
  <c r="R243" i="1"/>
  <c r="Q243" i="1"/>
  <c r="P243" i="1"/>
  <c r="O243" i="1"/>
  <c r="N243" i="1"/>
  <c r="M243" i="1"/>
  <c r="L243" i="1"/>
  <c r="I243" i="1"/>
  <c r="R242" i="1"/>
  <c r="Q242" i="1"/>
  <c r="P242" i="1"/>
  <c r="O242" i="1"/>
  <c r="N242" i="1"/>
  <c r="M242" i="1"/>
  <c r="L242" i="1"/>
  <c r="I242" i="1"/>
  <c r="R241" i="1"/>
  <c r="Q241" i="1"/>
  <c r="P241" i="1"/>
  <c r="O241" i="1"/>
  <c r="N241" i="1"/>
  <c r="M241" i="1"/>
  <c r="L241" i="1"/>
  <c r="I241" i="1"/>
  <c r="R240" i="1"/>
  <c r="Q240" i="1"/>
  <c r="P240" i="1"/>
  <c r="O240" i="1"/>
  <c r="N240" i="1"/>
  <c r="M240" i="1"/>
  <c r="L240" i="1"/>
  <c r="I240" i="1"/>
  <c r="R239" i="1"/>
  <c r="Q239" i="1"/>
  <c r="P239" i="1"/>
  <c r="O239" i="1"/>
  <c r="N239" i="1"/>
  <c r="M239" i="1"/>
  <c r="L239" i="1"/>
  <c r="I239" i="1"/>
  <c r="R238" i="1"/>
  <c r="Q238" i="1"/>
  <c r="P238" i="1"/>
  <c r="O238" i="1"/>
  <c r="N238" i="1"/>
  <c r="M238" i="1"/>
  <c r="L238" i="1"/>
  <c r="I238" i="1"/>
  <c r="R237" i="1"/>
  <c r="Q237" i="1"/>
  <c r="P237" i="1"/>
  <c r="O237" i="1"/>
  <c r="N237" i="1"/>
  <c r="M237" i="1"/>
  <c r="L237" i="1"/>
  <c r="I237" i="1"/>
  <c r="R236" i="1"/>
  <c r="Q236" i="1"/>
  <c r="P236" i="1"/>
  <c r="O236" i="1"/>
  <c r="N236" i="1"/>
  <c r="M236" i="1"/>
  <c r="L236" i="1"/>
  <c r="I236" i="1"/>
  <c r="R235" i="1"/>
  <c r="Q235" i="1"/>
  <c r="P235" i="1"/>
  <c r="O235" i="1"/>
  <c r="N235" i="1"/>
  <c r="M235" i="1"/>
  <c r="L235" i="1"/>
  <c r="I235" i="1"/>
  <c r="R234" i="1"/>
  <c r="Q234" i="1"/>
  <c r="P234" i="1"/>
  <c r="O234" i="1"/>
  <c r="N234" i="1"/>
  <c r="M234" i="1"/>
  <c r="L234" i="1"/>
  <c r="I234" i="1"/>
  <c r="R233" i="1"/>
  <c r="Q233" i="1"/>
  <c r="P233" i="1"/>
  <c r="O233" i="1"/>
  <c r="N233" i="1"/>
  <c r="M233" i="1"/>
  <c r="L233" i="1"/>
  <c r="I233" i="1"/>
  <c r="R232" i="1"/>
  <c r="Q232" i="1"/>
  <c r="P232" i="1"/>
  <c r="O232" i="1"/>
  <c r="N232" i="1"/>
  <c r="M232" i="1"/>
  <c r="L232" i="1"/>
  <c r="I232" i="1"/>
  <c r="R231" i="1"/>
  <c r="Q231" i="1"/>
  <c r="P231" i="1"/>
  <c r="O231" i="1"/>
  <c r="N231" i="1"/>
  <c r="M231" i="1"/>
  <c r="L231" i="1"/>
  <c r="I231" i="1"/>
  <c r="R230" i="1"/>
  <c r="Q230" i="1"/>
  <c r="P230" i="1"/>
  <c r="O230" i="1"/>
  <c r="N230" i="1"/>
  <c r="M230" i="1"/>
  <c r="L230" i="1"/>
  <c r="I230" i="1"/>
  <c r="R229" i="1"/>
  <c r="Q229" i="1"/>
  <c r="P229" i="1"/>
  <c r="O229" i="1"/>
  <c r="N229" i="1"/>
  <c r="M229" i="1"/>
  <c r="L229" i="1"/>
  <c r="I229" i="1"/>
  <c r="R228" i="1"/>
  <c r="Q228" i="1"/>
  <c r="P228" i="1"/>
  <c r="O228" i="1"/>
  <c r="N228" i="1"/>
  <c r="M228" i="1"/>
  <c r="L228" i="1"/>
  <c r="I228" i="1"/>
  <c r="R227" i="1"/>
  <c r="Q227" i="1"/>
  <c r="P227" i="1"/>
  <c r="O227" i="1"/>
  <c r="N227" i="1"/>
  <c r="M227" i="1"/>
  <c r="L227" i="1"/>
  <c r="I227" i="1"/>
  <c r="R226" i="1"/>
  <c r="Q226" i="1"/>
  <c r="P226" i="1"/>
  <c r="O226" i="1"/>
  <c r="N226" i="1"/>
  <c r="M226" i="1"/>
  <c r="L226" i="1"/>
  <c r="I226" i="1"/>
  <c r="R225" i="1"/>
  <c r="Q225" i="1"/>
  <c r="P225" i="1"/>
  <c r="O225" i="1"/>
  <c r="N225" i="1"/>
  <c r="M225" i="1"/>
  <c r="L225" i="1"/>
  <c r="I225" i="1"/>
  <c r="R224" i="1"/>
  <c r="Q224" i="1"/>
  <c r="P224" i="1"/>
  <c r="O224" i="1"/>
  <c r="N224" i="1"/>
  <c r="M224" i="1"/>
  <c r="L224" i="1"/>
  <c r="I224" i="1"/>
  <c r="R223" i="1"/>
  <c r="Q223" i="1"/>
  <c r="P223" i="1"/>
  <c r="O223" i="1"/>
  <c r="N223" i="1"/>
  <c r="M223" i="1"/>
  <c r="L223" i="1"/>
  <c r="I223" i="1"/>
  <c r="R222" i="1"/>
  <c r="Q222" i="1"/>
  <c r="P222" i="1"/>
  <c r="O222" i="1"/>
  <c r="N222" i="1"/>
  <c r="M222" i="1"/>
  <c r="L222" i="1"/>
  <c r="I222" i="1"/>
  <c r="R221" i="1"/>
  <c r="Q221" i="1"/>
  <c r="P221" i="1"/>
  <c r="O221" i="1"/>
  <c r="N221" i="1"/>
  <c r="M221" i="1"/>
  <c r="L221" i="1"/>
  <c r="I221" i="1"/>
  <c r="R220" i="1"/>
  <c r="Q220" i="1"/>
  <c r="P220" i="1"/>
  <c r="O220" i="1"/>
  <c r="N220" i="1"/>
  <c r="M220" i="1"/>
  <c r="L220" i="1"/>
  <c r="I220" i="1"/>
  <c r="R219" i="1"/>
  <c r="Q219" i="1"/>
  <c r="P219" i="1"/>
  <c r="O219" i="1"/>
  <c r="N219" i="1"/>
  <c r="M219" i="1"/>
  <c r="L219" i="1"/>
  <c r="I219" i="1"/>
  <c r="R218" i="1"/>
  <c r="Q218" i="1"/>
  <c r="P218" i="1"/>
  <c r="O218" i="1"/>
  <c r="N218" i="1"/>
  <c r="M218" i="1"/>
  <c r="L218" i="1"/>
  <c r="I218" i="1"/>
  <c r="R217" i="1"/>
  <c r="Q217" i="1"/>
  <c r="P217" i="1"/>
  <c r="O217" i="1"/>
  <c r="N217" i="1"/>
  <c r="M217" i="1"/>
  <c r="L217" i="1"/>
  <c r="I217" i="1"/>
  <c r="R216" i="1"/>
  <c r="Q216" i="1"/>
  <c r="P216" i="1"/>
  <c r="O216" i="1"/>
  <c r="N216" i="1"/>
  <c r="M216" i="1"/>
  <c r="L216" i="1"/>
  <c r="I216" i="1"/>
  <c r="R215" i="1"/>
  <c r="Q215" i="1"/>
  <c r="P215" i="1"/>
  <c r="O215" i="1"/>
  <c r="N215" i="1"/>
  <c r="M215" i="1"/>
  <c r="L215" i="1"/>
  <c r="I215" i="1"/>
  <c r="R214" i="1"/>
  <c r="Q214" i="1"/>
  <c r="P214" i="1"/>
  <c r="O214" i="1"/>
  <c r="N214" i="1"/>
  <c r="M214" i="1"/>
  <c r="L214" i="1"/>
  <c r="I214" i="1"/>
  <c r="R213" i="1"/>
  <c r="Q213" i="1"/>
  <c r="P213" i="1"/>
  <c r="O213" i="1"/>
  <c r="N213" i="1"/>
  <c r="M213" i="1"/>
  <c r="L213" i="1"/>
  <c r="I213" i="1"/>
  <c r="R212" i="1"/>
  <c r="Q212" i="1"/>
  <c r="P212" i="1"/>
  <c r="O212" i="1"/>
  <c r="N212" i="1"/>
  <c r="M212" i="1"/>
  <c r="L212" i="1"/>
  <c r="I212" i="1"/>
  <c r="R211" i="1"/>
  <c r="Q211" i="1"/>
  <c r="P211" i="1"/>
  <c r="O211" i="1"/>
  <c r="N211" i="1"/>
  <c r="M211" i="1"/>
  <c r="L211" i="1"/>
  <c r="I211" i="1"/>
  <c r="R210" i="1"/>
  <c r="Q210" i="1"/>
  <c r="P210" i="1"/>
  <c r="O210" i="1"/>
  <c r="N210" i="1"/>
  <c r="M210" i="1"/>
  <c r="L210" i="1"/>
  <c r="I210" i="1"/>
  <c r="R209" i="1"/>
  <c r="Q209" i="1"/>
  <c r="P209" i="1"/>
  <c r="O209" i="1"/>
  <c r="N209" i="1"/>
  <c r="M209" i="1"/>
  <c r="L209" i="1"/>
  <c r="I209" i="1"/>
  <c r="R208" i="1"/>
  <c r="Q208" i="1"/>
  <c r="P208" i="1"/>
  <c r="O208" i="1"/>
  <c r="N208" i="1"/>
  <c r="M208" i="1"/>
  <c r="L208" i="1"/>
  <c r="I208" i="1"/>
  <c r="R207" i="1"/>
  <c r="Q207" i="1"/>
  <c r="P207" i="1"/>
  <c r="O207" i="1"/>
  <c r="N207" i="1"/>
  <c r="M207" i="1"/>
  <c r="L207" i="1"/>
  <c r="I207" i="1"/>
  <c r="R206" i="1"/>
  <c r="Q206" i="1"/>
  <c r="P206" i="1"/>
  <c r="O206" i="1"/>
  <c r="N206" i="1"/>
  <c r="M206" i="1"/>
  <c r="L206" i="1"/>
  <c r="I206" i="1"/>
  <c r="R205" i="1"/>
  <c r="Q205" i="1"/>
  <c r="P205" i="1"/>
  <c r="O205" i="1"/>
  <c r="N205" i="1"/>
  <c r="M205" i="1"/>
  <c r="L205" i="1"/>
  <c r="I205" i="1"/>
  <c r="R204" i="1"/>
  <c r="Q204" i="1"/>
  <c r="P204" i="1"/>
  <c r="O204" i="1"/>
  <c r="N204" i="1"/>
  <c r="M204" i="1"/>
  <c r="L204" i="1"/>
  <c r="I204" i="1"/>
  <c r="R203" i="1"/>
  <c r="Q203" i="1"/>
  <c r="P203" i="1"/>
  <c r="O203" i="1"/>
  <c r="N203" i="1"/>
  <c r="M203" i="1"/>
  <c r="L203" i="1"/>
  <c r="I203" i="1"/>
  <c r="R202" i="1"/>
  <c r="Q202" i="1"/>
  <c r="P202" i="1"/>
  <c r="O202" i="1"/>
  <c r="N202" i="1"/>
  <c r="M202" i="1"/>
  <c r="L202" i="1"/>
  <c r="I202" i="1"/>
  <c r="R201" i="1"/>
  <c r="Q201" i="1"/>
  <c r="P201" i="1"/>
  <c r="O201" i="1"/>
  <c r="N201" i="1"/>
  <c r="M201" i="1"/>
  <c r="L201" i="1"/>
  <c r="I201" i="1"/>
  <c r="R200" i="1"/>
  <c r="Q200" i="1"/>
  <c r="P200" i="1"/>
  <c r="O200" i="1"/>
  <c r="N200" i="1"/>
  <c r="M200" i="1"/>
  <c r="L200" i="1"/>
  <c r="I200" i="1"/>
  <c r="R199" i="1"/>
  <c r="Q199" i="1"/>
  <c r="P199" i="1"/>
  <c r="O199" i="1"/>
  <c r="N199" i="1"/>
  <c r="M199" i="1"/>
  <c r="L199" i="1"/>
  <c r="I199" i="1"/>
  <c r="R198" i="1"/>
  <c r="Q198" i="1"/>
  <c r="P198" i="1"/>
  <c r="O198" i="1"/>
  <c r="N198" i="1"/>
  <c r="M198" i="1"/>
  <c r="L198" i="1"/>
  <c r="I198" i="1"/>
  <c r="R197" i="1"/>
  <c r="Q197" i="1"/>
  <c r="P197" i="1"/>
  <c r="O197" i="1"/>
  <c r="N197" i="1"/>
  <c r="M197" i="1"/>
  <c r="L197" i="1"/>
  <c r="I197" i="1"/>
  <c r="R196" i="1"/>
  <c r="Q196" i="1"/>
  <c r="P196" i="1"/>
  <c r="O196" i="1"/>
  <c r="N196" i="1"/>
  <c r="M196" i="1"/>
  <c r="L196" i="1"/>
  <c r="I196" i="1"/>
  <c r="R195" i="1"/>
  <c r="Q195" i="1"/>
  <c r="P195" i="1"/>
  <c r="O195" i="1"/>
  <c r="N195" i="1"/>
  <c r="M195" i="1"/>
  <c r="L195" i="1"/>
  <c r="I195" i="1"/>
  <c r="R194" i="1"/>
  <c r="Q194" i="1"/>
  <c r="P194" i="1"/>
  <c r="O194" i="1"/>
  <c r="N194" i="1"/>
  <c r="M194" i="1"/>
  <c r="L194" i="1"/>
  <c r="I194" i="1"/>
  <c r="R193" i="1"/>
  <c r="Q193" i="1"/>
  <c r="P193" i="1"/>
  <c r="O193" i="1"/>
  <c r="N193" i="1"/>
  <c r="M193" i="1"/>
  <c r="L193" i="1"/>
  <c r="I193" i="1"/>
  <c r="R192" i="1"/>
  <c r="Q192" i="1"/>
  <c r="P192" i="1"/>
  <c r="O192" i="1"/>
  <c r="N192" i="1"/>
  <c r="M192" i="1"/>
  <c r="L192" i="1"/>
  <c r="I192" i="1"/>
  <c r="R191" i="1"/>
  <c r="Q191" i="1"/>
  <c r="P191" i="1"/>
  <c r="O191" i="1"/>
  <c r="N191" i="1"/>
  <c r="M191" i="1"/>
  <c r="L191" i="1"/>
  <c r="I191" i="1"/>
  <c r="R190" i="1"/>
  <c r="Q190" i="1"/>
  <c r="P190" i="1"/>
  <c r="O190" i="1"/>
  <c r="N190" i="1"/>
  <c r="M190" i="1"/>
  <c r="L190" i="1"/>
  <c r="I190" i="1"/>
  <c r="R189" i="1"/>
  <c r="Q189" i="1"/>
  <c r="P189" i="1"/>
  <c r="O189" i="1"/>
  <c r="N189" i="1"/>
  <c r="M189" i="1"/>
  <c r="L189" i="1"/>
  <c r="I189" i="1"/>
  <c r="R188" i="1"/>
  <c r="Q188" i="1"/>
  <c r="P188" i="1"/>
  <c r="O188" i="1"/>
  <c r="N188" i="1"/>
  <c r="M188" i="1"/>
  <c r="L188" i="1"/>
  <c r="I188" i="1"/>
  <c r="R187" i="1"/>
  <c r="Q187" i="1"/>
  <c r="P187" i="1"/>
  <c r="O187" i="1"/>
  <c r="N187" i="1"/>
  <c r="M187" i="1"/>
  <c r="L187" i="1"/>
  <c r="I187" i="1"/>
  <c r="R186" i="1"/>
  <c r="Q186" i="1"/>
  <c r="P186" i="1"/>
  <c r="O186" i="1"/>
  <c r="N186" i="1"/>
  <c r="M186" i="1"/>
  <c r="L186" i="1"/>
  <c r="I186" i="1"/>
  <c r="R185" i="1"/>
  <c r="Q185" i="1"/>
  <c r="P185" i="1"/>
  <c r="O185" i="1"/>
  <c r="N185" i="1"/>
  <c r="M185" i="1"/>
  <c r="L185" i="1"/>
  <c r="I185" i="1"/>
  <c r="R184" i="1"/>
  <c r="Q184" i="1"/>
  <c r="P184" i="1"/>
  <c r="O184" i="1"/>
  <c r="N184" i="1"/>
  <c r="M184" i="1"/>
  <c r="L184" i="1"/>
  <c r="I184" i="1"/>
  <c r="R183" i="1"/>
  <c r="Q183" i="1"/>
  <c r="P183" i="1"/>
  <c r="O183" i="1"/>
  <c r="N183" i="1"/>
  <c r="M183" i="1"/>
  <c r="L183" i="1"/>
  <c r="I183" i="1"/>
  <c r="R182" i="1"/>
  <c r="Q182" i="1"/>
  <c r="P182" i="1"/>
  <c r="O182" i="1"/>
  <c r="N182" i="1"/>
  <c r="M182" i="1"/>
  <c r="L182" i="1"/>
  <c r="I182" i="1"/>
  <c r="R181" i="1"/>
  <c r="Q181" i="1"/>
  <c r="P181" i="1"/>
  <c r="O181" i="1"/>
  <c r="N181" i="1"/>
  <c r="M181" i="1"/>
  <c r="L181" i="1"/>
  <c r="I181" i="1"/>
  <c r="R180" i="1"/>
  <c r="Q180" i="1"/>
  <c r="P180" i="1"/>
  <c r="O180" i="1"/>
  <c r="N180" i="1"/>
  <c r="M180" i="1"/>
  <c r="L180" i="1"/>
  <c r="I180" i="1"/>
  <c r="R179" i="1"/>
  <c r="Q179" i="1"/>
  <c r="P179" i="1"/>
  <c r="O179" i="1"/>
  <c r="N179" i="1"/>
  <c r="M179" i="1"/>
  <c r="L179" i="1"/>
  <c r="I179" i="1"/>
  <c r="R178" i="1"/>
  <c r="Q178" i="1"/>
  <c r="P178" i="1"/>
  <c r="O178" i="1"/>
  <c r="N178" i="1"/>
  <c r="M178" i="1"/>
  <c r="L178" i="1"/>
  <c r="I178" i="1"/>
  <c r="R177" i="1"/>
  <c r="Q177" i="1"/>
  <c r="P177" i="1"/>
  <c r="O177" i="1"/>
  <c r="N177" i="1"/>
  <c r="M177" i="1"/>
  <c r="L177" i="1"/>
  <c r="I177" i="1"/>
  <c r="R176" i="1"/>
  <c r="Q176" i="1"/>
  <c r="P176" i="1"/>
  <c r="O176" i="1"/>
  <c r="N176" i="1"/>
  <c r="M176" i="1"/>
  <c r="L176" i="1"/>
  <c r="I176" i="1"/>
  <c r="R175" i="1"/>
  <c r="Q175" i="1"/>
  <c r="P175" i="1"/>
  <c r="O175" i="1"/>
  <c r="N175" i="1"/>
  <c r="M175" i="1"/>
  <c r="L175" i="1"/>
  <c r="I175" i="1"/>
  <c r="R174" i="1"/>
  <c r="Q174" i="1"/>
  <c r="P174" i="1"/>
  <c r="O174" i="1"/>
  <c r="N174" i="1"/>
  <c r="M174" i="1"/>
  <c r="L174" i="1"/>
  <c r="I174" i="1"/>
  <c r="R173" i="1"/>
  <c r="Q173" i="1"/>
  <c r="P173" i="1"/>
  <c r="O173" i="1"/>
  <c r="N173" i="1"/>
  <c r="M173" i="1"/>
  <c r="L173" i="1"/>
  <c r="I173" i="1"/>
  <c r="R172" i="1"/>
  <c r="Q172" i="1"/>
  <c r="P172" i="1"/>
  <c r="O172" i="1"/>
  <c r="N172" i="1"/>
  <c r="M172" i="1"/>
  <c r="L172" i="1"/>
  <c r="I172" i="1"/>
  <c r="R171" i="1"/>
  <c r="Q171" i="1"/>
  <c r="P171" i="1"/>
  <c r="O171" i="1"/>
  <c r="N171" i="1"/>
  <c r="M171" i="1"/>
  <c r="L171" i="1"/>
  <c r="I171" i="1"/>
  <c r="R170" i="1"/>
  <c r="Q170" i="1"/>
  <c r="P170" i="1"/>
  <c r="O170" i="1"/>
  <c r="N170" i="1"/>
  <c r="M170" i="1"/>
  <c r="L170" i="1"/>
  <c r="I170" i="1"/>
  <c r="R169" i="1"/>
  <c r="Q169" i="1"/>
  <c r="P169" i="1"/>
  <c r="O169" i="1"/>
  <c r="N169" i="1"/>
  <c r="M169" i="1"/>
  <c r="L169" i="1"/>
  <c r="I169" i="1"/>
  <c r="R168" i="1"/>
  <c r="Q168" i="1"/>
  <c r="P168" i="1"/>
  <c r="O168" i="1"/>
  <c r="N168" i="1"/>
  <c r="M168" i="1"/>
  <c r="L168" i="1"/>
  <c r="I168" i="1"/>
  <c r="R167" i="1"/>
  <c r="Q167" i="1"/>
  <c r="P167" i="1"/>
  <c r="O167" i="1"/>
  <c r="N167" i="1"/>
  <c r="M167" i="1"/>
  <c r="L167" i="1"/>
  <c r="I167" i="1"/>
  <c r="R166" i="1"/>
  <c r="Q166" i="1"/>
  <c r="P166" i="1"/>
  <c r="O166" i="1"/>
  <c r="N166" i="1"/>
  <c r="M166" i="1"/>
  <c r="L166" i="1"/>
  <c r="I166" i="1"/>
  <c r="R165" i="1"/>
  <c r="Q165" i="1"/>
  <c r="P165" i="1"/>
  <c r="O165" i="1"/>
  <c r="N165" i="1"/>
  <c r="M165" i="1"/>
  <c r="L165" i="1"/>
  <c r="I165" i="1"/>
  <c r="R164" i="1"/>
  <c r="Q164" i="1"/>
  <c r="P164" i="1"/>
  <c r="O164" i="1"/>
  <c r="N164" i="1"/>
  <c r="M164" i="1"/>
  <c r="L164" i="1"/>
  <c r="I164" i="1"/>
  <c r="R163" i="1"/>
  <c r="Q163" i="1"/>
  <c r="P163" i="1"/>
  <c r="O163" i="1"/>
  <c r="N163" i="1"/>
  <c r="M163" i="1"/>
  <c r="L163" i="1"/>
  <c r="I163" i="1"/>
  <c r="R162" i="1"/>
  <c r="Q162" i="1"/>
  <c r="P162" i="1"/>
  <c r="O162" i="1"/>
  <c r="N162" i="1"/>
  <c r="M162" i="1"/>
  <c r="L162" i="1"/>
  <c r="I162" i="1"/>
  <c r="R161" i="1"/>
  <c r="Q161" i="1"/>
  <c r="P161" i="1"/>
  <c r="O161" i="1"/>
  <c r="N161" i="1"/>
  <c r="M161" i="1"/>
  <c r="L161" i="1"/>
  <c r="I161" i="1"/>
  <c r="R160" i="1"/>
  <c r="Q160" i="1"/>
  <c r="P160" i="1"/>
  <c r="O160" i="1"/>
  <c r="N160" i="1"/>
  <c r="M160" i="1"/>
  <c r="L160" i="1"/>
  <c r="I160" i="1"/>
  <c r="R159" i="1"/>
  <c r="Q159" i="1"/>
  <c r="P159" i="1"/>
  <c r="O159" i="1"/>
  <c r="N159" i="1"/>
  <c r="M159" i="1"/>
  <c r="L159" i="1"/>
  <c r="I159" i="1"/>
  <c r="R158" i="1"/>
  <c r="Q158" i="1"/>
  <c r="P158" i="1"/>
  <c r="O158" i="1"/>
  <c r="N158" i="1"/>
  <c r="M158" i="1"/>
  <c r="L158" i="1"/>
  <c r="I158" i="1"/>
  <c r="R157" i="1"/>
  <c r="Q157" i="1"/>
  <c r="P157" i="1"/>
  <c r="O157" i="1"/>
  <c r="N157" i="1"/>
  <c r="M157" i="1"/>
  <c r="L157" i="1"/>
  <c r="I157" i="1"/>
  <c r="R156" i="1"/>
  <c r="Q156" i="1"/>
  <c r="P156" i="1"/>
  <c r="O156" i="1"/>
  <c r="N156" i="1"/>
  <c r="M156" i="1"/>
  <c r="L156" i="1"/>
  <c r="I156" i="1"/>
  <c r="R155" i="1"/>
  <c r="Q155" i="1"/>
  <c r="P155" i="1"/>
  <c r="O155" i="1"/>
  <c r="N155" i="1"/>
  <c r="M155" i="1"/>
  <c r="L155" i="1"/>
  <c r="I155" i="1"/>
  <c r="R154" i="1"/>
  <c r="Q154" i="1"/>
  <c r="P154" i="1"/>
  <c r="O154" i="1"/>
  <c r="N154" i="1"/>
  <c r="M154" i="1"/>
  <c r="L154" i="1"/>
  <c r="I154" i="1"/>
  <c r="R153" i="1"/>
  <c r="Q153" i="1"/>
  <c r="P153" i="1"/>
  <c r="O153" i="1"/>
  <c r="N153" i="1"/>
  <c r="M153" i="1"/>
  <c r="L153" i="1"/>
  <c r="I153" i="1"/>
  <c r="R152" i="1"/>
  <c r="Q152" i="1"/>
  <c r="P152" i="1"/>
  <c r="O152" i="1"/>
  <c r="N152" i="1"/>
  <c r="M152" i="1"/>
  <c r="L152" i="1"/>
  <c r="I152" i="1"/>
  <c r="R151" i="1"/>
  <c r="Q151" i="1"/>
  <c r="P151" i="1"/>
  <c r="O151" i="1"/>
  <c r="N151" i="1"/>
  <c r="M151" i="1"/>
  <c r="L151" i="1"/>
  <c r="I151" i="1"/>
  <c r="R150" i="1"/>
  <c r="Q150" i="1"/>
  <c r="P150" i="1"/>
  <c r="O150" i="1"/>
  <c r="N150" i="1"/>
  <c r="M150" i="1"/>
  <c r="L150" i="1"/>
  <c r="I150" i="1"/>
  <c r="R149" i="1"/>
  <c r="Q149" i="1"/>
  <c r="P149" i="1"/>
  <c r="O149" i="1"/>
  <c r="N149" i="1"/>
  <c r="M149" i="1"/>
  <c r="L149" i="1"/>
  <c r="I149" i="1"/>
  <c r="R148" i="1"/>
  <c r="Q148" i="1"/>
  <c r="P148" i="1"/>
  <c r="O148" i="1"/>
  <c r="N148" i="1"/>
  <c r="M148" i="1"/>
  <c r="L148" i="1"/>
  <c r="I148" i="1"/>
  <c r="R147" i="1"/>
  <c r="Q147" i="1"/>
  <c r="P147" i="1"/>
  <c r="O147" i="1"/>
  <c r="N147" i="1"/>
  <c r="M147" i="1"/>
  <c r="L147" i="1"/>
  <c r="I147" i="1"/>
  <c r="R146" i="1"/>
  <c r="Q146" i="1"/>
  <c r="P146" i="1"/>
  <c r="O146" i="1"/>
  <c r="N146" i="1"/>
  <c r="M146" i="1"/>
  <c r="L146" i="1"/>
  <c r="I146" i="1"/>
  <c r="R145" i="1"/>
  <c r="Q145" i="1"/>
  <c r="P145" i="1"/>
  <c r="O145" i="1"/>
  <c r="N145" i="1"/>
  <c r="M145" i="1"/>
  <c r="L145" i="1"/>
  <c r="I145" i="1"/>
  <c r="R144" i="1"/>
  <c r="Q144" i="1"/>
  <c r="P144" i="1"/>
  <c r="O144" i="1"/>
  <c r="N144" i="1"/>
  <c r="M144" i="1"/>
  <c r="L144" i="1"/>
  <c r="I144" i="1"/>
  <c r="R143" i="1"/>
  <c r="Q143" i="1"/>
  <c r="P143" i="1"/>
  <c r="O143" i="1"/>
  <c r="N143" i="1"/>
  <c r="M143" i="1"/>
  <c r="L143" i="1"/>
  <c r="I143" i="1"/>
  <c r="R142" i="1"/>
  <c r="Q142" i="1"/>
  <c r="P142" i="1"/>
  <c r="O142" i="1"/>
  <c r="N142" i="1"/>
  <c r="M142" i="1"/>
  <c r="L142" i="1"/>
  <c r="I142" i="1"/>
  <c r="R141" i="1"/>
  <c r="Q141" i="1"/>
  <c r="P141" i="1"/>
  <c r="O141" i="1"/>
  <c r="N141" i="1"/>
  <c r="M141" i="1"/>
  <c r="L141" i="1"/>
  <c r="I141" i="1"/>
  <c r="R140" i="1"/>
  <c r="Q140" i="1"/>
  <c r="P140" i="1"/>
  <c r="O140" i="1"/>
  <c r="N140" i="1"/>
  <c r="M140" i="1"/>
  <c r="L140" i="1"/>
  <c r="I140" i="1"/>
  <c r="R139" i="1"/>
  <c r="Q139" i="1"/>
  <c r="P139" i="1"/>
  <c r="O139" i="1"/>
  <c r="N139" i="1"/>
  <c r="M139" i="1"/>
  <c r="L139" i="1"/>
  <c r="I139" i="1"/>
  <c r="R138" i="1"/>
  <c r="Q138" i="1"/>
  <c r="P138" i="1"/>
  <c r="O138" i="1"/>
  <c r="N138" i="1"/>
  <c r="M138" i="1"/>
  <c r="L138" i="1"/>
  <c r="I138" i="1"/>
  <c r="R137" i="1"/>
  <c r="Q137" i="1"/>
  <c r="P137" i="1"/>
  <c r="O137" i="1"/>
  <c r="N137" i="1"/>
  <c r="M137" i="1"/>
  <c r="L137" i="1"/>
  <c r="I137" i="1"/>
  <c r="R136" i="1"/>
  <c r="Q136" i="1"/>
  <c r="P136" i="1"/>
  <c r="O136" i="1"/>
  <c r="N136" i="1"/>
  <c r="M136" i="1"/>
  <c r="L136" i="1"/>
  <c r="I136" i="1"/>
  <c r="R135" i="1"/>
  <c r="Q135" i="1"/>
  <c r="P135" i="1"/>
  <c r="O135" i="1"/>
  <c r="N135" i="1"/>
  <c r="M135" i="1"/>
  <c r="L135" i="1"/>
  <c r="I135" i="1"/>
  <c r="R134" i="1"/>
  <c r="Q134" i="1"/>
  <c r="P134" i="1"/>
  <c r="O134" i="1"/>
  <c r="N134" i="1"/>
  <c r="M134" i="1"/>
  <c r="L134" i="1"/>
  <c r="I134" i="1"/>
  <c r="R133" i="1"/>
  <c r="Q133" i="1"/>
  <c r="P133" i="1"/>
  <c r="O133" i="1"/>
  <c r="N133" i="1"/>
  <c r="M133" i="1"/>
  <c r="L133" i="1"/>
  <c r="I133" i="1"/>
  <c r="R132" i="1"/>
  <c r="Q132" i="1"/>
  <c r="P132" i="1"/>
  <c r="O132" i="1"/>
  <c r="N132" i="1"/>
  <c r="M132" i="1"/>
  <c r="L132" i="1"/>
  <c r="I132" i="1"/>
  <c r="R131" i="1"/>
  <c r="Q131" i="1"/>
  <c r="P131" i="1"/>
  <c r="O131" i="1"/>
  <c r="N131" i="1"/>
  <c r="M131" i="1"/>
  <c r="L131" i="1"/>
  <c r="I131" i="1"/>
  <c r="R130" i="1"/>
  <c r="Q130" i="1"/>
  <c r="P130" i="1"/>
  <c r="O130" i="1"/>
  <c r="N130" i="1"/>
  <c r="M130" i="1"/>
  <c r="L130" i="1"/>
  <c r="I130" i="1"/>
  <c r="R129" i="1"/>
  <c r="Q129" i="1"/>
  <c r="P129" i="1"/>
  <c r="O129" i="1"/>
  <c r="N129" i="1"/>
  <c r="M129" i="1"/>
  <c r="L129" i="1"/>
  <c r="I129" i="1"/>
  <c r="R128" i="1"/>
  <c r="Q128" i="1"/>
  <c r="P128" i="1"/>
  <c r="O128" i="1"/>
  <c r="N128" i="1"/>
  <c r="M128" i="1"/>
  <c r="L128" i="1"/>
  <c r="I128" i="1"/>
  <c r="R127" i="1"/>
  <c r="Q127" i="1"/>
  <c r="P127" i="1"/>
  <c r="O127" i="1"/>
  <c r="N127" i="1"/>
  <c r="M127" i="1"/>
  <c r="L127" i="1"/>
  <c r="I127" i="1"/>
  <c r="R126" i="1"/>
  <c r="Q126" i="1"/>
  <c r="P126" i="1"/>
  <c r="O126" i="1"/>
  <c r="N126" i="1"/>
  <c r="M126" i="1"/>
  <c r="L126" i="1"/>
  <c r="I126" i="1"/>
  <c r="R125" i="1"/>
  <c r="Q125" i="1"/>
  <c r="P125" i="1"/>
  <c r="O125" i="1"/>
  <c r="N125" i="1"/>
  <c r="M125" i="1"/>
  <c r="L125" i="1"/>
  <c r="I125" i="1"/>
  <c r="R124" i="1"/>
  <c r="Q124" i="1"/>
  <c r="P124" i="1"/>
  <c r="O124" i="1"/>
  <c r="N124" i="1"/>
  <c r="M124" i="1"/>
  <c r="L124" i="1"/>
  <c r="I124" i="1"/>
  <c r="R123" i="1"/>
  <c r="Q123" i="1"/>
  <c r="P123" i="1"/>
  <c r="O123" i="1"/>
  <c r="N123" i="1"/>
  <c r="M123" i="1"/>
  <c r="L123" i="1"/>
  <c r="I123" i="1"/>
  <c r="R122" i="1"/>
  <c r="Q122" i="1"/>
  <c r="P122" i="1"/>
  <c r="O122" i="1"/>
  <c r="N122" i="1"/>
  <c r="M122" i="1"/>
  <c r="L122" i="1"/>
  <c r="I122" i="1"/>
  <c r="R121" i="1"/>
  <c r="Q121" i="1"/>
  <c r="P121" i="1"/>
  <c r="O121" i="1"/>
  <c r="N121" i="1"/>
  <c r="M121" i="1"/>
  <c r="L121" i="1"/>
  <c r="I121" i="1"/>
  <c r="R120" i="1"/>
  <c r="Q120" i="1"/>
  <c r="P120" i="1"/>
  <c r="O120" i="1"/>
  <c r="N120" i="1"/>
  <c r="M120" i="1"/>
  <c r="L120" i="1"/>
  <c r="I120" i="1"/>
  <c r="R119" i="1"/>
  <c r="Q119" i="1"/>
  <c r="P119" i="1"/>
  <c r="O119" i="1"/>
  <c r="N119" i="1"/>
  <c r="M119" i="1"/>
  <c r="L119" i="1"/>
  <c r="I119" i="1"/>
  <c r="R118" i="1"/>
  <c r="Q118" i="1"/>
  <c r="P118" i="1"/>
  <c r="O118" i="1"/>
  <c r="N118" i="1"/>
  <c r="M118" i="1"/>
  <c r="L118" i="1"/>
  <c r="I118" i="1"/>
  <c r="R117" i="1"/>
  <c r="Q117" i="1"/>
  <c r="P117" i="1"/>
  <c r="O117" i="1"/>
  <c r="N117" i="1"/>
  <c r="M117" i="1"/>
  <c r="L117" i="1"/>
  <c r="I117" i="1"/>
  <c r="R116" i="1"/>
  <c r="Q116" i="1"/>
  <c r="P116" i="1"/>
  <c r="O116" i="1"/>
  <c r="N116" i="1"/>
  <c r="M116" i="1"/>
  <c r="L116" i="1"/>
  <c r="I116" i="1"/>
  <c r="R115" i="1"/>
  <c r="Q115" i="1"/>
  <c r="P115" i="1"/>
  <c r="O115" i="1"/>
  <c r="N115" i="1"/>
  <c r="M115" i="1"/>
  <c r="L115" i="1"/>
  <c r="I115" i="1"/>
  <c r="R114" i="1"/>
  <c r="Q114" i="1"/>
  <c r="P114" i="1"/>
  <c r="O114" i="1"/>
  <c r="N114" i="1"/>
  <c r="M114" i="1"/>
  <c r="L114" i="1"/>
  <c r="I114" i="1"/>
  <c r="R113" i="1"/>
  <c r="Q113" i="1"/>
  <c r="P113" i="1"/>
  <c r="O113" i="1"/>
  <c r="N113" i="1"/>
  <c r="M113" i="1"/>
  <c r="L113" i="1"/>
  <c r="I113" i="1"/>
  <c r="R112" i="1"/>
  <c r="Q112" i="1"/>
  <c r="P112" i="1"/>
  <c r="O112" i="1"/>
  <c r="N112" i="1"/>
  <c r="M112" i="1"/>
  <c r="L112" i="1"/>
  <c r="I112" i="1"/>
  <c r="R111" i="1"/>
  <c r="Q111" i="1"/>
  <c r="P111" i="1"/>
  <c r="O111" i="1"/>
  <c r="N111" i="1"/>
  <c r="M111" i="1"/>
  <c r="L111" i="1"/>
  <c r="I111" i="1"/>
  <c r="R110" i="1"/>
  <c r="Q110" i="1"/>
  <c r="P110" i="1"/>
  <c r="O110" i="1"/>
  <c r="N110" i="1"/>
  <c r="M110" i="1"/>
  <c r="L110" i="1"/>
  <c r="I110" i="1"/>
  <c r="R109" i="1"/>
  <c r="Q109" i="1"/>
  <c r="P109" i="1"/>
  <c r="O109" i="1"/>
  <c r="N109" i="1"/>
  <c r="M109" i="1"/>
  <c r="L109" i="1"/>
  <c r="I109" i="1"/>
  <c r="R108" i="1"/>
  <c r="Q108" i="1"/>
  <c r="P108" i="1"/>
  <c r="O108" i="1"/>
  <c r="N108" i="1"/>
  <c r="M108" i="1"/>
  <c r="L108" i="1"/>
  <c r="I108" i="1"/>
  <c r="R107" i="1"/>
  <c r="Q107" i="1"/>
  <c r="P107" i="1"/>
  <c r="O107" i="1"/>
  <c r="N107" i="1"/>
  <c r="M107" i="1"/>
  <c r="L107" i="1"/>
  <c r="I107" i="1"/>
  <c r="R106" i="1"/>
  <c r="Q106" i="1"/>
  <c r="P106" i="1"/>
  <c r="O106" i="1"/>
  <c r="N106" i="1"/>
  <c r="M106" i="1"/>
  <c r="L106" i="1"/>
  <c r="I106" i="1"/>
  <c r="R105" i="1"/>
  <c r="Q105" i="1"/>
  <c r="P105" i="1"/>
  <c r="O105" i="1"/>
  <c r="N105" i="1"/>
  <c r="M105" i="1"/>
  <c r="L105" i="1"/>
  <c r="I105" i="1"/>
  <c r="R104" i="1"/>
  <c r="Q104" i="1"/>
  <c r="P104" i="1"/>
  <c r="O104" i="1"/>
  <c r="N104" i="1"/>
  <c r="M104" i="1"/>
  <c r="L104" i="1"/>
  <c r="I104" i="1"/>
  <c r="R103" i="1"/>
  <c r="Q103" i="1"/>
  <c r="P103" i="1"/>
  <c r="O103" i="1"/>
  <c r="N103" i="1"/>
  <c r="M103" i="1"/>
  <c r="L103" i="1"/>
  <c r="I103" i="1"/>
  <c r="R102" i="1"/>
  <c r="Q102" i="1"/>
  <c r="P102" i="1"/>
  <c r="O102" i="1"/>
  <c r="N102" i="1"/>
  <c r="M102" i="1"/>
  <c r="L102" i="1"/>
  <c r="I102" i="1"/>
  <c r="R101" i="1"/>
  <c r="Q101" i="1"/>
  <c r="P101" i="1"/>
  <c r="O101" i="1"/>
  <c r="N101" i="1"/>
  <c r="M101" i="1"/>
  <c r="L101" i="1"/>
  <c r="I101" i="1"/>
  <c r="R100" i="1"/>
  <c r="Q100" i="1"/>
  <c r="P100" i="1"/>
  <c r="O100" i="1"/>
  <c r="N100" i="1"/>
  <c r="M100" i="1"/>
  <c r="L100" i="1"/>
  <c r="I100" i="1"/>
  <c r="R99" i="1"/>
  <c r="Q99" i="1"/>
  <c r="P99" i="1"/>
  <c r="O99" i="1"/>
  <c r="N99" i="1"/>
  <c r="M99" i="1"/>
  <c r="L99" i="1"/>
  <c r="I99" i="1"/>
  <c r="R98" i="1"/>
  <c r="Q98" i="1"/>
  <c r="P98" i="1"/>
  <c r="O98" i="1"/>
  <c r="N98" i="1"/>
  <c r="M98" i="1"/>
  <c r="L98" i="1"/>
  <c r="I98" i="1"/>
  <c r="R97" i="1"/>
  <c r="Q97" i="1"/>
  <c r="P97" i="1"/>
  <c r="O97" i="1"/>
  <c r="N97" i="1"/>
  <c r="M97" i="1"/>
  <c r="L97" i="1"/>
  <c r="I97" i="1"/>
  <c r="R96" i="1"/>
  <c r="Q96" i="1"/>
  <c r="P96" i="1"/>
  <c r="O96" i="1"/>
  <c r="N96" i="1"/>
  <c r="M96" i="1"/>
  <c r="L96" i="1"/>
  <c r="I96" i="1"/>
  <c r="R95" i="1"/>
  <c r="Q95" i="1"/>
  <c r="P95" i="1"/>
  <c r="O95" i="1"/>
  <c r="N95" i="1"/>
  <c r="M95" i="1"/>
  <c r="L95" i="1"/>
  <c r="I95" i="1"/>
  <c r="R94" i="1"/>
  <c r="Q94" i="1"/>
  <c r="P94" i="1"/>
  <c r="O94" i="1"/>
  <c r="N94" i="1"/>
  <c r="M94" i="1"/>
  <c r="L94" i="1"/>
  <c r="I94" i="1"/>
  <c r="R93" i="1"/>
  <c r="Q93" i="1"/>
  <c r="P93" i="1"/>
  <c r="O93" i="1"/>
  <c r="N93" i="1"/>
  <c r="M93" i="1"/>
  <c r="L93" i="1"/>
  <c r="I93" i="1"/>
  <c r="R92" i="1"/>
  <c r="Q92" i="1"/>
  <c r="P92" i="1"/>
  <c r="O92" i="1"/>
  <c r="N92" i="1"/>
  <c r="M92" i="1"/>
  <c r="L92" i="1"/>
  <c r="I92" i="1"/>
  <c r="R91" i="1"/>
  <c r="Q91" i="1"/>
  <c r="P91" i="1"/>
  <c r="O91" i="1"/>
  <c r="N91" i="1"/>
  <c r="M91" i="1"/>
  <c r="L91" i="1"/>
  <c r="I91" i="1"/>
  <c r="R90" i="1"/>
  <c r="Q90" i="1"/>
  <c r="P90" i="1"/>
  <c r="O90" i="1"/>
  <c r="N90" i="1"/>
  <c r="M90" i="1"/>
  <c r="L90" i="1"/>
  <c r="I90" i="1"/>
  <c r="R89" i="1"/>
  <c r="Q89" i="1"/>
  <c r="P89" i="1"/>
  <c r="O89" i="1"/>
  <c r="N89" i="1"/>
  <c r="M89" i="1"/>
  <c r="L89" i="1"/>
  <c r="I89" i="1"/>
  <c r="R88" i="1"/>
  <c r="Q88" i="1"/>
  <c r="P88" i="1"/>
  <c r="O88" i="1"/>
  <c r="N88" i="1"/>
  <c r="M88" i="1"/>
  <c r="L88" i="1"/>
  <c r="I88" i="1"/>
  <c r="R87" i="1"/>
  <c r="Q87" i="1"/>
  <c r="P87" i="1"/>
  <c r="O87" i="1"/>
  <c r="N87" i="1"/>
  <c r="M87" i="1"/>
  <c r="L87" i="1"/>
  <c r="I87" i="1"/>
  <c r="R86" i="1"/>
  <c r="Q86" i="1"/>
  <c r="P86" i="1"/>
  <c r="O86" i="1"/>
  <c r="N86" i="1"/>
  <c r="M86" i="1"/>
  <c r="L86" i="1"/>
  <c r="I86" i="1"/>
  <c r="R85" i="1"/>
  <c r="Q85" i="1"/>
  <c r="P85" i="1"/>
  <c r="O85" i="1"/>
  <c r="N85" i="1"/>
  <c r="M85" i="1"/>
  <c r="L85" i="1"/>
  <c r="I85" i="1"/>
  <c r="R84" i="1"/>
  <c r="Q84" i="1"/>
  <c r="P84" i="1"/>
  <c r="O84" i="1"/>
  <c r="N84" i="1"/>
  <c r="M84" i="1"/>
  <c r="L84" i="1"/>
  <c r="I84" i="1"/>
  <c r="R83" i="1"/>
  <c r="Q83" i="1"/>
  <c r="P83" i="1"/>
  <c r="O83" i="1"/>
  <c r="N83" i="1"/>
  <c r="M83" i="1"/>
  <c r="L83" i="1"/>
  <c r="I83" i="1"/>
  <c r="R82" i="1"/>
  <c r="Q82" i="1"/>
  <c r="P82" i="1"/>
  <c r="O82" i="1"/>
  <c r="N82" i="1"/>
  <c r="M82" i="1"/>
  <c r="L82" i="1"/>
  <c r="I82" i="1"/>
  <c r="R81" i="1"/>
  <c r="Q81" i="1"/>
  <c r="P81" i="1"/>
  <c r="O81" i="1"/>
  <c r="N81" i="1"/>
  <c r="M81" i="1"/>
  <c r="L81" i="1"/>
  <c r="I81" i="1"/>
  <c r="R80" i="1"/>
  <c r="Q80" i="1"/>
  <c r="P80" i="1"/>
  <c r="O80" i="1"/>
  <c r="N80" i="1"/>
  <c r="M80" i="1"/>
  <c r="L80" i="1"/>
  <c r="I80" i="1"/>
  <c r="R79" i="1"/>
  <c r="Q79" i="1"/>
  <c r="P79" i="1"/>
  <c r="O79" i="1"/>
  <c r="N79" i="1"/>
  <c r="M79" i="1"/>
  <c r="L79" i="1"/>
  <c r="I79" i="1"/>
  <c r="R78" i="1"/>
  <c r="Q78" i="1"/>
  <c r="P78" i="1"/>
  <c r="O78" i="1"/>
  <c r="N78" i="1"/>
  <c r="M78" i="1"/>
  <c r="L78" i="1"/>
  <c r="I78" i="1"/>
  <c r="R77" i="1"/>
  <c r="Q77" i="1"/>
  <c r="P77" i="1"/>
  <c r="O77" i="1"/>
  <c r="N77" i="1"/>
  <c r="M77" i="1"/>
  <c r="L77" i="1"/>
  <c r="I77" i="1"/>
  <c r="R76" i="1"/>
  <c r="Q76" i="1"/>
  <c r="P76" i="1"/>
  <c r="O76" i="1"/>
  <c r="N76" i="1"/>
  <c r="M76" i="1"/>
  <c r="L76" i="1"/>
  <c r="I76" i="1"/>
  <c r="R75" i="1"/>
  <c r="Q75" i="1"/>
  <c r="P75" i="1"/>
  <c r="O75" i="1"/>
  <c r="N75" i="1"/>
  <c r="M75" i="1"/>
  <c r="L75" i="1"/>
  <c r="I75" i="1"/>
  <c r="R74" i="1"/>
  <c r="Q74" i="1"/>
  <c r="P74" i="1"/>
  <c r="O74" i="1"/>
  <c r="N74" i="1"/>
  <c r="M74" i="1"/>
  <c r="L74" i="1"/>
  <c r="I74" i="1"/>
  <c r="R73" i="1"/>
  <c r="Q73" i="1"/>
  <c r="P73" i="1"/>
  <c r="O73" i="1"/>
  <c r="N73" i="1"/>
  <c r="M73" i="1"/>
  <c r="L73" i="1"/>
  <c r="I73" i="1"/>
  <c r="R72" i="1"/>
  <c r="Q72" i="1"/>
  <c r="P72" i="1"/>
  <c r="O72" i="1"/>
  <c r="N72" i="1"/>
  <c r="M72" i="1"/>
  <c r="L72" i="1"/>
  <c r="I72" i="1"/>
  <c r="R71" i="1"/>
  <c r="Q71" i="1"/>
  <c r="P71" i="1"/>
  <c r="O71" i="1"/>
  <c r="N71" i="1"/>
  <c r="M71" i="1"/>
  <c r="L71" i="1"/>
  <c r="I71" i="1"/>
  <c r="R70" i="1"/>
  <c r="Q70" i="1"/>
  <c r="P70" i="1"/>
  <c r="O70" i="1"/>
  <c r="N70" i="1"/>
  <c r="M70" i="1"/>
  <c r="L70" i="1"/>
  <c r="I70" i="1"/>
  <c r="R69" i="1"/>
  <c r="Q69" i="1"/>
  <c r="P69" i="1"/>
  <c r="O69" i="1"/>
  <c r="N69" i="1"/>
  <c r="M69" i="1"/>
  <c r="L69" i="1"/>
  <c r="I69" i="1"/>
  <c r="R68" i="1"/>
  <c r="Q68" i="1"/>
  <c r="P68" i="1"/>
  <c r="O68" i="1"/>
  <c r="N68" i="1"/>
  <c r="M68" i="1"/>
  <c r="L68" i="1"/>
  <c r="I68" i="1"/>
  <c r="R67" i="1"/>
  <c r="Q67" i="1"/>
  <c r="P67" i="1"/>
  <c r="O67" i="1"/>
  <c r="N67" i="1"/>
  <c r="M67" i="1"/>
  <c r="L67" i="1"/>
  <c r="I67" i="1"/>
  <c r="R66" i="1"/>
  <c r="Q66" i="1"/>
  <c r="P66" i="1"/>
  <c r="O66" i="1"/>
  <c r="N66" i="1"/>
  <c r="M66" i="1"/>
  <c r="L66" i="1"/>
  <c r="I66" i="1"/>
  <c r="R65" i="1"/>
  <c r="Q65" i="1"/>
  <c r="P65" i="1"/>
  <c r="O65" i="1"/>
  <c r="N65" i="1"/>
  <c r="M65" i="1"/>
  <c r="L65" i="1"/>
  <c r="I65" i="1"/>
  <c r="R64" i="1"/>
  <c r="Q64" i="1"/>
  <c r="P64" i="1"/>
  <c r="O64" i="1"/>
  <c r="N64" i="1"/>
  <c r="M64" i="1"/>
  <c r="L64" i="1"/>
  <c r="I64" i="1"/>
  <c r="R63" i="1"/>
  <c r="Q63" i="1"/>
  <c r="P63" i="1"/>
  <c r="O63" i="1"/>
  <c r="N63" i="1"/>
  <c r="M63" i="1"/>
  <c r="L63" i="1"/>
  <c r="I63" i="1"/>
  <c r="R62" i="1"/>
  <c r="Q62" i="1"/>
  <c r="P62" i="1"/>
  <c r="O62" i="1"/>
  <c r="N62" i="1"/>
  <c r="M62" i="1"/>
  <c r="L62" i="1"/>
  <c r="I62" i="1"/>
  <c r="R61" i="1"/>
  <c r="Q61" i="1"/>
  <c r="P61" i="1"/>
  <c r="O61" i="1"/>
  <c r="N61" i="1"/>
  <c r="M61" i="1"/>
  <c r="L61" i="1"/>
  <c r="I61" i="1"/>
  <c r="R60" i="1"/>
  <c r="Q60" i="1"/>
  <c r="P60" i="1"/>
  <c r="O60" i="1"/>
  <c r="N60" i="1"/>
  <c r="M60" i="1"/>
  <c r="L60" i="1"/>
  <c r="I60" i="1"/>
  <c r="R59" i="1"/>
  <c r="Q59" i="1"/>
  <c r="P59" i="1"/>
  <c r="O59" i="1"/>
  <c r="N59" i="1"/>
  <c r="M59" i="1"/>
  <c r="L59" i="1"/>
  <c r="I59" i="1"/>
  <c r="R58" i="1"/>
  <c r="Q58" i="1"/>
  <c r="P58" i="1"/>
  <c r="O58" i="1"/>
  <c r="N58" i="1"/>
  <c r="M58" i="1"/>
  <c r="L58" i="1"/>
  <c r="I58" i="1"/>
  <c r="R57" i="1"/>
  <c r="Q57" i="1"/>
  <c r="P57" i="1"/>
  <c r="O57" i="1"/>
  <c r="N57" i="1"/>
  <c r="M57" i="1"/>
  <c r="L57" i="1"/>
  <c r="I57" i="1"/>
  <c r="R56" i="1"/>
  <c r="Q56" i="1"/>
  <c r="P56" i="1"/>
  <c r="O56" i="1"/>
  <c r="N56" i="1"/>
  <c r="M56" i="1"/>
  <c r="L56" i="1"/>
  <c r="I56" i="1"/>
  <c r="R55" i="1"/>
  <c r="Q55" i="1"/>
  <c r="P55" i="1"/>
  <c r="O55" i="1"/>
  <c r="N55" i="1"/>
  <c r="M55" i="1"/>
  <c r="L55" i="1"/>
  <c r="I55" i="1"/>
  <c r="R54" i="1"/>
  <c r="Q54" i="1"/>
  <c r="P54" i="1"/>
  <c r="O54" i="1"/>
  <c r="N54" i="1"/>
  <c r="M54" i="1"/>
  <c r="L54" i="1"/>
  <c r="I54" i="1"/>
  <c r="R53" i="1"/>
  <c r="Q53" i="1"/>
  <c r="P53" i="1"/>
  <c r="O53" i="1"/>
  <c r="N53" i="1"/>
  <c r="M53" i="1"/>
  <c r="L53" i="1"/>
  <c r="I53" i="1"/>
  <c r="R52" i="1"/>
  <c r="Q52" i="1"/>
  <c r="P52" i="1"/>
  <c r="O52" i="1"/>
  <c r="N52" i="1"/>
  <c r="M52" i="1"/>
  <c r="L52" i="1"/>
  <c r="I52" i="1"/>
  <c r="R51" i="1"/>
  <c r="Q51" i="1"/>
  <c r="P51" i="1"/>
  <c r="O51" i="1"/>
  <c r="N51" i="1"/>
  <c r="M51" i="1"/>
  <c r="L51" i="1"/>
  <c r="I51" i="1"/>
  <c r="R50" i="1"/>
  <c r="Q50" i="1"/>
  <c r="P50" i="1"/>
  <c r="O50" i="1"/>
  <c r="N50" i="1"/>
  <c r="M50" i="1"/>
  <c r="L50" i="1"/>
  <c r="I50" i="1"/>
  <c r="R49" i="1"/>
  <c r="Q49" i="1"/>
  <c r="P49" i="1"/>
  <c r="O49" i="1"/>
  <c r="N49" i="1"/>
  <c r="M49" i="1"/>
  <c r="L49" i="1"/>
  <c r="I49" i="1"/>
  <c r="R48" i="1"/>
  <c r="Q48" i="1"/>
  <c r="P48" i="1"/>
  <c r="O48" i="1"/>
  <c r="N48" i="1"/>
  <c r="M48" i="1"/>
  <c r="L48" i="1"/>
  <c r="I48" i="1"/>
  <c r="R47" i="1"/>
  <c r="Q47" i="1"/>
  <c r="P47" i="1"/>
  <c r="O47" i="1"/>
  <c r="N47" i="1"/>
  <c r="M47" i="1"/>
  <c r="L47" i="1"/>
  <c r="I47" i="1"/>
  <c r="R46" i="1"/>
  <c r="Q46" i="1"/>
  <c r="P46" i="1"/>
  <c r="O46" i="1"/>
  <c r="N46" i="1"/>
  <c r="M46" i="1"/>
  <c r="L46" i="1"/>
  <c r="I46" i="1"/>
  <c r="R45" i="1"/>
  <c r="Q45" i="1"/>
  <c r="P45" i="1"/>
  <c r="O45" i="1"/>
  <c r="N45" i="1"/>
  <c r="M45" i="1"/>
  <c r="L45" i="1"/>
  <c r="I45" i="1"/>
  <c r="R44" i="1"/>
  <c r="Q44" i="1"/>
  <c r="P44" i="1"/>
  <c r="O44" i="1"/>
  <c r="N44" i="1"/>
  <c r="M44" i="1"/>
  <c r="L44" i="1"/>
  <c r="I44" i="1"/>
  <c r="R43" i="1"/>
  <c r="Q43" i="1"/>
  <c r="P43" i="1"/>
  <c r="O43" i="1"/>
  <c r="N43" i="1"/>
  <c r="M43" i="1"/>
  <c r="L43" i="1"/>
  <c r="I43" i="1"/>
  <c r="R42" i="1"/>
  <c r="Q42" i="1"/>
  <c r="P42" i="1"/>
  <c r="O42" i="1"/>
  <c r="N42" i="1"/>
  <c r="M42" i="1"/>
  <c r="L42" i="1"/>
  <c r="I42" i="1"/>
  <c r="R41" i="1"/>
  <c r="Q41" i="1"/>
  <c r="P41" i="1"/>
  <c r="O41" i="1"/>
  <c r="N41" i="1"/>
  <c r="M41" i="1"/>
  <c r="L41" i="1"/>
  <c r="I41" i="1"/>
  <c r="R40" i="1"/>
  <c r="Q40" i="1"/>
  <c r="P40" i="1"/>
  <c r="O40" i="1"/>
  <c r="N40" i="1"/>
  <c r="M40" i="1"/>
  <c r="L40" i="1"/>
  <c r="I40" i="1"/>
  <c r="R39" i="1"/>
  <c r="Q39" i="1"/>
  <c r="P39" i="1"/>
  <c r="O39" i="1"/>
  <c r="N39" i="1"/>
  <c r="M39" i="1"/>
  <c r="L39" i="1"/>
  <c r="I39" i="1"/>
  <c r="R38" i="1"/>
  <c r="Q38" i="1"/>
  <c r="P38" i="1"/>
  <c r="O38" i="1"/>
  <c r="N38" i="1"/>
  <c r="M38" i="1"/>
  <c r="L38" i="1"/>
  <c r="I38" i="1"/>
  <c r="R37" i="1"/>
  <c r="Q37" i="1"/>
  <c r="P37" i="1"/>
  <c r="O37" i="1"/>
  <c r="N37" i="1"/>
  <c r="M37" i="1"/>
  <c r="L37" i="1"/>
  <c r="I37" i="1"/>
  <c r="R36" i="1"/>
  <c r="Q36" i="1"/>
  <c r="P36" i="1"/>
  <c r="O36" i="1"/>
  <c r="N36" i="1"/>
  <c r="M36" i="1"/>
  <c r="L36" i="1"/>
  <c r="I36" i="1"/>
  <c r="R35" i="1"/>
  <c r="Q35" i="1"/>
  <c r="P35" i="1"/>
  <c r="O35" i="1"/>
  <c r="N35" i="1"/>
  <c r="M35" i="1"/>
  <c r="L35" i="1"/>
  <c r="I35" i="1"/>
  <c r="R34" i="1"/>
  <c r="Q34" i="1"/>
  <c r="P34" i="1"/>
  <c r="O34" i="1"/>
  <c r="N34" i="1"/>
  <c r="M34" i="1"/>
  <c r="L34" i="1"/>
  <c r="I34" i="1"/>
  <c r="R33" i="1"/>
  <c r="Q33" i="1"/>
  <c r="P33" i="1"/>
  <c r="O33" i="1"/>
  <c r="N33" i="1"/>
  <c r="M33" i="1"/>
  <c r="L33" i="1"/>
  <c r="I33" i="1"/>
  <c r="R32" i="1"/>
  <c r="Q32" i="1"/>
  <c r="P32" i="1"/>
  <c r="O32" i="1"/>
  <c r="N32" i="1"/>
  <c r="M32" i="1"/>
  <c r="L32" i="1"/>
  <c r="I32" i="1"/>
  <c r="R31" i="1"/>
  <c r="Q31" i="1"/>
  <c r="P31" i="1"/>
  <c r="O31" i="1"/>
  <c r="N31" i="1"/>
  <c r="M31" i="1"/>
  <c r="L31" i="1"/>
  <c r="I31" i="1"/>
  <c r="R30" i="1"/>
  <c r="Q30" i="1"/>
  <c r="P30" i="1"/>
  <c r="O30" i="1"/>
  <c r="N30" i="1"/>
  <c r="M30" i="1"/>
  <c r="L30" i="1"/>
  <c r="I30" i="1"/>
  <c r="R29" i="1"/>
  <c r="Q29" i="1"/>
  <c r="P29" i="1"/>
  <c r="O29" i="1"/>
  <c r="N29" i="1"/>
  <c r="M29" i="1"/>
  <c r="L29" i="1"/>
  <c r="I29" i="1"/>
  <c r="R28" i="1"/>
  <c r="Q28" i="1"/>
  <c r="P28" i="1"/>
  <c r="O28" i="1"/>
  <c r="N28" i="1"/>
  <c r="M28" i="1"/>
  <c r="L28" i="1"/>
  <c r="I28" i="1"/>
  <c r="R27" i="1"/>
  <c r="Q27" i="1"/>
  <c r="P27" i="1"/>
  <c r="O27" i="1"/>
  <c r="N27" i="1"/>
  <c r="M27" i="1"/>
  <c r="L27" i="1"/>
  <c r="I27" i="1"/>
  <c r="R26" i="1"/>
  <c r="Q26" i="1"/>
  <c r="P26" i="1"/>
  <c r="O26" i="1"/>
  <c r="N26" i="1"/>
  <c r="M26" i="1"/>
  <c r="L26" i="1"/>
  <c r="I26" i="1"/>
  <c r="R25" i="1"/>
  <c r="Q25" i="1"/>
  <c r="P25" i="1"/>
  <c r="O25" i="1"/>
  <c r="N25" i="1"/>
  <c r="M25" i="1"/>
  <c r="L25" i="1"/>
  <c r="I25" i="1"/>
  <c r="R24" i="1"/>
  <c r="Q24" i="1"/>
  <c r="P24" i="1"/>
  <c r="O24" i="1"/>
  <c r="N24" i="1"/>
  <c r="M24" i="1"/>
  <c r="L24" i="1"/>
  <c r="I24" i="1"/>
  <c r="R23" i="1"/>
  <c r="Q23" i="1"/>
  <c r="P23" i="1"/>
  <c r="O23" i="1"/>
  <c r="N23" i="1"/>
  <c r="M23" i="1"/>
  <c r="L23" i="1"/>
  <c r="I23" i="1"/>
  <c r="R22" i="1"/>
  <c r="Q22" i="1"/>
  <c r="P22" i="1"/>
  <c r="O22" i="1"/>
  <c r="N22" i="1"/>
  <c r="M22" i="1"/>
  <c r="L22" i="1"/>
  <c r="I22" i="1"/>
  <c r="R21" i="1"/>
  <c r="Q21" i="1"/>
  <c r="P21" i="1"/>
  <c r="O21" i="1"/>
  <c r="N21" i="1"/>
  <c r="M21" i="1"/>
  <c r="L21" i="1"/>
  <c r="I21" i="1"/>
  <c r="R20" i="1"/>
  <c r="Q20" i="1"/>
  <c r="P20" i="1"/>
  <c r="O20" i="1"/>
  <c r="N20" i="1"/>
  <c r="M20" i="1"/>
  <c r="L20" i="1"/>
  <c r="I20" i="1"/>
  <c r="R19" i="1"/>
  <c r="Q19" i="1"/>
  <c r="P19" i="1"/>
  <c r="O19" i="1"/>
  <c r="N19" i="1"/>
  <c r="M19" i="1"/>
  <c r="L19" i="1"/>
  <c r="I19" i="1"/>
  <c r="R18" i="1"/>
  <c r="Q18" i="1"/>
  <c r="P18" i="1"/>
  <c r="O18" i="1"/>
  <c r="N18" i="1"/>
  <c r="M18" i="1"/>
  <c r="L18" i="1"/>
  <c r="I18" i="1"/>
  <c r="R17" i="1"/>
  <c r="Q17" i="1"/>
  <c r="P17" i="1"/>
  <c r="O17" i="1"/>
  <c r="N17" i="1"/>
  <c r="M17" i="1"/>
  <c r="L17" i="1"/>
  <c r="I17" i="1"/>
  <c r="R16" i="1"/>
  <c r="Q16" i="1"/>
  <c r="P16" i="1"/>
  <c r="O16" i="1"/>
  <c r="N16" i="1"/>
  <c r="M16" i="1"/>
  <c r="L16" i="1"/>
  <c r="I16" i="1"/>
  <c r="R15" i="1"/>
  <c r="Q15" i="1"/>
  <c r="P15" i="1"/>
  <c r="O15" i="1"/>
  <c r="N15" i="1"/>
  <c r="M15" i="1"/>
  <c r="L15" i="1"/>
  <c r="I15" i="1"/>
  <c r="R14" i="1"/>
  <c r="Q14" i="1"/>
  <c r="P14" i="1"/>
  <c r="O14" i="1"/>
  <c r="N14" i="1"/>
  <c r="M14" i="1"/>
  <c r="L14" i="1"/>
  <c r="I14" i="1"/>
  <c r="R13" i="1"/>
  <c r="Q13" i="1"/>
  <c r="P13" i="1"/>
  <c r="O13" i="1"/>
  <c r="N13" i="1"/>
  <c r="M13" i="1"/>
  <c r="L13" i="1"/>
  <c r="I13" i="1"/>
  <c r="R12" i="1"/>
  <c r="Q12" i="1"/>
  <c r="P12" i="1"/>
  <c r="O12" i="1"/>
  <c r="N12" i="1"/>
  <c r="M12" i="1"/>
  <c r="L12" i="1"/>
  <c r="I12" i="1"/>
  <c r="R11" i="1"/>
  <c r="Q11" i="1"/>
  <c r="P11" i="1"/>
  <c r="O11" i="1"/>
  <c r="N11" i="1"/>
  <c r="M11" i="1"/>
  <c r="L11" i="1"/>
  <c r="I11" i="1"/>
  <c r="R10" i="1"/>
  <c r="Q10" i="1"/>
  <c r="P10" i="1"/>
  <c r="O10" i="1"/>
  <c r="N10" i="1"/>
  <c r="M10" i="1"/>
  <c r="L10" i="1"/>
  <c r="I10" i="1"/>
  <c r="R9" i="1"/>
  <c r="Q9" i="1"/>
  <c r="P9" i="1"/>
  <c r="O9" i="1"/>
  <c r="N9" i="1"/>
  <c r="M9" i="1"/>
  <c r="L9" i="1"/>
  <c r="I9" i="1"/>
  <c r="R8" i="1"/>
  <c r="Q8" i="1"/>
  <c r="P8" i="1"/>
  <c r="O8" i="1"/>
  <c r="N8" i="1"/>
  <c r="M8" i="1"/>
  <c r="L8" i="1"/>
  <c r="I8" i="1"/>
  <c r="R7" i="1"/>
  <c r="Q7" i="1"/>
  <c r="P7" i="1"/>
  <c r="O7" i="1"/>
  <c r="N7" i="1"/>
  <c r="M7" i="1"/>
  <c r="L7" i="1"/>
  <c r="I7" i="1"/>
  <c r="R6" i="1"/>
  <c r="Q6" i="1"/>
  <c r="P6" i="1"/>
  <c r="O6" i="1"/>
  <c r="N6" i="1"/>
  <c r="M6" i="1"/>
  <c r="L6" i="1"/>
  <c r="I6" i="1"/>
  <c r="R5" i="1"/>
  <c r="Q5" i="1"/>
  <c r="P5" i="1"/>
  <c r="O5" i="1"/>
  <c r="N5" i="1"/>
  <c r="M5" i="1"/>
  <c r="L5" i="1"/>
  <c r="I5" i="1"/>
  <c r="R4" i="1"/>
  <c r="Q4" i="1"/>
  <c r="P4" i="1"/>
  <c r="O4" i="1"/>
  <c r="N4" i="1"/>
  <c r="M4" i="1"/>
  <c r="L4" i="1"/>
  <c r="I4" i="1"/>
  <c r="F543" i="1"/>
  <c r="E543" i="1"/>
  <c r="D543" i="1"/>
  <c r="F542" i="1"/>
  <c r="E542" i="1"/>
  <c r="D542" i="1"/>
  <c r="F541" i="1"/>
  <c r="E541" i="1"/>
  <c r="D541" i="1"/>
  <c r="F540" i="1"/>
  <c r="E540" i="1"/>
  <c r="D540" i="1"/>
  <c r="F539" i="1"/>
  <c r="E539" i="1"/>
  <c r="D539" i="1"/>
  <c r="F538" i="1"/>
  <c r="E538" i="1"/>
  <c r="D538" i="1"/>
  <c r="F537" i="1"/>
  <c r="E537" i="1"/>
  <c r="D537" i="1"/>
  <c r="F536" i="1"/>
  <c r="E536" i="1"/>
  <c r="D536" i="1"/>
  <c r="F535" i="1"/>
  <c r="E535" i="1"/>
  <c r="D535" i="1"/>
  <c r="F534" i="1"/>
  <c r="E534" i="1"/>
  <c r="D534" i="1"/>
  <c r="F533" i="1"/>
  <c r="E533" i="1"/>
  <c r="D533" i="1"/>
  <c r="F532" i="1"/>
  <c r="E532" i="1"/>
  <c r="D532" i="1"/>
  <c r="F531" i="1"/>
  <c r="E531" i="1"/>
  <c r="D531" i="1"/>
  <c r="F530" i="1"/>
  <c r="E530" i="1"/>
  <c r="D530" i="1"/>
  <c r="F529" i="1"/>
  <c r="E529" i="1"/>
  <c r="D529" i="1"/>
  <c r="F528" i="1"/>
  <c r="E528" i="1"/>
  <c r="D528" i="1"/>
  <c r="F527" i="1"/>
  <c r="E527" i="1"/>
  <c r="D527" i="1"/>
  <c r="F526" i="1"/>
  <c r="E526" i="1"/>
  <c r="D526" i="1"/>
  <c r="F525" i="1"/>
  <c r="E525" i="1"/>
  <c r="D525" i="1"/>
  <c r="F524" i="1"/>
  <c r="E524" i="1"/>
  <c r="D524" i="1"/>
  <c r="F523" i="1"/>
  <c r="E523" i="1"/>
  <c r="D523" i="1"/>
  <c r="F522" i="1"/>
  <c r="E522" i="1"/>
  <c r="D522" i="1"/>
  <c r="F521" i="1"/>
  <c r="E521" i="1"/>
  <c r="D521" i="1"/>
  <c r="F520" i="1"/>
  <c r="E520" i="1"/>
  <c r="D520" i="1"/>
  <c r="F519" i="1"/>
  <c r="E519" i="1"/>
  <c r="D519" i="1"/>
  <c r="F518" i="1"/>
  <c r="E518" i="1"/>
  <c r="D518" i="1"/>
  <c r="F517" i="1"/>
  <c r="E517" i="1"/>
  <c r="D517" i="1"/>
  <c r="F516" i="1"/>
  <c r="E516" i="1"/>
  <c r="D516" i="1"/>
  <c r="F515" i="1"/>
  <c r="E515" i="1"/>
  <c r="D515" i="1"/>
  <c r="F514" i="1"/>
  <c r="E514" i="1"/>
  <c r="D514" i="1"/>
  <c r="F513" i="1"/>
  <c r="E513" i="1"/>
  <c r="D513" i="1"/>
  <c r="F512" i="1"/>
  <c r="E512" i="1"/>
  <c r="D512" i="1"/>
  <c r="F511" i="1"/>
  <c r="E511" i="1"/>
  <c r="D511" i="1"/>
  <c r="F510" i="1"/>
  <c r="E510" i="1"/>
  <c r="D510" i="1"/>
  <c r="F509" i="1"/>
  <c r="E509" i="1"/>
  <c r="D509" i="1"/>
  <c r="F508" i="1"/>
  <c r="E508" i="1"/>
  <c r="D508" i="1"/>
  <c r="F507" i="1"/>
  <c r="E507" i="1"/>
  <c r="D507" i="1"/>
  <c r="F506" i="1"/>
  <c r="E506" i="1"/>
  <c r="D506" i="1"/>
  <c r="F505" i="1"/>
  <c r="E505" i="1"/>
  <c r="D505" i="1"/>
  <c r="F504" i="1"/>
  <c r="E504" i="1"/>
  <c r="D504" i="1"/>
  <c r="F503" i="1"/>
  <c r="E503" i="1"/>
  <c r="D503" i="1"/>
  <c r="F502" i="1"/>
  <c r="E502" i="1"/>
  <c r="D502" i="1"/>
  <c r="F501" i="1"/>
  <c r="E501" i="1"/>
  <c r="D501" i="1"/>
  <c r="F500" i="1"/>
  <c r="E500" i="1"/>
  <c r="D500" i="1"/>
  <c r="F499" i="1"/>
  <c r="E499" i="1"/>
  <c r="D499" i="1"/>
  <c r="F498" i="1"/>
  <c r="E498" i="1"/>
  <c r="D498" i="1"/>
  <c r="F497" i="1"/>
  <c r="E497" i="1"/>
  <c r="D497" i="1"/>
  <c r="F496" i="1"/>
  <c r="E496" i="1"/>
  <c r="D496" i="1"/>
  <c r="F495" i="1"/>
  <c r="E495" i="1"/>
  <c r="D495" i="1"/>
  <c r="F494" i="1"/>
  <c r="E494" i="1"/>
  <c r="D494" i="1"/>
  <c r="F493" i="1"/>
  <c r="E493" i="1"/>
  <c r="D493" i="1"/>
  <c r="F492" i="1"/>
  <c r="E492" i="1"/>
  <c r="D492" i="1"/>
  <c r="F491" i="1"/>
  <c r="E491" i="1"/>
  <c r="D491" i="1"/>
  <c r="F490" i="1"/>
  <c r="E490" i="1"/>
  <c r="D490" i="1"/>
  <c r="F489" i="1"/>
  <c r="E489" i="1"/>
  <c r="D489" i="1"/>
  <c r="F488" i="1"/>
  <c r="E488" i="1"/>
  <c r="D488" i="1"/>
  <c r="F487" i="1"/>
  <c r="E487" i="1"/>
  <c r="D487" i="1"/>
  <c r="F486" i="1"/>
  <c r="E486" i="1"/>
  <c r="D486" i="1"/>
  <c r="F485" i="1"/>
  <c r="E485" i="1"/>
  <c r="D485" i="1"/>
  <c r="F484" i="1"/>
  <c r="E484" i="1"/>
  <c r="D484" i="1"/>
  <c r="F483" i="1"/>
  <c r="E483" i="1"/>
  <c r="D483" i="1"/>
  <c r="F482" i="1"/>
  <c r="E482" i="1"/>
  <c r="D482" i="1"/>
  <c r="F481" i="1"/>
  <c r="E481" i="1"/>
  <c r="D481" i="1"/>
  <c r="F480" i="1"/>
  <c r="E480" i="1"/>
  <c r="D480" i="1"/>
  <c r="F479" i="1"/>
  <c r="E479" i="1"/>
  <c r="D479" i="1"/>
  <c r="F478" i="1"/>
  <c r="E478" i="1"/>
  <c r="D478" i="1"/>
  <c r="F477" i="1"/>
  <c r="E477" i="1"/>
  <c r="D477" i="1"/>
  <c r="F476" i="1"/>
  <c r="E476" i="1"/>
  <c r="D476" i="1"/>
  <c r="F475" i="1"/>
  <c r="E475" i="1"/>
  <c r="D475" i="1"/>
  <c r="F474" i="1"/>
  <c r="E474" i="1"/>
  <c r="D474" i="1"/>
  <c r="F473" i="1"/>
  <c r="E473" i="1"/>
  <c r="D473" i="1"/>
  <c r="F472" i="1"/>
  <c r="E472" i="1"/>
  <c r="D472" i="1"/>
  <c r="F471" i="1"/>
  <c r="E471" i="1"/>
  <c r="D471" i="1"/>
  <c r="F470" i="1"/>
  <c r="E470" i="1"/>
  <c r="D470" i="1"/>
  <c r="F469" i="1"/>
  <c r="E469" i="1"/>
  <c r="D469" i="1"/>
  <c r="F468" i="1"/>
  <c r="E468" i="1"/>
  <c r="D468" i="1"/>
  <c r="F467" i="1"/>
  <c r="E467" i="1"/>
  <c r="D467" i="1"/>
  <c r="F466" i="1"/>
  <c r="E466" i="1"/>
  <c r="D466" i="1"/>
  <c r="F465" i="1"/>
  <c r="E465" i="1"/>
  <c r="D465" i="1"/>
  <c r="F464" i="1"/>
  <c r="E464" i="1"/>
  <c r="D464" i="1"/>
  <c r="F463" i="1"/>
  <c r="E463" i="1"/>
  <c r="D463" i="1"/>
  <c r="F462" i="1"/>
  <c r="E462" i="1"/>
  <c r="D462" i="1"/>
  <c r="F461" i="1"/>
  <c r="E461" i="1"/>
  <c r="D461" i="1"/>
  <c r="F460" i="1"/>
  <c r="E460" i="1"/>
  <c r="D460" i="1"/>
  <c r="F459" i="1"/>
  <c r="E459" i="1"/>
  <c r="D459" i="1"/>
  <c r="F458" i="1"/>
  <c r="E458" i="1"/>
  <c r="D458" i="1"/>
  <c r="F457" i="1"/>
  <c r="E457" i="1"/>
  <c r="D457" i="1"/>
  <c r="F456" i="1"/>
  <c r="E456" i="1"/>
  <c r="D456" i="1"/>
  <c r="F455" i="1"/>
  <c r="E455" i="1"/>
  <c r="D455" i="1"/>
  <c r="F454" i="1"/>
  <c r="E454" i="1"/>
  <c r="D454" i="1"/>
  <c r="F453" i="1"/>
  <c r="E453" i="1"/>
  <c r="D453" i="1"/>
  <c r="F452" i="1"/>
  <c r="E452" i="1"/>
  <c r="D452" i="1"/>
  <c r="F451" i="1"/>
  <c r="E451" i="1"/>
  <c r="D451" i="1"/>
  <c r="F450" i="1"/>
  <c r="E450" i="1"/>
  <c r="D450" i="1"/>
  <c r="F449" i="1"/>
  <c r="E449" i="1"/>
  <c r="D449" i="1"/>
  <c r="F448" i="1"/>
  <c r="E448" i="1"/>
  <c r="D448" i="1"/>
  <c r="F447" i="1"/>
  <c r="E447" i="1"/>
  <c r="D447" i="1"/>
  <c r="F446" i="1"/>
  <c r="E446" i="1"/>
  <c r="D446" i="1"/>
  <c r="F445" i="1"/>
  <c r="E445" i="1"/>
  <c r="D445" i="1"/>
  <c r="F444" i="1"/>
  <c r="E444" i="1"/>
  <c r="D444" i="1"/>
  <c r="F443" i="1"/>
  <c r="E443" i="1"/>
  <c r="D443" i="1"/>
  <c r="F442" i="1"/>
  <c r="E442" i="1"/>
  <c r="D442" i="1"/>
  <c r="F441" i="1"/>
  <c r="E441" i="1"/>
  <c r="D441" i="1"/>
  <c r="F440" i="1"/>
  <c r="E440" i="1"/>
  <c r="D440" i="1"/>
  <c r="F439" i="1"/>
  <c r="E439" i="1"/>
  <c r="D439" i="1"/>
  <c r="F438" i="1"/>
  <c r="E438" i="1"/>
  <c r="D438" i="1"/>
  <c r="F437" i="1"/>
  <c r="E437" i="1"/>
  <c r="D437" i="1"/>
  <c r="F436" i="1"/>
  <c r="E436" i="1"/>
  <c r="D436" i="1"/>
  <c r="F435" i="1"/>
  <c r="E435" i="1"/>
  <c r="D435" i="1"/>
  <c r="F434" i="1"/>
  <c r="E434" i="1"/>
  <c r="D434" i="1"/>
  <c r="F433" i="1"/>
  <c r="E433" i="1"/>
  <c r="D433" i="1"/>
  <c r="F432" i="1"/>
  <c r="E432" i="1"/>
  <c r="D432" i="1"/>
  <c r="F431" i="1"/>
  <c r="E431" i="1"/>
  <c r="D431" i="1"/>
  <c r="F430" i="1"/>
  <c r="E430" i="1"/>
  <c r="D430" i="1"/>
  <c r="F429" i="1"/>
  <c r="E429" i="1"/>
  <c r="D429" i="1"/>
  <c r="F428" i="1"/>
  <c r="E428" i="1"/>
  <c r="D428" i="1"/>
  <c r="F427" i="1"/>
  <c r="E427" i="1"/>
  <c r="D427" i="1"/>
  <c r="F426" i="1"/>
  <c r="E426" i="1"/>
  <c r="D426" i="1"/>
  <c r="F425" i="1"/>
  <c r="E425" i="1"/>
  <c r="D425" i="1"/>
  <c r="F424" i="1"/>
  <c r="E424" i="1"/>
  <c r="D424" i="1"/>
  <c r="F423" i="1"/>
  <c r="E423" i="1"/>
  <c r="D423" i="1"/>
  <c r="F422" i="1"/>
  <c r="E422" i="1"/>
  <c r="D422" i="1"/>
  <c r="F421" i="1"/>
  <c r="E421" i="1"/>
  <c r="D421" i="1"/>
  <c r="F420" i="1"/>
  <c r="E420" i="1"/>
  <c r="D420" i="1"/>
  <c r="F419" i="1"/>
  <c r="E419" i="1"/>
  <c r="D419" i="1"/>
  <c r="F418" i="1"/>
  <c r="E418" i="1"/>
  <c r="D418" i="1"/>
  <c r="F417" i="1"/>
  <c r="E417" i="1"/>
  <c r="D417" i="1"/>
  <c r="F416" i="1"/>
  <c r="E416" i="1"/>
  <c r="D416" i="1"/>
  <c r="F415" i="1"/>
  <c r="E415" i="1"/>
  <c r="D415" i="1"/>
  <c r="F414" i="1"/>
  <c r="E414" i="1"/>
  <c r="D414" i="1"/>
  <c r="F413" i="1"/>
  <c r="E413" i="1"/>
  <c r="D413" i="1"/>
  <c r="F412" i="1"/>
  <c r="E412" i="1"/>
  <c r="D412" i="1"/>
  <c r="F411" i="1"/>
  <c r="E411" i="1"/>
  <c r="D411" i="1"/>
  <c r="F410" i="1"/>
  <c r="E410" i="1"/>
  <c r="D410" i="1"/>
  <c r="F409" i="1"/>
  <c r="E409" i="1"/>
  <c r="D409" i="1"/>
  <c r="F408" i="1"/>
  <c r="E408" i="1"/>
  <c r="D408" i="1"/>
  <c r="F407" i="1"/>
  <c r="E407" i="1"/>
  <c r="D407" i="1"/>
  <c r="F406" i="1"/>
  <c r="E406" i="1"/>
  <c r="D406" i="1"/>
  <c r="F405" i="1"/>
  <c r="E405" i="1"/>
  <c r="D405" i="1"/>
  <c r="F404" i="1"/>
  <c r="E404" i="1"/>
  <c r="D404" i="1"/>
  <c r="F403" i="1"/>
  <c r="E403" i="1"/>
  <c r="D403" i="1"/>
  <c r="F402" i="1"/>
  <c r="E402" i="1"/>
  <c r="D402" i="1"/>
  <c r="F401" i="1"/>
  <c r="E401" i="1"/>
  <c r="D401" i="1"/>
  <c r="F400" i="1"/>
  <c r="E400" i="1"/>
  <c r="D400" i="1"/>
  <c r="F399" i="1"/>
  <c r="E399" i="1"/>
  <c r="D399" i="1"/>
  <c r="F398" i="1"/>
  <c r="E398" i="1"/>
  <c r="D398" i="1"/>
  <c r="F397" i="1"/>
  <c r="E397" i="1"/>
  <c r="D397" i="1"/>
  <c r="F396" i="1"/>
  <c r="E396" i="1"/>
  <c r="D396" i="1"/>
  <c r="F395" i="1"/>
  <c r="E395" i="1"/>
  <c r="D395" i="1"/>
  <c r="F394" i="1"/>
  <c r="E394" i="1"/>
  <c r="D394" i="1"/>
  <c r="F393" i="1"/>
  <c r="E393" i="1"/>
  <c r="D393" i="1"/>
  <c r="F392" i="1"/>
  <c r="E392" i="1"/>
  <c r="D392" i="1"/>
  <c r="F391" i="1"/>
  <c r="E391" i="1"/>
  <c r="D391" i="1"/>
  <c r="F390" i="1"/>
  <c r="E390" i="1"/>
  <c r="D390" i="1"/>
  <c r="F389" i="1"/>
  <c r="E389" i="1"/>
  <c r="D389" i="1"/>
  <c r="F388" i="1"/>
  <c r="E388" i="1"/>
  <c r="D388" i="1"/>
  <c r="F387" i="1"/>
  <c r="E387" i="1"/>
  <c r="D387" i="1"/>
  <c r="F386" i="1"/>
  <c r="E386" i="1"/>
  <c r="D386" i="1"/>
  <c r="F385" i="1"/>
  <c r="E385" i="1"/>
  <c r="D385" i="1"/>
  <c r="F384" i="1"/>
  <c r="E384" i="1"/>
  <c r="D384" i="1"/>
  <c r="F383" i="1"/>
  <c r="E383" i="1"/>
  <c r="D383" i="1"/>
  <c r="F382" i="1"/>
  <c r="E382" i="1"/>
  <c r="D382" i="1"/>
  <c r="F381" i="1"/>
  <c r="E381" i="1"/>
  <c r="D381" i="1"/>
  <c r="F380" i="1"/>
  <c r="E380" i="1"/>
  <c r="D380" i="1"/>
  <c r="F379" i="1"/>
  <c r="E379" i="1"/>
  <c r="D379" i="1"/>
  <c r="F378" i="1"/>
  <c r="E378" i="1"/>
  <c r="D378" i="1"/>
  <c r="F377" i="1"/>
  <c r="E377" i="1"/>
  <c r="D377" i="1"/>
  <c r="F376" i="1"/>
  <c r="E376" i="1"/>
  <c r="D376" i="1"/>
  <c r="F375" i="1"/>
  <c r="E375" i="1"/>
  <c r="D375" i="1"/>
  <c r="F374" i="1"/>
  <c r="E374" i="1"/>
  <c r="D374" i="1"/>
  <c r="F373" i="1"/>
  <c r="E373" i="1"/>
  <c r="D373" i="1"/>
  <c r="F372" i="1"/>
  <c r="E372" i="1"/>
  <c r="D372" i="1"/>
  <c r="F371" i="1"/>
  <c r="E371" i="1"/>
  <c r="D371" i="1"/>
  <c r="F370" i="1"/>
  <c r="E370" i="1"/>
  <c r="D370" i="1"/>
  <c r="F369" i="1"/>
  <c r="E369" i="1"/>
  <c r="D369" i="1"/>
  <c r="F368" i="1"/>
  <c r="E368" i="1"/>
  <c r="D368" i="1"/>
  <c r="F367" i="1"/>
  <c r="E367" i="1"/>
  <c r="D367" i="1"/>
  <c r="F366" i="1"/>
  <c r="E366" i="1"/>
  <c r="D366" i="1"/>
  <c r="F365" i="1"/>
  <c r="E365" i="1"/>
  <c r="D365" i="1"/>
  <c r="F364" i="1"/>
  <c r="E364" i="1"/>
  <c r="D364" i="1"/>
  <c r="F363" i="1"/>
  <c r="E363" i="1"/>
  <c r="D363" i="1"/>
  <c r="F362" i="1"/>
  <c r="E362" i="1"/>
  <c r="D362" i="1"/>
  <c r="F361" i="1"/>
  <c r="E361" i="1"/>
  <c r="D361" i="1"/>
  <c r="F360" i="1"/>
  <c r="E360" i="1"/>
  <c r="D360" i="1"/>
  <c r="F359" i="1"/>
  <c r="E359" i="1"/>
  <c r="D359" i="1"/>
  <c r="F358" i="1"/>
  <c r="E358" i="1"/>
  <c r="D358" i="1"/>
  <c r="F357" i="1"/>
  <c r="E357" i="1"/>
  <c r="D357" i="1"/>
  <c r="F356" i="1"/>
  <c r="E356" i="1"/>
  <c r="D356" i="1"/>
  <c r="F355" i="1"/>
  <c r="E355" i="1"/>
  <c r="D355" i="1"/>
  <c r="F354" i="1"/>
  <c r="E354" i="1"/>
  <c r="D354" i="1"/>
  <c r="F353" i="1"/>
  <c r="E353" i="1"/>
  <c r="D353" i="1"/>
  <c r="F352" i="1"/>
  <c r="E352" i="1"/>
  <c r="D352" i="1"/>
  <c r="F351" i="1"/>
  <c r="E351" i="1"/>
  <c r="D351" i="1"/>
  <c r="F350" i="1"/>
  <c r="E350" i="1"/>
  <c r="D350" i="1"/>
  <c r="F349" i="1"/>
  <c r="E349" i="1"/>
  <c r="D349" i="1"/>
  <c r="F348" i="1"/>
  <c r="E348" i="1"/>
  <c r="D348" i="1"/>
  <c r="F347" i="1"/>
  <c r="E347" i="1"/>
  <c r="D347" i="1"/>
  <c r="F346" i="1"/>
  <c r="E346" i="1"/>
  <c r="D346" i="1"/>
  <c r="F345" i="1"/>
  <c r="E345" i="1"/>
  <c r="D345" i="1"/>
  <c r="F344" i="1"/>
  <c r="E344" i="1"/>
  <c r="D344" i="1"/>
  <c r="F343" i="1"/>
  <c r="E343" i="1"/>
  <c r="D343" i="1"/>
  <c r="F342" i="1"/>
  <c r="E342" i="1"/>
  <c r="D342" i="1"/>
  <c r="F341" i="1"/>
  <c r="E341" i="1"/>
  <c r="D341" i="1"/>
  <c r="F340" i="1"/>
  <c r="E340" i="1"/>
  <c r="D340" i="1"/>
  <c r="F339" i="1"/>
  <c r="E339" i="1"/>
  <c r="D339" i="1"/>
  <c r="F338" i="1"/>
  <c r="E338" i="1"/>
  <c r="D338" i="1"/>
  <c r="F337" i="1"/>
  <c r="E337" i="1"/>
  <c r="D337" i="1"/>
  <c r="F336" i="1"/>
  <c r="E336" i="1"/>
  <c r="D336" i="1"/>
  <c r="F335" i="1"/>
  <c r="E335" i="1"/>
  <c r="D335" i="1"/>
  <c r="F334" i="1"/>
  <c r="E334" i="1"/>
  <c r="D334" i="1"/>
  <c r="F333" i="1"/>
  <c r="E333" i="1"/>
  <c r="D333" i="1"/>
  <c r="F332" i="1"/>
  <c r="E332" i="1"/>
  <c r="D332" i="1"/>
  <c r="F331" i="1"/>
  <c r="E331" i="1"/>
  <c r="D331" i="1"/>
  <c r="F330" i="1"/>
  <c r="E330" i="1"/>
  <c r="D330" i="1"/>
  <c r="F329" i="1"/>
  <c r="E329" i="1"/>
  <c r="D329" i="1"/>
  <c r="F328" i="1"/>
  <c r="E328" i="1"/>
  <c r="D328" i="1"/>
  <c r="F327" i="1"/>
  <c r="E327" i="1"/>
  <c r="D327" i="1"/>
  <c r="F326" i="1"/>
  <c r="E326" i="1"/>
  <c r="D326" i="1"/>
  <c r="F325" i="1"/>
  <c r="E325" i="1"/>
  <c r="D325" i="1"/>
  <c r="F324" i="1"/>
  <c r="E324" i="1"/>
  <c r="D324" i="1"/>
  <c r="F323" i="1"/>
  <c r="E323" i="1"/>
  <c r="D323" i="1"/>
  <c r="F322" i="1"/>
  <c r="E322" i="1"/>
  <c r="D322" i="1"/>
  <c r="F321" i="1"/>
  <c r="E321" i="1"/>
  <c r="D321" i="1"/>
  <c r="F320" i="1"/>
  <c r="E320" i="1"/>
  <c r="D320" i="1"/>
  <c r="F319" i="1"/>
  <c r="E319" i="1"/>
  <c r="D319" i="1"/>
  <c r="F318" i="1"/>
  <c r="E318" i="1"/>
  <c r="D318" i="1"/>
  <c r="F317" i="1"/>
  <c r="E317" i="1"/>
  <c r="D317" i="1"/>
  <c r="F316" i="1"/>
  <c r="E316" i="1"/>
  <c r="D316" i="1"/>
  <c r="F315" i="1"/>
  <c r="E315" i="1"/>
  <c r="D315" i="1"/>
  <c r="F314" i="1"/>
  <c r="E314" i="1"/>
  <c r="D314" i="1"/>
  <c r="F313" i="1"/>
  <c r="E313" i="1"/>
  <c r="D313" i="1"/>
  <c r="F312" i="1"/>
  <c r="E312" i="1"/>
  <c r="D312" i="1"/>
  <c r="F311" i="1"/>
  <c r="E311" i="1"/>
  <c r="D311" i="1"/>
  <c r="F310" i="1"/>
  <c r="E310" i="1"/>
  <c r="D310" i="1"/>
  <c r="F309" i="1"/>
  <c r="E309" i="1"/>
  <c r="D309" i="1"/>
  <c r="F308" i="1"/>
  <c r="E308" i="1"/>
  <c r="D308" i="1"/>
  <c r="F307" i="1"/>
  <c r="E307" i="1"/>
  <c r="D307" i="1"/>
  <c r="F306" i="1"/>
  <c r="E306" i="1"/>
  <c r="D306" i="1"/>
  <c r="F305" i="1"/>
  <c r="E305" i="1"/>
  <c r="D305" i="1"/>
  <c r="F304" i="1"/>
  <c r="E304" i="1"/>
  <c r="D304" i="1"/>
  <c r="F303" i="1"/>
  <c r="E303" i="1"/>
  <c r="D303" i="1"/>
  <c r="F302" i="1"/>
  <c r="E302" i="1"/>
  <c r="D302" i="1"/>
  <c r="F301" i="1"/>
  <c r="E301" i="1"/>
  <c r="D301" i="1"/>
  <c r="F300" i="1"/>
  <c r="E300" i="1"/>
  <c r="D300" i="1"/>
  <c r="F299" i="1"/>
  <c r="E299" i="1"/>
  <c r="D299" i="1"/>
  <c r="F298" i="1"/>
  <c r="E298" i="1"/>
  <c r="D298" i="1"/>
  <c r="F297" i="1"/>
  <c r="E297" i="1"/>
  <c r="D297" i="1"/>
  <c r="F296" i="1"/>
  <c r="E296" i="1"/>
  <c r="D296" i="1"/>
  <c r="F295" i="1"/>
  <c r="E295" i="1"/>
  <c r="D295" i="1"/>
  <c r="F294" i="1"/>
  <c r="E294" i="1"/>
  <c r="D294" i="1"/>
  <c r="F293" i="1"/>
  <c r="E293" i="1"/>
  <c r="D293" i="1"/>
  <c r="F292" i="1"/>
  <c r="E292" i="1"/>
  <c r="D292" i="1"/>
  <c r="F291" i="1"/>
  <c r="E291" i="1"/>
  <c r="D291" i="1"/>
  <c r="F290" i="1"/>
  <c r="E290" i="1"/>
  <c r="D290" i="1"/>
  <c r="F289" i="1"/>
  <c r="E289" i="1"/>
  <c r="D289" i="1"/>
  <c r="F288" i="1"/>
  <c r="E288" i="1"/>
  <c r="D288" i="1"/>
  <c r="F287" i="1"/>
  <c r="E287" i="1"/>
  <c r="D287" i="1"/>
  <c r="F286" i="1"/>
  <c r="E286" i="1"/>
  <c r="D286" i="1"/>
  <c r="F285" i="1"/>
  <c r="E285" i="1"/>
  <c r="D285" i="1"/>
  <c r="F284" i="1"/>
  <c r="E284" i="1"/>
  <c r="D284" i="1"/>
  <c r="F283" i="1"/>
  <c r="E283" i="1"/>
  <c r="D283" i="1"/>
  <c r="F282" i="1"/>
  <c r="E282" i="1"/>
  <c r="D282" i="1"/>
  <c r="F281" i="1"/>
  <c r="E281" i="1"/>
  <c r="D281" i="1"/>
  <c r="F280" i="1"/>
  <c r="E280" i="1"/>
  <c r="D280" i="1"/>
  <c r="F279" i="1"/>
  <c r="E279" i="1"/>
  <c r="D279" i="1"/>
  <c r="F278" i="1"/>
  <c r="E278" i="1"/>
  <c r="D278" i="1"/>
  <c r="F277" i="1"/>
  <c r="E277" i="1"/>
  <c r="D277" i="1"/>
  <c r="F276" i="1"/>
  <c r="E276" i="1"/>
  <c r="D276" i="1"/>
  <c r="F275" i="1"/>
  <c r="E275" i="1"/>
  <c r="D275" i="1"/>
  <c r="F274" i="1"/>
  <c r="E274" i="1"/>
  <c r="D274" i="1"/>
  <c r="F273" i="1"/>
  <c r="E273" i="1"/>
  <c r="D273" i="1"/>
  <c r="F272" i="1"/>
  <c r="E272" i="1"/>
  <c r="D272" i="1"/>
  <c r="F271" i="1"/>
  <c r="E271" i="1"/>
  <c r="D271" i="1"/>
  <c r="F270" i="1"/>
  <c r="E270" i="1"/>
  <c r="D270" i="1"/>
  <c r="F269" i="1"/>
  <c r="E269" i="1"/>
  <c r="D269" i="1"/>
  <c r="F268" i="1"/>
  <c r="E268" i="1"/>
  <c r="D268" i="1"/>
  <c r="F267" i="1"/>
  <c r="E267" i="1"/>
  <c r="D267" i="1"/>
  <c r="F266" i="1"/>
  <c r="E266" i="1"/>
  <c r="D266" i="1"/>
  <c r="F265" i="1"/>
  <c r="E265" i="1"/>
  <c r="D265" i="1"/>
  <c r="F264" i="1"/>
  <c r="E264" i="1"/>
  <c r="D264" i="1"/>
  <c r="F263" i="1"/>
  <c r="E263" i="1"/>
  <c r="D263" i="1"/>
  <c r="F262" i="1"/>
  <c r="E262" i="1"/>
  <c r="D262" i="1"/>
  <c r="F261" i="1"/>
  <c r="E261" i="1"/>
  <c r="D261" i="1"/>
  <c r="F260" i="1"/>
  <c r="E260" i="1"/>
  <c r="D260" i="1"/>
  <c r="F259" i="1"/>
  <c r="E259" i="1"/>
  <c r="D259" i="1"/>
  <c r="F258" i="1"/>
  <c r="E258" i="1"/>
  <c r="D258" i="1"/>
  <c r="F257" i="1"/>
  <c r="E257" i="1"/>
  <c r="D257" i="1"/>
  <c r="F256" i="1"/>
  <c r="E256" i="1"/>
  <c r="D256" i="1"/>
  <c r="F255" i="1"/>
  <c r="E255" i="1"/>
  <c r="D255" i="1"/>
  <c r="F254" i="1"/>
  <c r="E254" i="1"/>
  <c r="D254" i="1"/>
  <c r="F253" i="1"/>
  <c r="E253" i="1"/>
  <c r="D253" i="1"/>
  <c r="F252" i="1"/>
  <c r="E252" i="1"/>
  <c r="D252" i="1"/>
  <c r="F251" i="1"/>
  <c r="E251" i="1"/>
  <c r="D251" i="1"/>
  <c r="F250" i="1"/>
  <c r="E250" i="1"/>
  <c r="D250" i="1"/>
  <c r="F249" i="1"/>
  <c r="E249" i="1"/>
  <c r="D249" i="1"/>
  <c r="F248" i="1"/>
  <c r="E248" i="1"/>
  <c r="D248" i="1"/>
  <c r="F247" i="1"/>
  <c r="E247" i="1"/>
  <c r="D247" i="1"/>
  <c r="F246" i="1"/>
  <c r="E246" i="1"/>
  <c r="D246" i="1"/>
  <c r="F245" i="1"/>
  <c r="E245" i="1"/>
  <c r="D245" i="1"/>
  <c r="F244" i="1"/>
  <c r="E244" i="1"/>
  <c r="D244" i="1"/>
  <c r="F243" i="1"/>
  <c r="E243" i="1"/>
  <c r="D243" i="1"/>
  <c r="F242" i="1"/>
  <c r="E242" i="1"/>
  <c r="D242" i="1"/>
  <c r="F241" i="1"/>
  <c r="E241" i="1"/>
  <c r="D241" i="1"/>
  <c r="F240" i="1"/>
  <c r="E240" i="1"/>
  <c r="D240" i="1"/>
  <c r="F239" i="1"/>
  <c r="E239" i="1"/>
  <c r="D239" i="1"/>
  <c r="F238" i="1"/>
  <c r="E238" i="1"/>
  <c r="D238" i="1"/>
  <c r="F237" i="1"/>
  <c r="E237" i="1"/>
  <c r="D237" i="1"/>
  <c r="F236" i="1"/>
  <c r="E236" i="1"/>
  <c r="D236" i="1"/>
  <c r="F235" i="1"/>
  <c r="E235" i="1"/>
  <c r="D235" i="1"/>
  <c r="F234" i="1"/>
  <c r="E234" i="1"/>
  <c r="D234" i="1"/>
  <c r="F233" i="1"/>
  <c r="E233" i="1"/>
  <c r="D233" i="1"/>
  <c r="F232" i="1"/>
  <c r="E232" i="1"/>
  <c r="D232" i="1"/>
  <c r="F231" i="1"/>
  <c r="E231" i="1"/>
  <c r="D231" i="1"/>
  <c r="F230" i="1"/>
  <c r="E230" i="1"/>
  <c r="D230" i="1"/>
  <c r="F229" i="1"/>
  <c r="E229" i="1"/>
  <c r="D229" i="1"/>
  <c r="F228" i="1"/>
  <c r="E228" i="1"/>
  <c r="D228" i="1"/>
  <c r="F227" i="1"/>
  <c r="E227" i="1"/>
  <c r="D227" i="1"/>
  <c r="F226" i="1"/>
  <c r="E226" i="1"/>
  <c r="D226" i="1"/>
  <c r="F225" i="1"/>
  <c r="E225" i="1"/>
  <c r="D225" i="1"/>
  <c r="F224" i="1"/>
  <c r="E224" i="1"/>
  <c r="D224" i="1"/>
  <c r="F223" i="1"/>
  <c r="E223" i="1"/>
  <c r="D223" i="1"/>
  <c r="F222" i="1"/>
  <c r="E222" i="1"/>
  <c r="D222" i="1"/>
  <c r="F221" i="1"/>
  <c r="E221" i="1"/>
  <c r="D221" i="1"/>
  <c r="F220" i="1"/>
  <c r="E220" i="1"/>
  <c r="D220" i="1"/>
  <c r="F219" i="1"/>
  <c r="E219" i="1"/>
  <c r="D219" i="1"/>
  <c r="F218" i="1"/>
  <c r="E218" i="1"/>
  <c r="D218" i="1"/>
  <c r="F217" i="1"/>
  <c r="E217" i="1"/>
  <c r="D217" i="1"/>
  <c r="F216" i="1"/>
  <c r="E216" i="1"/>
  <c r="D216" i="1"/>
  <c r="F215" i="1"/>
  <c r="E215" i="1"/>
  <c r="D215" i="1"/>
  <c r="F214" i="1"/>
  <c r="E214" i="1"/>
  <c r="D214" i="1"/>
  <c r="F213" i="1"/>
  <c r="E213" i="1"/>
  <c r="D213" i="1"/>
  <c r="F212" i="1"/>
  <c r="E212" i="1"/>
  <c r="D212" i="1"/>
  <c r="F211" i="1"/>
  <c r="E211" i="1"/>
  <c r="D211" i="1"/>
  <c r="F210" i="1"/>
  <c r="E210" i="1"/>
  <c r="D210" i="1"/>
  <c r="F209" i="1"/>
  <c r="E209" i="1"/>
  <c r="D209" i="1"/>
  <c r="F208" i="1"/>
  <c r="E208" i="1"/>
  <c r="D208" i="1"/>
  <c r="F207" i="1"/>
  <c r="E207" i="1"/>
  <c r="D207" i="1"/>
  <c r="F206" i="1"/>
  <c r="E206" i="1"/>
  <c r="D206" i="1"/>
  <c r="F205" i="1"/>
  <c r="E205" i="1"/>
  <c r="D205" i="1"/>
  <c r="F204" i="1"/>
  <c r="E204" i="1"/>
  <c r="D204" i="1"/>
  <c r="F203" i="1"/>
  <c r="E203" i="1"/>
  <c r="D203" i="1"/>
  <c r="F202" i="1"/>
  <c r="E202" i="1"/>
  <c r="D202" i="1"/>
  <c r="F201" i="1"/>
  <c r="E201" i="1"/>
  <c r="D201" i="1"/>
  <c r="F200" i="1"/>
  <c r="E200" i="1"/>
  <c r="D200" i="1"/>
  <c r="F199" i="1"/>
  <c r="E199" i="1"/>
  <c r="D199" i="1"/>
  <c r="F198" i="1"/>
  <c r="E198" i="1"/>
  <c r="D198" i="1"/>
  <c r="F197" i="1"/>
  <c r="E197" i="1"/>
  <c r="D197" i="1"/>
  <c r="F196" i="1"/>
  <c r="E196" i="1"/>
  <c r="D196" i="1"/>
  <c r="F195" i="1"/>
  <c r="E195" i="1"/>
  <c r="D195" i="1"/>
  <c r="F194" i="1"/>
  <c r="E194" i="1"/>
  <c r="D194" i="1"/>
  <c r="F193" i="1"/>
  <c r="E193" i="1"/>
  <c r="D193" i="1"/>
  <c r="F192" i="1"/>
  <c r="E192" i="1"/>
  <c r="D192" i="1"/>
  <c r="F191" i="1"/>
  <c r="E191" i="1"/>
  <c r="D191" i="1"/>
  <c r="F190" i="1"/>
  <c r="E190" i="1"/>
  <c r="D190" i="1"/>
  <c r="F189" i="1"/>
  <c r="E189" i="1"/>
  <c r="D189" i="1"/>
  <c r="F188" i="1"/>
  <c r="E188" i="1"/>
  <c r="D188" i="1"/>
  <c r="F187" i="1"/>
  <c r="E187" i="1"/>
  <c r="D187" i="1"/>
  <c r="F186" i="1"/>
  <c r="E186" i="1"/>
  <c r="D186" i="1"/>
  <c r="F185" i="1"/>
  <c r="E185" i="1"/>
  <c r="D185" i="1"/>
  <c r="F184" i="1"/>
  <c r="E184" i="1"/>
  <c r="D184" i="1"/>
  <c r="F183" i="1"/>
  <c r="E183" i="1"/>
  <c r="D183" i="1"/>
  <c r="F182" i="1"/>
  <c r="E182" i="1"/>
  <c r="D182" i="1"/>
  <c r="F181" i="1"/>
  <c r="E181" i="1"/>
  <c r="D181" i="1"/>
  <c r="F180" i="1"/>
  <c r="E180" i="1"/>
  <c r="D180" i="1"/>
  <c r="F179" i="1"/>
  <c r="E179" i="1"/>
  <c r="D179" i="1"/>
  <c r="F178" i="1"/>
  <c r="E178" i="1"/>
  <c r="D178" i="1"/>
  <c r="F177" i="1"/>
  <c r="E177" i="1"/>
  <c r="D177" i="1"/>
  <c r="F176" i="1"/>
  <c r="E176" i="1"/>
  <c r="D176" i="1"/>
  <c r="F175" i="1"/>
  <c r="E175" i="1"/>
  <c r="D175" i="1"/>
  <c r="F174" i="1"/>
  <c r="E174" i="1"/>
  <c r="D174" i="1"/>
  <c r="F173" i="1"/>
  <c r="E173" i="1"/>
  <c r="D173" i="1"/>
  <c r="F172" i="1"/>
  <c r="E172" i="1"/>
  <c r="D172" i="1"/>
  <c r="F171" i="1"/>
  <c r="E171" i="1"/>
  <c r="D171" i="1"/>
  <c r="F170" i="1"/>
  <c r="E170" i="1"/>
  <c r="D170" i="1"/>
  <c r="F169" i="1"/>
  <c r="E169" i="1"/>
  <c r="D169" i="1"/>
  <c r="F168" i="1"/>
  <c r="E168" i="1"/>
  <c r="D168" i="1"/>
  <c r="F167" i="1"/>
  <c r="E167" i="1"/>
  <c r="D167" i="1"/>
  <c r="F166" i="1"/>
  <c r="E166" i="1"/>
  <c r="D166" i="1"/>
  <c r="F165" i="1"/>
  <c r="E165" i="1"/>
  <c r="D165" i="1"/>
  <c r="F164" i="1"/>
  <c r="E164" i="1"/>
  <c r="D164" i="1"/>
  <c r="F163" i="1"/>
  <c r="E163" i="1"/>
  <c r="D163" i="1"/>
  <c r="F162" i="1"/>
  <c r="E162" i="1"/>
  <c r="D162" i="1"/>
  <c r="F161" i="1"/>
  <c r="E161" i="1"/>
  <c r="D161" i="1"/>
  <c r="F160" i="1"/>
  <c r="E160" i="1"/>
  <c r="D160" i="1"/>
  <c r="F159" i="1"/>
  <c r="E159" i="1"/>
  <c r="D159" i="1"/>
  <c r="F158" i="1"/>
  <c r="E158" i="1"/>
  <c r="D158" i="1"/>
  <c r="F157" i="1"/>
  <c r="E157" i="1"/>
  <c r="D157" i="1"/>
  <c r="F156" i="1"/>
  <c r="E156" i="1"/>
  <c r="D156" i="1"/>
  <c r="F155" i="1"/>
  <c r="E155" i="1"/>
  <c r="D155" i="1"/>
  <c r="F154" i="1"/>
  <c r="E154" i="1"/>
  <c r="D154" i="1"/>
  <c r="F153" i="1"/>
  <c r="E153" i="1"/>
  <c r="D153" i="1"/>
  <c r="F152" i="1"/>
  <c r="E152" i="1"/>
  <c r="D152" i="1"/>
  <c r="F151" i="1"/>
  <c r="E151" i="1"/>
  <c r="D151" i="1"/>
  <c r="F150" i="1"/>
  <c r="E150" i="1"/>
  <c r="D150" i="1"/>
  <c r="F149" i="1"/>
  <c r="E149" i="1"/>
  <c r="D149" i="1"/>
  <c r="F148" i="1"/>
  <c r="E148" i="1"/>
  <c r="D148" i="1"/>
  <c r="F147" i="1"/>
  <c r="E147" i="1"/>
  <c r="D147" i="1"/>
  <c r="F146" i="1"/>
  <c r="E146" i="1"/>
  <c r="D146" i="1"/>
  <c r="F145" i="1"/>
  <c r="E145" i="1"/>
  <c r="D145" i="1"/>
  <c r="F144" i="1"/>
  <c r="E144" i="1"/>
  <c r="D144" i="1"/>
  <c r="F143" i="1"/>
  <c r="E143" i="1"/>
  <c r="D143" i="1"/>
  <c r="F142" i="1"/>
  <c r="E142" i="1"/>
  <c r="D142" i="1"/>
  <c r="F141" i="1"/>
  <c r="E141" i="1"/>
  <c r="D141" i="1"/>
  <c r="F140" i="1"/>
  <c r="E140" i="1"/>
  <c r="D140" i="1"/>
  <c r="F139" i="1"/>
  <c r="E139" i="1"/>
  <c r="D139" i="1"/>
  <c r="F138" i="1"/>
  <c r="E138" i="1"/>
  <c r="D138" i="1"/>
  <c r="F137" i="1"/>
  <c r="E137" i="1"/>
  <c r="D137" i="1"/>
  <c r="F136" i="1"/>
  <c r="E136" i="1"/>
  <c r="D136" i="1"/>
  <c r="F135" i="1"/>
  <c r="E135" i="1"/>
  <c r="D135" i="1"/>
  <c r="F134" i="1"/>
  <c r="E134" i="1"/>
  <c r="D134" i="1"/>
  <c r="F133" i="1"/>
  <c r="E133" i="1"/>
  <c r="D133" i="1"/>
  <c r="F132" i="1"/>
  <c r="E132" i="1"/>
  <c r="D132" i="1"/>
  <c r="F131" i="1"/>
  <c r="E131" i="1"/>
  <c r="D131" i="1"/>
  <c r="F130" i="1"/>
  <c r="E130" i="1"/>
  <c r="D130" i="1"/>
  <c r="F129" i="1"/>
  <c r="E129" i="1"/>
  <c r="D129" i="1"/>
  <c r="F128" i="1"/>
  <c r="E128" i="1"/>
  <c r="D128" i="1"/>
  <c r="F127" i="1"/>
  <c r="E127" i="1"/>
  <c r="D127" i="1"/>
  <c r="F126" i="1"/>
  <c r="E126" i="1"/>
  <c r="D126" i="1"/>
  <c r="F125" i="1"/>
  <c r="E125" i="1"/>
  <c r="D125" i="1"/>
  <c r="F124" i="1"/>
  <c r="E124" i="1"/>
  <c r="D124" i="1"/>
  <c r="F123" i="1"/>
  <c r="E123" i="1"/>
  <c r="D123" i="1"/>
  <c r="F122" i="1"/>
  <c r="E122" i="1"/>
  <c r="D122" i="1"/>
  <c r="F121" i="1"/>
  <c r="E121" i="1"/>
  <c r="D121" i="1"/>
  <c r="F120" i="1"/>
  <c r="E120" i="1"/>
  <c r="D120" i="1"/>
  <c r="F119" i="1"/>
  <c r="E119" i="1"/>
  <c r="D119" i="1"/>
  <c r="F118" i="1"/>
  <c r="E118" i="1"/>
  <c r="D118" i="1"/>
  <c r="F117" i="1"/>
  <c r="E117" i="1"/>
  <c r="D117" i="1"/>
  <c r="F116" i="1"/>
  <c r="E116" i="1"/>
  <c r="D116" i="1"/>
  <c r="F115" i="1"/>
  <c r="E115" i="1"/>
  <c r="D115" i="1"/>
  <c r="F114" i="1"/>
  <c r="E114" i="1"/>
  <c r="D114" i="1"/>
  <c r="F113" i="1"/>
  <c r="E113" i="1"/>
  <c r="D113" i="1"/>
  <c r="F112" i="1"/>
  <c r="E112" i="1"/>
  <c r="D112" i="1"/>
  <c r="F111" i="1"/>
  <c r="E111" i="1"/>
  <c r="D111" i="1"/>
  <c r="F110" i="1"/>
  <c r="E110" i="1"/>
  <c r="D110" i="1"/>
  <c r="F109" i="1"/>
  <c r="E109" i="1"/>
  <c r="D109" i="1"/>
  <c r="F108" i="1"/>
  <c r="E108" i="1"/>
  <c r="D108" i="1"/>
  <c r="F107" i="1"/>
  <c r="E107" i="1"/>
  <c r="D107" i="1"/>
  <c r="F106" i="1"/>
  <c r="E106" i="1"/>
  <c r="D106" i="1"/>
  <c r="F105" i="1"/>
  <c r="E105" i="1"/>
  <c r="D105" i="1"/>
  <c r="F104" i="1"/>
  <c r="E104" i="1"/>
  <c r="D104" i="1"/>
  <c r="F103" i="1"/>
  <c r="E103" i="1"/>
  <c r="D103" i="1"/>
  <c r="F102" i="1"/>
  <c r="E102" i="1"/>
  <c r="D102" i="1"/>
  <c r="F101" i="1"/>
  <c r="E101" i="1"/>
  <c r="D101" i="1"/>
  <c r="F100" i="1"/>
  <c r="E100" i="1"/>
  <c r="D100" i="1"/>
  <c r="F99" i="1"/>
  <c r="E99" i="1"/>
  <c r="D99" i="1"/>
  <c r="F98" i="1"/>
  <c r="E98" i="1"/>
  <c r="D98" i="1"/>
  <c r="F97" i="1"/>
  <c r="E97" i="1"/>
  <c r="D97" i="1"/>
  <c r="F96" i="1"/>
  <c r="E96" i="1"/>
  <c r="D96" i="1"/>
  <c r="F95" i="1"/>
  <c r="E95" i="1"/>
  <c r="D95" i="1"/>
  <c r="F94" i="1"/>
  <c r="E94" i="1"/>
  <c r="D94" i="1"/>
  <c r="F93" i="1"/>
  <c r="E93" i="1"/>
  <c r="D93" i="1"/>
  <c r="F92" i="1"/>
  <c r="E92" i="1"/>
  <c r="D92" i="1"/>
  <c r="F91" i="1"/>
  <c r="E91" i="1"/>
  <c r="D91" i="1"/>
  <c r="F90" i="1"/>
  <c r="E90" i="1"/>
  <c r="D90" i="1"/>
  <c r="F89" i="1"/>
  <c r="E89" i="1"/>
  <c r="D89" i="1"/>
  <c r="F88" i="1"/>
  <c r="E88" i="1"/>
  <c r="D88" i="1"/>
  <c r="F87" i="1"/>
  <c r="E87" i="1"/>
  <c r="D87" i="1"/>
  <c r="F86" i="1"/>
  <c r="E86" i="1"/>
  <c r="D86" i="1"/>
  <c r="F85" i="1"/>
  <c r="E85" i="1"/>
  <c r="D85" i="1"/>
  <c r="F84" i="1"/>
  <c r="E84" i="1"/>
  <c r="D84" i="1"/>
  <c r="F83" i="1"/>
  <c r="E83" i="1"/>
  <c r="D83" i="1"/>
  <c r="F82" i="1"/>
  <c r="E82" i="1"/>
  <c r="D82" i="1"/>
  <c r="F81" i="1"/>
  <c r="E81" i="1"/>
  <c r="D81" i="1"/>
  <c r="F80" i="1"/>
  <c r="E80" i="1"/>
  <c r="D80" i="1"/>
  <c r="F79" i="1"/>
  <c r="E79" i="1"/>
  <c r="D79" i="1"/>
  <c r="F78" i="1"/>
  <c r="E78" i="1"/>
  <c r="D78" i="1"/>
  <c r="F77" i="1"/>
  <c r="E77" i="1"/>
  <c r="D77" i="1"/>
  <c r="F76" i="1"/>
  <c r="E76" i="1"/>
  <c r="D76" i="1"/>
  <c r="F75" i="1"/>
  <c r="E75" i="1"/>
  <c r="D75" i="1"/>
  <c r="F74" i="1"/>
  <c r="E74" i="1"/>
  <c r="D74" i="1"/>
  <c r="F73" i="1"/>
  <c r="E73" i="1"/>
  <c r="D73" i="1"/>
  <c r="F72" i="1"/>
  <c r="E72" i="1"/>
  <c r="D72" i="1"/>
  <c r="F71" i="1"/>
  <c r="E71" i="1"/>
  <c r="D71" i="1"/>
  <c r="F70" i="1"/>
  <c r="E70" i="1"/>
  <c r="D70" i="1"/>
  <c r="F69" i="1"/>
  <c r="E69" i="1"/>
  <c r="D69" i="1"/>
  <c r="F68" i="1"/>
  <c r="E68" i="1"/>
  <c r="D68" i="1"/>
  <c r="F67" i="1"/>
  <c r="E67" i="1"/>
  <c r="D67" i="1"/>
  <c r="F66" i="1"/>
  <c r="E66" i="1"/>
  <c r="D66" i="1"/>
  <c r="F65" i="1"/>
  <c r="E65" i="1"/>
  <c r="D65" i="1"/>
  <c r="F64" i="1"/>
  <c r="E64" i="1"/>
  <c r="D64" i="1"/>
  <c r="F63" i="1"/>
  <c r="E63" i="1"/>
  <c r="D63" i="1"/>
  <c r="F62" i="1"/>
  <c r="E62" i="1"/>
  <c r="D62" i="1"/>
  <c r="F61" i="1"/>
  <c r="E61" i="1"/>
  <c r="D61" i="1"/>
  <c r="F60" i="1"/>
  <c r="E60" i="1"/>
  <c r="D60" i="1"/>
  <c r="F59" i="1"/>
  <c r="E59" i="1"/>
  <c r="D59" i="1"/>
  <c r="F58" i="1"/>
  <c r="E58" i="1"/>
  <c r="D58" i="1"/>
  <c r="F57" i="1"/>
  <c r="E57" i="1"/>
  <c r="D57" i="1"/>
  <c r="F56" i="1"/>
  <c r="E56" i="1"/>
  <c r="D56" i="1"/>
  <c r="F55" i="1"/>
  <c r="E55" i="1"/>
  <c r="D55" i="1"/>
  <c r="F54" i="1"/>
  <c r="E54" i="1"/>
  <c r="D54" i="1"/>
  <c r="F53" i="1"/>
  <c r="E53" i="1"/>
  <c r="D53" i="1"/>
  <c r="F52" i="1"/>
  <c r="E52" i="1"/>
  <c r="D52" i="1"/>
  <c r="F51" i="1"/>
  <c r="E51" i="1"/>
  <c r="D51" i="1"/>
  <c r="F50" i="1"/>
  <c r="E50" i="1"/>
  <c r="D50" i="1"/>
  <c r="F49" i="1"/>
  <c r="E49" i="1"/>
  <c r="D49" i="1"/>
  <c r="F48" i="1"/>
  <c r="E48" i="1"/>
  <c r="D48" i="1"/>
  <c r="F47" i="1"/>
  <c r="E47" i="1"/>
  <c r="D47" i="1"/>
  <c r="F46" i="1"/>
  <c r="E46" i="1"/>
  <c r="D46" i="1"/>
  <c r="F45" i="1"/>
  <c r="E45" i="1"/>
  <c r="D45" i="1"/>
  <c r="F44" i="1"/>
  <c r="E44" i="1"/>
  <c r="D44" i="1"/>
  <c r="F43" i="1"/>
  <c r="E43" i="1"/>
  <c r="D43" i="1"/>
  <c r="F42" i="1"/>
  <c r="E42" i="1"/>
  <c r="D42" i="1"/>
  <c r="F41" i="1"/>
  <c r="E41" i="1"/>
  <c r="D41" i="1"/>
  <c r="F40" i="1"/>
  <c r="E40" i="1"/>
  <c r="D40" i="1"/>
  <c r="F39" i="1"/>
  <c r="E39" i="1"/>
  <c r="D39" i="1"/>
  <c r="F38" i="1"/>
  <c r="E38" i="1"/>
  <c r="D38" i="1"/>
  <c r="F37" i="1"/>
  <c r="E37" i="1"/>
  <c r="D37" i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D32" i="1"/>
  <c r="F31" i="1"/>
  <c r="E31" i="1"/>
  <c r="D31" i="1"/>
  <c r="F30" i="1"/>
  <c r="E30" i="1"/>
  <c r="D30" i="1"/>
  <c r="F29" i="1"/>
  <c r="E29" i="1"/>
  <c r="D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E19" i="1"/>
  <c r="D19" i="1"/>
  <c r="F18" i="1"/>
  <c r="E18" i="1"/>
  <c r="D18" i="1"/>
  <c r="F17" i="1"/>
  <c r="E17" i="1"/>
  <c r="D17" i="1"/>
  <c r="F16" i="1"/>
  <c r="E16" i="1"/>
  <c r="D16" i="1"/>
  <c r="F15" i="1"/>
  <c r="E15" i="1"/>
  <c r="D15" i="1"/>
  <c r="F14" i="1"/>
  <c r="E14" i="1"/>
  <c r="D14" i="1"/>
  <c r="F13" i="1"/>
  <c r="E13" i="1"/>
  <c r="D13" i="1"/>
  <c r="F12" i="1"/>
  <c r="E12" i="1"/>
  <c r="D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7" i="1"/>
  <c r="D7" i="1"/>
  <c r="F6" i="1"/>
  <c r="E6" i="1"/>
  <c r="D6" i="1"/>
  <c r="F5" i="1"/>
  <c r="E5" i="1"/>
  <c r="D5" i="1"/>
  <c r="F4" i="1"/>
  <c r="E4" i="1"/>
  <c r="D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64" i="3"/>
  <c r="A62" i="3"/>
  <c r="A61" i="3"/>
  <c r="A60" i="3"/>
  <c r="G60" i="3" s="1" a="1"/>
  <c r="G60" i="3" s="1"/>
  <c r="A58" i="3"/>
  <c r="A57" i="3"/>
  <c r="A56" i="3"/>
  <c r="A54" i="3"/>
  <c r="A53" i="3"/>
  <c r="A52" i="3"/>
  <c r="A50" i="3"/>
  <c r="A49" i="3"/>
  <c r="A48" i="3"/>
  <c r="A46" i="3"/>
  <c r="A45" i="3"/>
  <c r="A44" i="3"/>
  <c r="A42" i="3"/>
  <c r="A41" i="3"/>
  <c r="A40" i="3"/>
  <c r="A38" i="3"/>
  <c r="K38" i="3" s="1" a="1"/>
  <c r="K38" i="3" s="1"/>
  <c r="A37" i="3"/>
  <c r="A36" i="3"/>
  <c r="A32" i="3"/>
  <c r="A30" i="3"/>
  <c r="A29" i="3"/>
  <c r="A28" i="3"/>
  <c r="A26" i="3"/>
  <c r="A25" i="3"/>
  <c r="A24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126" i="3"/>
  <c r="A124" i="3"/>
  <c r="A123" i="3"/>
  <c r="A122" i="3"/>
  <c r="A120" i="3"/>
  <c r="A119" i="3"/>
  <c r="A118" i="3"/>
  <c r="A116" i="3"/>
  <c r="A115" i="3"/>
  <c r="A114" i="3"/>
  <c r="A112" i="3"/>
  <c r="A111" i="3"/>
  <c r="A110" i="3"/>
  <c r="A108" i="3"/>
  <c r="A107" i="3"/>
  <c r="A106" i="3"/>
  <c r="A104" i="3"/>
  <c r="A103" i="3"/>
  <c r="A102" i="3"/>
  <c r="A100" i="3"/>
  <c r="A99" i="3"/>
  <c r="A98" i="3"/>
  <c r="A96" i="3"/>
  <c r="A95" i="3"/>
  <c r="A94" i="3"/>
  <c r="A92" i="3"/>
  <c r="A91" i="3"/>
  <c r="A90" i="3"/>
  <c r="A88" i="3"/>
  <c r="A87" i="3"/>
  <c r="A86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D34" i="3" l="1" a="1"/>
  <c r="D34" i="3" s="1"/>
  <c r="AM73" i="3" a="1"/>
  <c r="AM73" i="3" s="1"/>
  <c r="K10" i="3" a="1"/>
  <c r="K10" i="3" s="1"/>
  <c r="C33" i="3" a="1"/>
  <c r="C33" i="3" s="1"/>
  <c r="AO77" i="3" a="1"/>
  <c r="AO77" i="3" s="1"/>
  <c r="G6" i="3" a="1"/>
  <c r="G6" i="3" s="1"/>
  <c r="C18" i="3" a="1"/>
  <c r="C18" i="3" s="1"/>
  <c r="AI96" i="3" a="1"/>
  <c r="AI96" i="3" s="1"/>
  <c r="G22" i="3" a="1"/>
  <c r="G22" i="3" s="1"/>
  <c r="AK74" i="3" a="1"/>
  <c r="AK74" i="3" s="1"/>
  <c r="AO82" i="3" a="1"/>
  <c r="AO82" i="3" s="1"/>
  <c r="AP92" i="3" a="1"/>
  <c r="AP92" i="3" s="1"/>
  <c r="N11" i="3" a="1"/>
  <c r="N11" i="3" s="1"/>
  <c r="P19" i="3" a="1"/>
  <c r="P19" i="3" s="1"/>
  <c r="L29" i="3" a="1"/>
  <c r="L29" i="3" s="1"/>
  <c r="O40" i="3" a="1"/>
  <c r="O40" i="3" s="1"/>
  <c r="R45" i="3" a="1"/>
  <c r="R45" i="3" s="1"/>
  <c r="S50" i="3" a="1"/>
  <c r="S50" i="3" s="1"/>
  <c r="T56" i="3" a="1"/>
  <c r="T56" i="3" s="1"/>
  <c r="AJ78" i="3" a="1"/>
  <c r="AJ78" i="3" s="1"/>
  <c r="AP87" i="3" a="1"/>
  <c r="AP87" i="3" s="1"/>
  <c r="M7" i="3" a="1"/>
  <c r="M7" i="3" s="1"/>
  <c r="K15" i="3" a="1"/>
  <c r="K15" i="3" s="1"/>
  <c r="S24" i="3" a="1"/>
  <c r="S24" i="3" s="1"/>
  <c r="AN67" i="3" a="1"/>
  <c r="AN67" i="3" s="1"/>
  <c r="AN71" i="3" a="1"/>
  <c r="AN71" i="3" s="1"/>
  <c r="J75" i="3" a="1"/>
  <c r="J75" i="3" s="1"/>
  <c r="AO79" i="3" a="1"/>
  <c r="AO79" i="3" s="1"/>
  <c r="AJ83" i="3" a="1"/>
  <c r="AJ83" i="3" s="1"/>
  <c r="AP88" i="3" a="1"/>
  <c r="AP88" i="3" s="1"/>
  <c r="W110" i="3" a="1"/>
  <c r="W110" i="3" s="1"/>
  <c r="S8" i="3" a="1"/>
  <c r="S8" i="3" s="1"/>
  <c r="S12" i="3" a="1"/>
  <c r="S12" i="3" s="1"/>
  <c r="G25" i="3" a="1"/>
  <c r="G25" i="3" s="1"/>
  <c r="C57" i="3" a="1"/>
  <c r="C57" i="3" s="1"/>
  <c r="I62" i="3" a="1"/>
  <c r="I62" i="3" s="1"/>
  <c r="W70" i="3" a="1"/>
  <c r="W70" i="3" s="1"/>
  <c r="AK76" i="3" a="1"/>
  <c r="AK76" i="3" s="1"/>
  <c r="AO80" i="3" a="1"/>
  <c r="AO80" i="3" s="1"/>
  <c r="AP84" i="3" a="1"/>
  <c r="AP84" i="3" s="1"/>
  <c r="AP90" i="3" a="1"/>
  <c r="AP90" i="3" s="1"/>
  <c r="AK95" i="3" a="1"/>
  <c r="AK95" i="3" s="1"/>
  <c r="AE100" i="3" a="1"/>
  <c r="AE100" i="3" s="1"/>
  <c r="AE106" i="3" a="1"/>
  <c r="AE106" i="3" s="1"/>
  <c r="Y111" i="3" a="1"/>
  <c r="Y111" i="3" s="1"/>
  <c r="U116" i="3" a="1"/>
  <c r="U116" i="3" s="1"/>
  <c r="S5" i="3" a="1"/>
  <c r="S5" i="3" s="1"/>
  <c r="F9" i="3" a="1"/>
  <c r="F9" i="3" s="1"/>
  <c r="C13" i="3" a="1"/>
  <c r="C13" i="3" s="1"/>
  <c r="N17" i="3" a="1"/>
  <c r="N17" i="3" s="1"/>
  <c r="F21" i="3" a="1"/>
  <c r="F21" i="3" s="1"/>
  <c r="K26" i="3" a="1"/>
  <c r="K26" i="3" s="1"/>
  <c r="C32" i="3" a="1"/>
  <c r="C32" i="3" s="1"/>
  <c r="C42" i="3" a="1"/>
  <c r="C42" i="3" s="1"/>
  <c r="G53" i="3" a="1"/>
  <c r="G53" i="3" s="1"/>
  <c r="F64" i="3" a="1"/>
  <c r="F64" i="3" s="1"/>
  <c r="AI101" i="3" a="1"/>
  <c r="AI101" i="3" s="1"/>
  <c r="AI109" i="3" a="1"/>
  <c r="AI109" i="3" s="1"/>
  <c r="AA106" i="3" a="1"/>
  <c r="AA106" i="3" s="1"/>
  <c r="AA102" i="3" a="1"/>
  <c r="AA102" i="3" s="1"/>
  <c r="AA100" i="3" a="1"/>
  <c r="AA100" i="3" s="1"/>
  <c r="AC107" i="3" a="1"/>
  <c r="AC107" i="3" s="1"/>
  <c r="AI105" i="3" a="1"/>
  <c r="AI105" i="3" s="1"/>
  <c r="O111" i="3" a="1"/>
  <c r="O111" i="3" s="1"/>
  <c r="C107" i="3" a="1"/>
  <c r="C107" i="3" s="1"/>
  <c r="S105" i="3" a="1"/>
  <c r="S105" i="3" s="1"/>
  <c r="K100" i="3" a="1"/>
  <c r="K100" i="3" s="1"/>
  <c r="J53" i="3" a="1"/>
  <c r="J53" i="3" s="1"/>
  <c r="C48" i="3" a="1"/>
  <c r="C48" i="3" s="1"/>
  <c r="C105" i="3" a="1"/>
  <c r="C105" i="3" s="1"/>
  <c r="S101" i="3" a="1"/>
  <c r="S101" i="3" s="1"/>
  <c r="V32" i="3" a="1"/>
  <c r="V32" i="3" s="1"/>
  <c r="G37" i="3" a="1"/>
  <c r="G37" i="3" s="1"/>
  <c r="C43" i="3" a="1"/>
  <c r="C43" i="3" s="1"/>
  <c r="M113" i="3" a="1"/>
  <c r="M113" i="3" s="1"/>
  <c r="E109" i="3" a="1"/>
  <c r="E109" i="3" s="1"/>
  <c r="K106" i="3" a="1"/>
  <c r="K106" i="3" s="1"/>
  <c r="C101" i="3" a="1"/>
  <c r="C101" i="3" s="1"/>
  <c r="S44" i="3" a="1"/>
  <c r="S44" i="3" s="1"/>
  <c r="C59" i="3" a="1"/>
  <c r="C59" i="3" s="1"/>
  <c r="O112" i="3" a="1"/>
  <c r="O112" i="3" s="1"/>
  <c r="K102" i="3" a="1"/>
  <c r="K102" i="3" s="1"/>
  <c r="K54" i="3" a="1"/>
  <c r="K54" i="3" s="1"/>
  <c r="C49" i="3" a="1"/>
  <c r="C49" i="3" s="1"/>
  <c r="J60" i="3" a="1"/>
  <c r="J60" i="3" s="1"/>
  <c r="R38" i="3" a="1"/>
  <c r="R38" i="3" s="1"/>
  <c r="C23" i="3" a="1"/>
  <c r="C23" i="3" s="1"/>
  <c r="G31" i="3" a="1"/>
  <c r="G31" i="3" s="1"/>
  <c r="D60" i="3" a="1"/>
  <c r="D60" i="3" s="1"/>
  <c r="H38" i="3" a="1"/>
  <c r="H38" i="3" s="1"/>
  <c r="X93" i="3" a="1"/>
  <c r="X93" i="3" s="1"/>
  <c r="AF93" i="3" a="1"/>
  <c r="AF93" i="3" s="1"/>
  <c r="AM93" i="3" a="1"/>
  <c r="AM93" i="3" s="1"/>
  <c r="AE101" i="3" a="1"/>
  <c r="AE101" i="3" s="1"/>
  <c r="AA109" i="3" a="1"/>
  <c r="AA109" i="3" s="1"/>
  <c r="AA97" i="3" a="1"/>
  <c r="AA97" i="3" s="1"/>
  <c r="C97" i="3" a="1"/>
  <c r="C97" i="3" s="1"/>
  <c r="AI97" i="3" a="1"/>
  <c r="AI97" i="3" s="1"/>
  <c r="K97" i="3" a="1"/>
  <c r="K97" i="3" s="1"/>
  <c r="S97" i="3" a="1"/>
  <c r="S97" i="3" s="1"/>
  <c r="K96" i="3" a="1"/>
  <c r="K96" i="3" s="1"/>
  <c r="S96" i="3" a="1"/>
  <c r="S96" i="3" s="1"/>
  <c r="AA96" i="3" a="1"/>
  <c r="AA96" i="3" s="1"/>
  <c r="C96" i="3" a="1"/>
  <c r="C96" i="3" s="1"/>
  <c r="S95" i="3" a="1"/>
  <c r="S95" i="3" s="1"/>
  <c r="AA95" i="3" a="1"/>
  <c r="AA95" i="3" s="1"/>
  <c r="C95" i="3" a="1"/>
  <c r="C95" i="3" s="1"/>
  <c r="AI95" i="3" a="1"/>
  <c r="AI95" i="3" s="1"/>
  <c r="K95" i="3" a="1"/>
  <c r="K95" i="3" s="1"/>
  <c r="E93" i="3" a="1"/>
  <c r="E93" i="3" s="1"/>
  <c r="U93" i="3" a="1"/>
  <c r="U93" i="3" s="1"/>
  <c r="AK93" i="3" a="1"/>
  <c r="AK93" i="3" s="1"/>
  <c r="K93" i="3" a="1"/>
  <c r="K93" i="3" s="1"/>
  <c r="AA93" i="3" a="1"/>
  <c r="AA93" i="3" s="1"/>
  <c r="AN93" i="3" a="1"/>
  <c r="AN93" i="3" s="1"/>
  <c r="M93" i="3" a="1"/>
  <c r="M93" i="3" s="1"/>
  <c r="AC93" i="3" a="1"/>
  <c r="AC93" i="3" s="1"/>
  <c r="C93" i="3" a="1"/>
  <c r="C93" i="3" s="1"/>
  <c r="S93" i="3" a="1"/>
  <c r="S93" i="3" s="1"/>
  <c r="AI93" i="3" a="1"/>
  <c r="AI93" i="3" s="1"/>
  <c r="AP98" i="3" a="1"/>
  <c r="AP98" i="3" s="1"/>
  <c r="AL98" i="3" a="1"/>
  <c r="AL98" i="3" s="1"/>
  <c r="AH98" i="3" a="1"/>
  <c r="AH98" i="3" s="1"/>
  <c r="AD98" i="3" a="1"/>
  <c r="AD98" i="3" s="1"/>
  <c r="Z98" i="3" a="1"/>
  <c r="Z98" i="3" s="1"/>
  <c r="V98" i="3" a="1"/>
  <c r="V98" i="3" s="1"/>
  <c r="R98" i="3" a="1"/>
  <c r="R98" i="3" s="1"/>
  <c r="N98" i="3" a="1"/>
  <c r="N98" i="3" s="1"/>
  <c r="J98" i="3" a="1"/>
  <c r="J98" i="3" s="1"/>
  <c r="F98" i="3" a="1"/>
  <c r="F98" i="3" s="1"/>
  <c r="AN98" i="3" a="1"/>
  <c r="AN98" i="3" s="1"/>
  <c r="AJ98" i="3" a="1"/>
  <c r="AJ98" i="3" s="1"/>
  <c r="AF98" i="3" a="1"/>
  <c r="AF98" i="3" s="1"/>
  <c r="AB98" i="3" a="1"/>
  <c r="AB98" i="3" s="1"/>
  <c r="X98" i="3" a="1"/>
  <c r="X98" i="3" s="1"/>
  <c r="T98" i="3" a="1"/>
  <c r="T98" i="3" s="1"/>
  <c r="P98" i="3" a="1"/>
  <c r="P98" i="3" s="1"/>
  <c r="L98" i="3" a="1"/>
  <c r="L98" i="3" s="1"/>
  <c r="H98" i="3" a="1"/>
  <c r="H98" i="3" s="1"/>
  <c r="D98" i="3" a="1"/>
  <c r="D98" i="3" s="1"/>
  <c r="AM98" i="3" a="1"/>
  <c r="AM98" i="3" s="1"/>
  <c r="AE98" i="3" a="1"/>
  <c r="AE98" i="3" s="1"/>
  <c r="W98" i="3" a="1"/>
  <c r="W98" i="3" s="1"/>
  <c r="O98" i="3" a="1"/>
  <c r="O98" i="3" s="1"/>
  <c r="G98" i="3" a="1"/>
  <c r="G98" i="3" s="1"/>
  <c r="AK98" i="3" a="1"/>
  <c r="AK98" i="3" s="1"/>
  <c r="AC98" i="3" a="1"/>
  <c r="AC98" i="3" s="1"/>
  <c r="U98" i="3" a="1"/>
  <c r="U98" i="3" s="1"/>
  <c r="M98" i="3" a="1"/>
  <c r="M98" i="3" s="1"/>
  <c r="E98" i="3" a="1"/>
  <c r="E98" i="3" s="1"/>
  <c r="AO98" i="3" a="1"/>
  <c r="AO98" i="3" s="1"/>
  <c r="AG98" i="3" a="1"/>
  <c r="AG98" i="3" s="1"/>
  <c r="Y98" i="3" a="1"/>
  <c r="Y98" i="3" s="1"/>
  <c r="Q98" i="3" a="1"/>
  <c r="Q98" i="3" s="1"/>
  <c r="I98" i="3" a="1"/>
  <c r="I98" i="3" s="1"/>
  <c r="AP103" i="3" a="1"/>
  <c r="AP103" i="3" s="1"/>
  <c r="AL103" i="3" a="1"/>
  <c r="AL103" i="3" s="1"/>
  <c r="AH103" i="3" a="1"/>
  <c r="AH103" i="3" s="1"/>
  <c r="AD103" i="3" a="1"/>
  <c r="AD103" i="3" s="1"/>
  <c r="Z103" i="3" a="1"/>
  <c r="Z103" i="3" s="1"/>
  <c r="V103" i="3" a="1"/>
  <c r="V103" i="3" s="1"/>
  <c r="R103" i="3" a="1"/>
  <c r="R103" i="3" s="1"/>
  <c r="N103" i="3" a="1"/>
  <c r="N103" i="3" s="1"/>
  <c r="J103" i="3" a="1"/>
  <c r="J103" i="3" s="1"/>
  <c r="F103" i="3" a="1"/>
  <c r="F103" i="3" s="1"/>
  <c r="AO103" i="3" a="1"/>
  <c r="AO103" i="3" s="1"/>
  <c r="AK103" i="3" a="1"/>
  <c r="AK103" i="3" s="1"/>
  <c r="AG103" i="3" a="1"/>
  <c r="AG103" i="3" s="1"/>
  <c r="AC103" i="3" a="1"/>
  <c r="AC103" i="3" s="1"/>
  <c r="Y103" i="3" a="1"/>
  <c r="Y103" i="3" s="1"/>
  <c r="U103" i="3" a="1"/>
  <c r="U103" i="3" s="1"/>
  <c r="Q103" i="3" a="1"/>
  <c r="Q103" i="3" s="1"/>
  <c r="M103" i="3" a="1"/>
  <c r="M103" i="3" s="1"/>
  <c r="I103" i="3" a="1"/>
  <c r="I103" i="3" s="1"/>
  <c r="E103" i="3" a="1"/>
  <c r="E103" i="3" s="1"/>
  <c r="AN103" i="3" a="1"/>
  <c r="AN103" i="3" s="1"/>
  <c r="AJ103" i="3" a="1"/>
  <c r="AJ103" i="3" s="1"/>
  <c r="AF103" i="3" a="1"/>
  <c r="AF103" i="3" s="1"/>
  <c r="AB103" i="3" a="1"/>
  <c r="AB103" i="3" s="1"/>
  <c r="X103" i="3" a="1"/>
  <c r="X103" i="3" s="1"/>
  <c r="T103" i="3" a="1"/>
  <c r="T103" i="3" s="1"/>
  <c r="P103" i="3" a="1"/>
  <c r="P103" i="3" s="1"/>
  <c r="L103" i="3" a="1"/>
  <c r="L103" i="3" s="1"/>
  <c r="H103" i="3" a="1"/>
  <c r="H103" i="3" s="1"/>
  <c r="D103" i="3" a="1"/>
  <c r="D103" i="3" s="1"/>
  <c r="AA103" i="3" a="1"/>
  <c r="AA103" i="3" s="1"/>
  <c r="K103" i="3" a="1"/>
  <c r="K103" i="3" s="1"/>
  <c r="AM103" i="3" a="1"/>
  <c r="AM103" i="3" s="1"/>
  <c r="W103" i="3" a="1"/>
  <c r="W103" i="3" s="1"/>
  <c r="G103" i="3" a="1"/>
  <c r="G103" i="3" s="1"/>
  <c r="AE103" i="3" a="1"/>
  <c r="AE103" i="3" s="1"/>
  <c r="O103" i="3" a="1"/>
  <c r="O103" i="3" s="1"/>
  <c r="AP108" i="3" a="1"/>
  <c r="AP108" i="3" s="1"/>
  <c r="AL108" i="3" a="1"/>
  <c r="AL108" i="3" s="1"/>
  <c r="AH108" i="3" a="1"/>
  <c r="AH108" i="3" s="1"/>
  <c r="AD108" i="3" a="1"/>
  <c r="AD108" i="3" s="1"/>
  <c r="Z108" i="3" a="1"/>
  <c r="Z108" i="3" s="1"/>
  <c r="V108" i="3" a="1"/>
  <c r="V108" i="3" s="1"/>
  <c r="R108" i="3" a="1"/>
  <c r="R108" i="3" s="1"/>
  <c r="N108" i="3" a="1"/>
  <c r="N108" i="3" s="1"/>
  <c r="J108" i="3" a="1"/>
  <c r="J108" i="3" s="1"/>
  <c r="F108" i="3" a="1"/>
  <c r="F108" i="3" s="1"/>
  <c r="AO108" i="3" a="1"/>
  <c r="AO108" i="3" s="1"/>
  <c r="AJ108" i="3" a="1"/>
  <c r="AJ108" i="3" s="1"/>
  <c r="AE108" i="3" a="1"/>
  <c r="AE108" i="3" s="1"/>
  <c r="Y108" i="3" a="1"/>
  <c r="Y108" i="3" s="1"/>
  <c r="T108" i="3" a="1"/>
  <c r="T108" i="3" s="1"/>
  <c r="O108" i="3" a="1"/>
  <c r="O108" i="3" s="1"/>
  <c r="I108" i="3" a="1"/>
  <c r="I108" i="3" s="1"/>
  <c r="D108" i="3" a="1"/>
  <c r="D108" i="3" s="1"/>
  <c r="AK108" i="3" a="1"/>
  <c r="AK108" i="3" s="1"/>
  <c r="AC108" i="3" a="1"/>
  <c r="AC108" i="3" s="1"/>
  <c r="W108" i="3" a="1"/>
  <c r="W108" i="3" s="1"/>
  <c r="P108" i="3" a="1"/>
  <c r="P108" i="3" s="1"/>
  <c r="H108" i="3" a="1"/>
  <c r="H108" i="3" s="1"/>
  <c r="AI108" i="3" a="1"/>
  <c r="AI108" i="3" s="1"/>
  <c r="AB108" i="3" a="1"/>
  <c r="AB108" i="3" s="1"/>
  <c r="U108" i="3" a="1"/>
  <c r="U108" i="3" s="1"/>
  <c r="M108" i="3" a="1"/>
  <c r="M108" i="3" s="1"/>
  <c r="G108" i="3" a="1"/>
  <c r="G108" i="3" s="1"/>
  <c r="AN108" i="3" a="1"/>
  <c r="AN108" i="3" s="1"/>
  <c r="AG108" i="3" a="1"/>
  <c r="AG108" i="3" s="1"/>
  <c r="AA108" i="3" a="1"/>
  <c r="AA108" i="3" s="1"/>
  <c r="S108" i="3" a="1"/>
  <c r="S108" i="3" s="1"/>
  <c r="L108" i="3" a="1"/>
  <c r="L108" i="3" s="1"/>
  <c r="E108" i="3" a="1"/>
  <c r="E108" i="3" s="1"/>
  <c r="AF108" i="3" a="1"/>
  <c r="AF108" i="3" s="1"/>
  <c r="C108" i="3" a="1"/>
  <c r="C108" i="3" s="1"/>
  <c r="X108" i="3" a="1"/>
  <c r="X108" i="3" s="1"/>
  <c r="AM108" i="3" a="1"/>
  <c r="AM108" i="3" s="1"/>
  <c r="K108" i="3" a="1"/>
  <c r="K108" i="3" s="1"/>
  <c r="AP114" i="3" a="1"/>
  <c r="AP114" i="3" s="1"/>
  <c r="AL114" i="3" a="1"/>
  <c r="AL114" i="3" s="1"/>
  <c r="AH114" i="3" a="1"/>
  <c r="AH114" i="3" s="1"/>
  <c r="AD114" i="3" a="1"/>
  <c r="AD114" i="3" s="1"/>
  <c r="Z114" i="3" a="1"/>
  <c r="Z114" i="3" s="1"/>
  <c r="V114" i="3" a="1"/>
  <c r="V114" i="3" s="1"/>
  <c r="R114" i="3" a="1"/>
  <c r="R114" i="3" s="1"/>
  <c r="N114" i="3" a="1"/>
  <c r="N114" i="3" s="1"/>
  <c r="J114" i="3" a="1"/>
  <c r="J114" i="3" s="1"/>
  <c r="F114" i="3" a="1"/>
  <c r="F114" i="3" s="1"/>
  <c r="AN114" i="3" a="1"/>
  <c r="AN114" i="3" s="1"/>
  <c r="AI114" i="3" a="1"/>
  <c r="AI114" i="3" s="1"/>
  <c r="AC114" i="3" a="1"/>
  <c r="AC114" i="3" s="1"/>
  <c r="X114" i="3" a="1"/>
  <c r="X114" i="3" s="1"/>
  <c r="S114" i="3" a="1"/>
  <c r="S114" i="3" s="1"/>
  <c r="M114" i="3" a="1"/>
  <c r="M114" i="3" s="1"/>
  <c r="H114" i="3" a="1"/>
  <c r="H114" i="3" s="1"/>
  <c r="C114" i="3" a="1"/>
  <c r="C114" i="3" s="1"/>
  <c r="AO114" i="3" a="1"/>
  <c r="AO114" i="3" s="1"/>
  <c r="AG114" i="3" a="1"/>
  <c r="AG114" i="3" s="1"/>
  <c r="AA114" i="3" a="1"/>
  <c r="AA114" i="3" s="1"/>
  <c r="T114" i="3" a="1"/>
  <c r="T114" i="3" s="1"/>
  <c r="L114" i="3" a="1"/>
  <c r="L114" i="3" s="1"/>
  <c r="E114" i="3" a="1"/>
  <c r="E114" i="3" s="1"/>
  <c r="AM114" i="3" a="1"/>
  <c r="AM114" i="3" s="1"/>
  <c r="AF114" i="3" a="1"/>
  <c r="AF114" i="3" s="1"/>
  <c r="Y114" i="3" a="1"/>
  <c r="Y114" i="3" s="1"/>
  <c r="Q114" i="3" a="1"/>
  <c r="Q114" i="3" s="1"/>
  <c r="K114" i="3" a="1"/>
  <c r="K114" i="3" s="1"/>
  <c r="D114" i="3" a="1"/>
  <c r="D114" i="3" s="1"/>
  <c r="AB114" i="3" a="1"/>
  <c r="AB114" i="3" s="1"/>
  <c r="O114" i="3" a="1"/>
  <c r="O114" i="3" s="1"/>
  <c r="AK114" i="3" a="1"/>
  <c r="AK114" i="3" s="1"/>
  <c r="W114" i="3" a="1"/>
  <c r="W114" i="3" s="1"/>
  <c r="I114" i="3" a="1"/>
  <c r="I114" i="3" s="1"/>
  <c r="AJ114" i="3" a="1"/>
  <c r="AJ114" i="3" s="1"/>
  <c r="U114" i="3" a="1"/>
  <c r="U114" i="3" s="1"/>
  <c r="G114" i="3" a="1"/>
  <c r="G114" i="3" s="1"/>
  <c r="AE114" i="3" a="1"/>
  <c r="AE114" i="3" s="1"/>
  <c r="P114" i="3" a="1"/>
  <c r="P114" i="3" s="1"/>
  <c r="AP119" i="3" a="1"/>
  <c r="AP119" i="3" s="1"/>
  <c r="AL119" i="3" a="1"/>
  <c r="AL119" i="3" s="1"/>
  <c r="AH119" i="3" a="1"/>
  <c r="AH119" i="3" s="1"/>
  <c r="AD119" i="3" a="1"/>
  <c r="AD119" i="3" s="1"/>
  <c r="Z119" i="3" a="1"/>
  <c r="Z119" i="3" s="1"/>
  <c r="V119" i="3" a="1"/>
  <c r="V119" i="3" s="1"/>
  <c r="R119" i="3" a="1"/>
  <c r="R119" i="3" s="1"/>
  <c r="N119" i="3" a="1"/>
  <c r="N119" i="3" s="1"/>
  <c r="J119" i="3" a="1"/>
  <c r="J119" i="3" s="1"/>
  <c r="F119" i="3" a="1"/>
  <c r="F119" i="3" s="1"/>
  <c r="AN119" i="3" a="1"/>
  <c r="AN119" i="3" s="1"/>
  <c r="AI119" i="3" a="1"/>
  <c r="AI119" i="3" s="1"/>
  <c r="AC119" i="3" a="1"/>
  <c r="AC119" i="3" s="1"/>
  <c r="X119" i="3" a="1"/>
  <c r="X119" i="3" s="1"/>
  <c r="S119" i="3" a="1"/>
  <c r="S119" i="3" s="1"/>
  <c r="M119" i="3" a="1"/>
  <c r="M119" i="3" s="1"/>
  <c r="H119" i="3" a="1"/>
  <c r="H119" i="3" s="1"/>
  <c r="C119" i="3" a="1"/>
  <c r="C119" i="3" s="1"/>
  <c r="AM119" i="3" a="1"/>
  <c r="AM119" i="3" s="1"/>
  <c r="AG119" i="3" a="1"/>
  <c r="AG119" i="3" s="1"/>
  <c r="AB119" i="3" a="1"/>
  <c r="AB119" i="3" s="1"/>
  <c r="W119" i="3" a="1"/>
  <c r="W119" i="3" s="1"/>
  <c r="Q119" i="3" a="1"/>
  <c r="Q119" i="3" s="1"/>
  <c r="L119" i="3" a="1"/>
  <c r="L119" i="3" s="1"/>
  <c r="G119" i="3" a="1"/>
  <c r="G119" i="3" s="1"/>
  <c r="AF119" i="3" a="1"/>
  <c r="AF119" i="3" s="1"/>
  <c r="U119" i="3" a="1"/>
  <c r="U119" i="3" s="1"/>
  <c r="K119" i="3" a="1"/>
  <c r="K119" i="3" s="1"/>
  <c r="AO119" i="3" a="1"/>
  <c r="AO119" i="3" s="1"/>
  <c r="AE119" i="3" a="1"/>
  <c r="AE119" i="3" s="1"/>
  <c r="T119" i="3" a="1"/>
  <c r="T119" i="3" s="1"/>
  <c r="I119" i="3" a="1"/>
  <c r="I119" i="3" s="1"/>
  <c r="AJ119" i="3" a="1"/>
  <c r="AJ119" i="3" s="1"/>
  <c r="O119" i="3" a="1"/>
  <c r="O119" i="3" s="1"/>
  <c r="AA119" i="3" a="1"/>
  <c r="AA119" i="3" s="1"/>
  <c r="E119" i="3" a="1"/>
  <c r="E119" i="3" s="1"/>
  <c r="Y119" i="3" a="1"/>
  <c r="Y119" i="3" s="1"/>
  <c r="D119" i="3" a="1"/>
  <c r="D119" i="3" s="1"/>
  <c r="AK119" i="3" a="1"/>
  <c r="AK119" i="3" s="1"/>
  <c r="P119" i="3" a="1"/>
  <c r="P119" i="3" s="1"/>
  <c r="AP124" i="3" a="1"/>
  <c r="AP124" i="3" s="1"/>
  <c r="AL124" i="3" a="1"/>
  <c r="AL124" i="3" s="1"/>
  <c r="AH124" i="3" a="1"/>
  <c r="AH124" i="3" s="1"/>
  <c r="AD124" i="3" a="1"/>
  <c r="AD124" i="3" s="1"/>
  <c r="Z124" i="3" a="1"/>
  <c r="Z124" i="3" s="1"/>
  <c r="V124" i="3" a="1"/>
  <c r="V124" i="3" s="1"/>
  <c r="R124" i="3" a="1"/>
  <c r="R124" i="3" s="1"/>
  <c r="N124" i="3" a="1"/>
  <c r="N124" i="3" s="1"/>
  <c r="J124" i="3" a="1"/>
  <c r="J124" i="3" s="1"/>
  <c r="F124" i="3" a="1"/>
  <c r="F124" i="3" s="1"/>
  <c r="AO124" i="3" a="1"/>
  <c r="AO124" i="3" s="1"/>
  <c r="AK124" i="3" a="1"/>
  <c r="AK124" i="3" s="1"/>
  <c r="AM124" i="3" a="1"/>
  <c r="AM124" i="3" s="1"/>
  <c r="AF124" i="3" a="1"/>
  <c r="AF124" i="3" s="1"/>
  <c r="AA124" i="3" a="1"/>
  <c r="AA124" i="3" s="1"/>
  <c r="U124" i="3" a="1"/>
  <c r="U124" i="3" s="1"/>
  <c r="P124" i="3" a="1"/>
  <c r="P124" i="3" s="1"/>
  <c r="K124" i="3" a="1"/>
  <c r="K124" i="3" s="1"/>
  <c r="E124" i="3" a="1"/>
  <c r="E124" i="3" s="1"/>
  <c r="AJ124" i="3" a="1"/>
  <c r="AJ124" i="3" s="1"/>
  <c r="AE124" i="3" a="1"/>
  <c r="AE124" i="3" s="1"/>
  <c r="Y124" i="3" a="1"/>
  <c r="Y124" i="3" s="1"/>
  <c r="T124" i="3" a="1"/>
  <c r="T124" i="3" s="1"/>
  <c r="O124" i="3" a="1"/>
  <c r="O124" i="3" s="1"/>
  <c r="I124" i="3" a="1"/>
  <c r="I124" i="3" s="1"/>
  <c r="D124" i="3" a="1"/>
  <c r="D124" i="3" s="1"/>
  <c r="AI124" i="3" a="1"/>
  <c r="AI124" i="3" s="1"/>
  <c r="X124" i="3" a="1"/>
  <c r="X124" i="3" s="1"/>
  <c r="M124" i="3" a="1"/>
  <c r="M124" i="3" s="1"/>
  <c r="C124" i="3" a="1"/>
  <c r="C124" i="3" s="1"/>
  <c r="AG124" i="3" a="1"/>
  <c r="AG124" i="3" s="1"/>
  <c r="W124" i="3" a="1"/>
  <c r="W124" i="3" s="1"/>
  <c r="L124" i="3" a="1"/>
  <c r="L124" i="3" s="1"/>
  <c r="AB124" i="3" a="1"/>
  <c r="AB124" i="3" s="1"/>
  <c r="G124" i="3" a="1"/>
  <c r="G124" i="3" s="1"/>
  <c r="S124" i="3" a="1"/>
  <c r="S124" i="3" s="1"/>
  <c r="AN124" i="3" a="1"/>
  <c r="AN124" i="3" s="1"/>
  <c r="Q124" i="3" a="1"/>
  <c r="Q124" i="3" s="1"/>
  <c r="AC124" i="3" a="1"/>
  <c r="AC124" i="3" s="1"/>
  <c r="H124" i="3" a="1"/>
  <c r="H124" i="3" s="1"/>
  <c r="AP94" i="3" a="1"/>
  <c r="AP94" i="3" s="1"/>
  <c r="AL94" i="3" a="1"/>
  <c r="AL94" i="3" s="1"/>
  <c r="AH94" i="3" a="1"/>
  <c r="AH94" i="3" s="1"/>
  <c r="AD94" i="3" a="1"/>
  <c r="AD94" i="3" s="1"/>
  <c r="Z94" i="3" a="1"/>
  <c r="Z94" i="3" s="1"/>
  <c r="V94" i="3" a="1"/>
  <c r="V94" i="3" s="1"/>
  <c r="R94" i="3" a="1"/>
  <c r="R94" i="3" s="1"/>
  <c r="N94" i="3" a="1"/>
  <c r="N94" i="3" s="1"/>
  <c r="J94" i="3" a="1"/>
  <c r="J94" i="3" s="1"/>
  <c r="F94" i="3" a="1"/>
  <c r="F94" i="3" s="1"/>
  <c r="AN94" i="3" a="1"/>
  <c r="AN94" i="3" s="1"/>
  <c r="AJ94" i="3" a="1"/>
  <c r="AJ94" i="3" s="1"/>
  <c r="AF94" i="3" a="1"/>
  <c r="AF94" i="3" s="1"/>
  <c r="AB94" i="3" a="1"/>
  <c r="AB94" i="3" s="1"/>
  <c r="AM94" i="3" a="1"/>
  <c r="AM94" i="3" s="1"/>
  <c r="AE94" i="3" a="1"/>
  <c r="AE94" i="3" s="1"/>
  <c r="X94" i="3" a="1"/>
  <c r="X94" i="3" s="1"/>
  <c r="S94" i="3" a="1"/>
  <c r="S94" i="3" s="1"/>
  <c r="M94" i="3" a="1"/>
  <c r="M94" i="3" s="1"/>
  <c r="H94" i="3" a="1"/>
  <c r="H94" i="3" s="1"/>
  <c r="C94" i="3" a="1"/>
  <c r="C94" i="3" s="1"/>
  <c r="AK94" i="3" a="1"/>
  <c r="AK94" i="3" s="1"/>
  <c r="AC94" i="3" a="1"/>
  <c r="AC94" i="3" s="1"/>
  <c r="W94" i="3" a="1"/>
  <c r="W94" i="3" s="1"/>
  <c r="Q94" i="3" a="1"/>
  <c r="Q94" i="3" s="1"/>
  <c r="L94" i="3" a="1"/>
  <c r="L94" i="3" s="1"/>
  <c r="G94" i="3" a="1"/>
  <c r="G94" i="3" s="1"/>
  <c r="AO94" i="3" a="1"/>
  <c r="AO94" i="3" s="1"/>
  <c r="AG94" i="3" a="1"/>
  <c r="AG94" i="3" s="1"/>
  <c r="Y94" i="3" a="1"/>
  <c r="Y94" i="3" s="1"/>
  <c r="T94" i="3" a="1"/>
  <c r="T94" i="3" s="1"/>
  <c r="O94" i="3" a="1"/>
  <c r="O94" i="3" s="1"/>
  <c r="I94" i="3" a="1"/>
  <c r="I94" i="3" s="1"/>
  <c r="D94" i="3" a="1"/>
  <c r="D94" i="3" s="1"/>
  <c r="AP99" i="3" a="1"/>
  <c r="AP99" i="3" s="1"/>
  <c r="AL99" i="3" a="1"/>
  <c r="AL99" i="3" s="1"/>
  <c r="AH99" i="3" a="1"/>
  <c r="AH99" i="3" s="1"/>
  <c r="AD99" i="3" a="1"/>
  <c r="AD99" i="3" s="1"/>
  <c r="Z99" i="3" a="1"/>
  <c r="Z99" i="3" s="1"/>
  <c r="V99" i="3" a="1"/>
  <c r="V99" i="3" s="1"/>
  <c r="R99" i="3" a="1"/>
  <c r="R99" i="3" s="1"/>
  <c r="N99" i="3" a="1"/>
  <c r="N99" i="3" s="1"/>
  <c r="J99" i="3" a="1"/>
  <c r="J99" i="3" s="1"/>
  <c r="F99" i="3" a="1"/>
  <c r="F99" i="3" s="1"/>
  <c r="AO99" i="3" a="1"/>
  <c r="AO99" i="3" s="1"/>
  <c r="AK99" i="3" a="1"/>
  <c r="AK99" i="3" s="1"/>
  <c r="AG99" i="3" a="1"/>
  <c r="AG99" i="3" s="1"/>
  <c r="AC99" i="3" a="1"/>
  <c r="AC99" i="3" s="1"/>
  <c r="Y99" i="3" a="1"/>
  <c r="Y99" i="3" s="1"/>
  <c r="U99" i="3" a="1"/>
  <c r="U99" i="3" s="1"/>
  <c r="Q99" i="3" a="1"/>
  <c r="Q99" i="3" s="1"/>
  <c r="M99" i="3" a="1"/>
  <c r="M99" i="3" s="1"/>
  <c r="I99" i="3" a="1"/>
  <c r="I99" i="3" s="1"/>
  <c r="E99" i="3" a="1"/>
  <c r="E99" i="3" s="1"/>
  <c r="AN99" i="3" a="1"/>
  <c r="AN99" i="3" s="1"/>
  <c r="AJ99" i="3" a="1"/>
  <c r="AJ99" i="3" s="1"/>
  <c r="AF99" i="3" a="1"/>
  <c r="AF99" i="3" s="1"/>
  <c r="AB99" i="3" a="1"/>
  <c r="AB99" i="3" s="1"/>
  <c r="X99" i="3" a="1"/>
  <c r="X99" i="3" s="1"/>
  <c r="T99" i="3" a="1"/>
  <c r="T99" i="3" s="1"/>
  <c r="P99" i="3" a="1"/>
  <c r="P99" i="3" s="1"/>
  <c r="L99" i="3" a="1"/>
  <c r="L99" i="3" s="1"/>
  <c r="H99" i="3" a="1"/>
  <c r="H99" i="3" s="1"/>
  <c r="D99" i="3" a="1"/>
  <c r="D99" i="3" s="1"/>
  <c r="AA99" i="3" a="1"/>
  <c r="AA99" i="3" s="1"/>
  <c r="K99" i="3" a="1"/>
  <c r="K99" i="3" s="1"/>
  <c r="AM99" i="3" a="1"/>
  <c r="AM99" i="3" s="1"/>
  <c r="W99" i="3" a="1"/>
  <c r="W99" i="3" s="1"/>
  <c r="G99" i="3" a="1"/>
  <c r="G99" i="3" s="1"/>
  <c r="AE99" i="3" a="1"/>
  <c r="AE99" i="3" s="1"/>
  <c r="O99" i="3" a="1"/>
  <c r="O99" i="3" s="1"/>
  <c r="AP104" i="3" a="1"/>
  <c r="AP104" i="3" s="1"/>
  <c r="AL104" i="3" a="1"/>
  <c r="AL104" i="3" s="1"/>
  <c r="AH104" i="3" a="1"/>
  <c r="AH104" i="3" s="1"/>
  <c r="AD104" i="3" a="1"/>
  <c r="AD104" i="3" s="1"/>
  <c r="Z104" i="3" a="1"/>
  <c r="Z104" i="3" s="1"/>
  <c r="V104" i="3" a="1"/>
  <c r="V104" i="3" s="1"/>
  <c r="R104" i="3" a="1"/>
  <c r="R104" i="3" s="1"/>
  <c r="N104" i="3" a="1"/>
  <c r="N104" i="3" s="1"/>
  <c r="J104" i="3" a="1"/>
  <c r="J104" i="3" s="1"/>
  <c r="F104" i="3" a="1"/>
  <c r="F104" i="3" s="1"/>
  <c r="AO104" i="3" a="1"/>
  <c r="AO104" i="3" s="1"/>
  <c r="AK104" i="3" a="1"/>
  <c r="AK104" i="3" s="1"/>
  <c r="AG104" i="3" a="1"/>
  <c r="AG104" i="3" s="1"/>
  <c r="AC104" i="3" a="1"/>
  <c r="AC104" i="3" s="1"/>
  <c r="Y104" i="3" a="1"/>
  <c r="Y104" i="3" s="1"/>
  <c r="U104" i="3" a="1"/>
  <c r="U104" i="3" s="1"/>
  <c r="Q104" i="3" a="1"/>
  <c r="Q104" i="3" s="1"/>
  <c r="M104" i="3" a="1"/>
  <c r="M104" i="3" s="1"/>
  <c r="I104" i="3" a="1"/>
  <c r="I104" i="3" s="1"/>
  <c r="E104" i="3" a="1"/>
  <c r="E104" i="3" s="1"/>
  <c r="AN104" i="3" a="1"/>
  <c r="AN104" i="3" s="1"/>
  <c r="AJ104" i="3" a="1"/>
  <c r="AJ104" i="3" s="1"/>
  <c r="AF104" i="3" a="1"/>
  <c r="AF104" i="3" s="1"/>
  <c r="AB104" i="3" a="1"/>
  <c r="AB104" i="3" s="1"/>
  <c r="X104" i="3" a="1"/>
  <c r="X104" i="3" s="1"/>
  <c r="T104" i="3" a="1"/>
  <c r="T104" i="3" s="1"/>
  <c r="P104" i="3" a="1"/>
  <c r="P104" i="3" s="1"/>
  <c r="L104" i="3" a="1"/>
  <c r="L104" i="3" s="1"/>
  <c r="H104" i="3" a="1"/>
  <c r="H104" i="3" s="1"/>
  <c r="D104" i="3" a="1"/>
  <c r="D104" i="3" s="1"/>
  <c r="AI104" i="3" a="1"/>
  <c r="AI104" i="3" s="1"/>
  <c r="S104" i="3" a="1"/>
  <c r="S104" i="3" s="1"/>
  <c r="C104" i="3" a="1"/>
  <c r="C104" i="3" s="1"/>
  <c r="AE104" i="3" a="1"/>
  <c r="AE104" i="3" s="1"/>
  <c r="O104" i="3" a="1"/>
  <c r="O104" i="3" s="1"/>
  <c r="AM104" i="3" a="1"/>
  <c r="AM104" i="3" s="1"/>
  <c r="W104" i="3" a="1"/>
  <c r="W104" i="3" s="1"/>
  <c r="G104" i="3" a="1"/>
  <c r="G104" i="3" s="1"/>
  <c r="AP110" i="3" a="1"/>
  <c r="AP110" i="3" s="1"/>
  <c r="AL110" i="3" a="1"/>
  <c r="AL110" i="3" s="1"/>
  <c r="AH110" i="3" a="1"/>
  <c r="AH110" i="3" s="1"/>
  <c r="AD110" i="3" a="1"/>
  <c r="AD110" i="3" s="1"/>
  <c r="Z110" i="3" a="1"/>
  <c r="Z110" i="3" s="1"/>
  <c r="V110" i="3" a="1"/>
  <c r="V110" i="3" s="1"/>
  <c r="R110" i="3" a="1"/>
  <c r="R110" i="3" s="1"/>
  <c r="N110" i="3" a="1"/>
  <c r="N110" i="3" s="1"/>
  <c r="J110" i="3" a="1"/>
  <c r="J110" i="3" s="1"/>
  <c r="F110" i="3" a="1"/>
  <c r="F110" i="3" s="1"/>
  <c r="AN110" i="3" a="1"/>
  <c r="AN110" i="3" s="1"/>
  <c r="AJ110" i="3" a="1"/>
  <c r="AJ110" i="3" s="1"/>
  <c r="AE110" i="3" a="1"/>
  <c r="AE110" i="3" s="1"/>
  <c r="Y110" i="3" a="1"/>
  <c r="Y110" i="3" s="1"/>
  <c r="T110" i="3" a="1"/>
  <c r="T110" i="3" s="1"/>
  <c r="O110" i="3" a="1"/>
  <c r="O110" i="3" s="1"/>
  <c r="I110" i="3" a="1"/>
  <c r="I110" i="3" s="1"/>
  <c r="D110" i="3" a="1"/>
  <c r="D110" i="3" s="1"/>
  <c r="AI110" i="3" a="1"/>
  <c r="AI110" i="3" s="1"/>
  <c r="AB110" i="3" a="1"/>
  <c r="AB110" i="3" s="1"/>
  <c r="U110" i="3" a="1"/>
  <c r="U110" i="3" s="1"/>
  <c r="M110" i="3" a="1"/>
  <c r="M110" i="3" s="1"/>
  <c r="G110" i="3" a="1"/>
  <c r="G110" i="3" s="1"/>
  <c r="AO110" i="3" a="1"/>
  <c r="AO110" i="3" s="1"/>
  <c r="AG110" i="3" a="1"/>
  <c r="AG110" i="3" s="1"/>
  <c r="AA110" i="3" a="1"/>
  <c r="AA110" i="3" s="1"/>
  <c r="S110" i="3" a="1"/>
  <c r="S110" i="3" s="1"/>
  <c r="L110" i="3" a="1"/>
  <c r="L110" i="3" s="1"/>
  <c r="E110" i="3" a="1"/>
  <c r="E110" i="3" s="1"/>
  <c r="AM110" i="3" a="1"/>
  <c r="AM110" i="3" s="1"/>
  <c r="AF110" i="3" a="1"/>
  <c r="AF110" i="3" s="1"/>
  <c r="X110" i="3" a="1"/>
  <c r="X110" i="3" s="1"/>
  <c r="Q110" i="3" a="1"/>
  <c r="Q110" i="3" s="1"/>
  <c r="K110" i="3" a="1"/>
  <c r="K110" i="3" s="1"/>
  <c r="C110" i="3" a="1"/>
  <c r="C110" i="3" s="1"/>
  <c r="AK110" i="3" a="1"/>
  <c r="AK110" i="3" s="1"/>
  <c r="H110" i="3" a="1"/>
  <c r="H110" i="3" s="1"/>
  <c r="AC110" i="3" a="1"/>
  <c r="AC110" i="3" s="1"/>
  <c r="P110" i="3" a="1"/>
  <c r="P110" i="3" s="1"/>
  <c r="D45" i="3" a="1"/>
  <c r="D45" i="3" s="1"/>
  <c r="AA94" i="3" a="1"/>
  <c r="AA94" i="3" s="1"/>
  <c r="AA98" i="3" a="1"/>
  <c r="AA98" i="3" s="1"/>
  <c r="AI99" i="3" a="1"/>
  <c r="AI99" i="3" s="1"/>
  <c r="C103" i="3" a="1"/>
  <c r="C103" i="3" s="1"/>
  <c r="AA104" i="3" a="1"/>
  <c r="AA104" i="3" s="1"/>
  <c r="Q108" i="3" a="1"/>
  <c r="Q108" i="3" s="1"/>
  <c r="U94" i="3" a="1"/>
  <c r="U94" i="3" s="1"/>
  <c r="S98" i="3" a="1"/>
  <c r="S98" i="3" s="1"/>
  <c r="S99" i="3" a="1"/>
  <c r="S99" i="3" s="1"/>
  <c r="K104" i="3" a="1"/>
  <c r="K104" i="3" s="1"/>
  <c r="D58" i="3" a="1"/>
  <c r="D58" i="3" s="1"/>
  <c r="E94" i="3" a="1"/>
  <c r="E94" i="3" s="1"/>
  <c r="J39" i="3" a="1"/>
  <c r="J39" i="3" s="1"/>
  <c r="D39" i="3" a="1"/>
  <c r="D39" i="3" s="1"/>
  <c r="C39" i="3" a="1"/>
  <c r="C39" i="3" s="1"/>
  <c r="G47" i="3" a="1"/>
  <c r="G47" i="3" s="1"/>
  <c r="O47" i="3" a="1"/>
  <c r="O47" i="3" s="1"/>
  <c r="K47" i="3" a="1"/>
  <c r="K47" i="3" s="1"/>
  <c r="C55" i="3" a="1"/>
  <c r="C55" i="3" s="1"/>
  <c r="D55" i="3" a="1"/>
  <c r="D55" i="3" s="1"/>
  <c r="J63" i="3" a="1"/>
  <c r="J63" i="3" s="1"/>
  <c r="G63" i="3" a="1"/>
  <c r="G63" i="3" s="1"/>
  <c r="H93" i="3" a="1"/>
  <c r="H93" i="3" s="1"/>
  <c r="K94" i="3" a="1"/>
  <c r="K94" i="3" s="1"/>
  <c r="AI94" i="3" a="1"/>
  <c r="AI94" i="3" s="1"/>
  <c r="C98" i="3" a="1"/>
  <c r="C98" i="3" s="1"/>
  <c r="AI98" i="3" a="1"/>
  <c r="AI98" i="3" s="1"/>
  <c r="S103" i="3" a="1"/>
  <c r="S103" i="3" s="1"/>
  <c r="L61" i="3" a="1"/>
  <c r="L61" i="3" s="1"/>
  <c r="D61" i="3" a="1"/>
  <c r="D61" i="3" s="1"/>
  <c r="P64" i="3" a="1"/>
  <c r="P64" i="3" s="1"/>
  <c r="P93" i="3" a="1"/>
  <c r="P93" i="3" s="1"/>
  <c r="P94" i="3" a="1"/>
  <c r="P94" i="3" s="1"/>
  <c r="K98" i="3" a="1"/>
  <c r="K98" i="3" s="1"/>
  <c r="C99" i="3" a="1"/>
  <c r="C99" i="3" s="1"/>
  <c r="AI103" i="3" a="1"/>
  <c r="AI103" i="3" s="1"/>
  <c r="AP115" i="3" a="1"/>
  <c r="AP115" i="3" s="1"/>
  <c r="AL115" i="3" a="1"/>
  <c r="AL115" i="3" s="1"/>
  <c r="AH115" i="3" a="1"/>
  <c r="AH115" i="3" s="1"/>
  <c r="AD115" i="3" a="1"/>
  <c r="AD115" i="3" s="1"/>
  <c r="Z115" i="3" a="1"/>
  <c r="Z115" i="3" s="1"/>
  <c r="V115" i="3" a="1"/>
  <c r="V115" i="3" s="1"/>
  <c r="R115" i="3" a="1"/>
  <c r="R115" i="3" s="1"/>
  <c r="N115" i="3" a="1"/>
  <c r="N115" i="3" s="1"/>
  <c r="J115" i="3" a="1"/>
  <c r="J115" i="3" s="1"/>
  <c r="F115" i="3" a="1"/>
  <c r="F115" i="3" s="1"/>
  <c r="AK115" i="3" a="1"/>
  <c r="AK115" i="3" s="1"/>
  <c r="AF115" i="3" a="1"/>
  <c r="AF115" i="3" s="1"/>
  <c r="AA115" i="3" a="1"/>
  <c r="AA115" i="3" s="1"/>
  <c r="U115" i="3" a="1"/>
  <c r="U115" i="3" s="1"/>
  <c r="P115" i="3" a="1"/>
  <c r="P115" i="3" s="1"/>
  <c r="K115" i="3" a="1"/>
  <c r="K115" i="3" s="1"/>
  <c r="E115" i="3" a="1"/>
  <c r="E115" i="3" s="1"/>
  <c r="AM115" i="3" a="1"/>
  <c r="AM115" i="3" s="1"/>
  <c r="AJ115" i="3" a="1"/>
  <c r="AJ115" i="3" s="1"/>
  <c r="AC115" i="3" a="1"/>
  <c r="AC115" i="3" s="1"/>
  <c r="W115" i="3" a="1"/>
  <c r="W115" i="3" s="1"/>
  <c r="O115" i="3" a="1"/>
  <c r="O115" i="3" s="1"/>
  <c r="H115" i="3" a="1"/>
  <c r="H115" i="3" s="1"/>
  <c r="AO115" i="3" a="1"/>
  <c r="AO115" i="3" s="1"/>
  <c r="AI115" i="3" a="1"/>
  <c r="AI115" i="3" s="1"/>
  <c r="AB115" i="3" a="1"/>
  <c r="AB115" i="3" s="1"/>
  <c r="T115" i="3" a="1"/>
  <c r="T115" i="3" s="1"/>
  <c r="M115" i="3" a="1"/>
  <c r="M115" i="3" s="1"/>
  <c r="G115" i="3" a="1"/>
  <c r="G115" i="3" s="1"/>
  <c r="AE115" i="3" a="1"/>
  <c r="AE115" i="3" s="1"/>
  <c r="Q115" i="3" a="1"/>
  <c r="Q115" i="3" s="1"/>
  <c r="C115" i="3" a="1"/>
  <c r="C115" i="3" s="1"/>
  <c r="Y115" i="3" a="1"/>
  <c r="Y115" i="3" s="1"/>
  <c r="L115" i="3" a="1"/>
  <c r="L115" i="3" s="1"/>
  <c r="AN115" i="3" a="1"/>
  <c r="AN115" i="3" s="1"/>
  <c r="X115" i="3" a="1"/>
  <c r="X115" i="3" s="1"/>
  <c r="I115" i="3" a="1"/>
  <c r="I115" i="3" s="1"/>
  <c r="AP120" i="3" a="1"/>
  <c r="AP120" i="3" s="1"/>
  <c r="AL120" i="3" a="1"/>
  <c r="AL120" i="3" s="1"/>
  <c r="AH120" i="3" a="1"/>
  <c r="AH120" i="3" s="1"/>
  <c r="AD120" i="3" a="1"/>
  <c r="AD120" i="3" s="1"/>
  <c r="Z120" i="3" a="1"/>
  <c r="Z120" i="3" s="1"/>
  <c r="V120" i="3" a="1"/>
  <c r="V120" i="3" s="1"/>
  <c r="R120" i="3" a="1"/>
  <c r="R120" i="3" s="1"/>
  <c r="N120" i="3" a="1"/>
  <c r="N120" i="3" s="1"/>
  <c r="J120" i="3" a="1"/>
  <c r="J120" i="3" s="1"/>
  <c r="F120" i="3" a="1"/>
  <c r="F120" i="3" s="1"/>
  <c r="AK120" i="3" a="1"/>
  <c r="AK120" i="3" s="1"/>
  <c r="AF120" i="3" a="1"/>
  <c r="AF120" i="3" s="1"/>
  <c r="AA120" i="3" a="1"/>
  <c r="AA120" i="3" s="1"/>
  <c r="U120" i="3" a="1"/>
  <c r="U120" i="3" s="1"/>
  <c r="P120" i="3" a="1"/>
  <c r="P120" i="3" s="1"/>
  <c r="K120" i="3" a="1"/>
  <c r="K120" i="3" s="1"/>
  <c r="E120" i="3" a="1"/>
  <c r="E120" i="3" s="1"/>
  <c r="AO120" i="3" a="1"/>
  <c r="AO120" i="3" s="1"/>
  <c r="AJ120" i="3" a="1"/>
  <c r="AJ120" i="3" s="1"/>
  <c r="AE120" i="3" a="1"/>
  <c r="AE120" i="3" s="1"/>
  <c r="Y120" i="3" a="1"/>
  <c r="Y120" i="3" s="1"/>
  <c r="T120" i="3" a="1"/>
  <c r="T120" i="3" s="1"/>
  <c r="O120" i="3" a="1"/>
  <c r="O120" i="3" s="1"/>
  <c r="I120" i="3" a="1"/>
  <c r="I120" i="3" s="1"/>
  <c r="D120" i="3" a="1"/>
  <c r="D120" i="3" s="1"/>
  <c r="AI120" i="3" a="1"/>
  <c r="AI120" i="3" s="1"/>
  <c r="X120" i="3" a="1"/>
  <c r="X120" i="3" s="1"/>
  <c r="M120" i="3" a="1"/>
  <c r="M120" i="3" s="1"/>
  <c r="C120" i="3" a="1"/>
  <c r="C120" i="3" s="1"/>
  <c r="AG120" i="3" a="1"/>
  <c r="AG120" i="3" s="1"/>
  <c r="W120" i="3" a="1"/>
  <c r="W120" i="3" s="1"/>
  <c r="L120" i="3" a="1"/>
  <c r="L120" i="3" s="1"/>
  <c r="AM120" i="3" a="1"/>
  <c r="AM120" i="3" s="1"/>
  <c r="Q120" i="3" a="1"/>
  <c r="Q120" i="3" s="1"/>
  <c r="AC120" i="3" a="1"/>
  <c r="AC120" i="3" s="1"/>
  <c r="H120" i="3" a="1"/>
  <c r="H120" i="3" s="1"/>
  <c r="AB120" i="3" a="1"/>
  <c r="AB120" i="3" s="1"/>
  <c r="G120" i="3" a="1"/>
  <c r="G120" i="3" s="1"/>
  <c r="AN120" i="3" a="1"/>
  <c r="AN120" i="3" s="1"/>
  <c r="S120" i="3" a="1"/>
  <c r="S120" i="3" s="1"/>
  <c r="AP126" i="3" a="1"/>
  <c r="AP126" i="3" s="1"/>
  <c r="AL126" i="3" a="1"/>
  <c r="AL126" i="3" s="1"/>
  <c r="AH126" i="3" a="1"/>
  <c r="AH126" i="3" s="1"/>
  <c r="AD126" i="3" a="1"/>
  <c r="AD126" i="3" s="1"/>
  <c r="Z126" i="3" a="1"/>
  <c r="Z126" i="3" s="1"/>
  <c r="V126" i="3" a="1"/>
  <c r="V126" i="3" s="1"/>
  <c r="R126" i="3" a="1"/>
  <c r="R126" i="3" s="1"/>
  <c r="N126" i="3" a="1"/>
  <c r="N126" i="3" s="1"/>
  <c r="J126" i="3" a="1"/>
  <c r="J126" i="3" s="1"/>
  <c r="F126" i="3" a="1"/>
  <c r="F126" i="3" s="1"/>
  <c r="AO126" i="3" a="1"/>
  <c r="AO126" i="3" s="1"/>
  <c r="AK126" i="3" a="1"/>
  <c r="AK126" i="3" s="1"/>
  <c r="AG126" i="3" a="1"/>
  <c r="AG126" i="3" s="1"/>
  <c r="AC126" i="3" a="1"/>
  <c r="AC126" i="3" s="1"/>
  <c r="Y126" i="3" a="1"/>
  <c r="Y126" i="3" s="1"/>
  <c r="U126" i="3" a="1"/>
  <c r="U126" i="3" s="1"/>
  <c r="Q126" i="3" a="1"/>
  <c r="Q126" i="3" s="1"/>
  <c r="M126" i="3" a="1"/>
  <c r="M126" i="3" s="1"/>
  <c r="I126" i="3" a="1"/>
  <c r="I126" i="3" s="1"/>
  <c r="E126" i="3" a="1"/>
  <c r="E126" i="3" s="1"/>
  <c r="AN126" i="3" a="1"/>
  <c r="AN126" i="3" s="1"/>
  <c r="AJ126" i="3" a="1"/>
  <c r="AJ126" i="3" s="1"/>
  <c r="AF126" i="3" a="1"/>
  <c r="AF126" i="3" s="1"/>
  <c r="AB126" i="3" a="1"/>
  <c r="AB126" i="3" s="1"/>
  <c r="X126" i="3" a="1"/>
  <c r="X126" i="3" s="1"/>
  <c r="AM126" i="3" a="1"/>
  <c r="AM126" i="3" s="1"/>
  <c r="W126" i="3" a="1"/>
  <c r="W126" i="3" s="1"/>
  <c r="O126" i="3" a="1"/>
  <c r="O126" i="3" s="1"/>
  <c r="G126" i="3" a="1"/>
  <c r="G126" i="3" s="1"/>
  <c r="AI126" i="3" a="1"/>
  <c r="AI126" i="3" s="1"/>
  <c r="T126" i="3" a="1"/>
  <c r="T126" i="3" s="1"/>
  <c r="L126" i="3" a="1"/>
  <c r="L126" i="3" s="1"/>
  <c r="D126" i="3" a="1"/>
  <c r="D126" i="3" s="1"/>
  <c r="AE126" i="3" a="1"/>
  <c r="AE126" i="3" s="1"/>
  <c r="S126" i="3" a="1"/>
  <c r="S126" i="3" s="1"/>
  <c r="AA126" i="3" a="1"/>
  <c r="AA126" i="3" s="1"/>
  <c r="C126" i="3" a="1"/>
  <c r="C126" i="3" s="1"/>
  <c r="P126" i="3" a="1"/>
  <c r="P126" i="3" s="1"/>
  <c r="K126" i="3" a="1"/>
  <c r="K126" i="3" s="1"/>
  <c r="H126" i="3" a="1"/>
  <c r="H126" i="3" s="1"/>
  <c r="AN68" i="3" a="1"/>
  <c r="AN68" i="3" s="1"/>
  <c r="AN72" i="3" a="1"/>
  <c r="AN72" i="3" s="1"/>
  <c r="D48" i="3" a="1"/>
  <c r="D48" i="3" s="1"/>
  <c r="F48" i="3" a="1"/>
  <c r="F48" i="3" s="1"/>
  <c r="AH69" i="3" a="1"/>
  <c r="AH69" i="3" s="1"/>
  <c r="AJ81" i="3" a="1"/>
  <c r="AJ81" i="3" s="1"/>
  <c r="AP86" i="3" a="1"/>
  <c r="AP86" i="3" s="1"/>
  <c r="AP91" i="3" a="1"/>
  <c r="AP91" i="3" s="1"/>
  <c r="AP96" i="3" a="1"/>
  <c r="AP96" i="3" s="1"/>
  <c r="AL96" i="3" a="1"/>
  <c r="AL96" i="3" s="1"/>
  <c r="AH96" i="3" a="1"/>
  <c r="AH96" i="3" s="1"/>
  <c r="AD96" i="3" a="1"/>
  <c r="AD96" i="3" s="1"/>
  <c r="Z96" i="3" a="1"/>
  <c r="Z96" i="3" s="1"/>
  <c r="V96" i="3" a="1"/>
  <c r="V96" i="3" s="1"/>
  <c r="R96" i="3" a="1"/>
  <c r="R96" i="3" s="1"/>
  <c r="N96" i="3" a="1"/>
  <c r="N96" i="3" s="1"/>
  <c r="J96" i="3" a="1"/>
  <c r="J96" i="3" s="1"/>
  <c r="F96" i="3" a="1"/>
  <c r="F96" i="3" s="1"/>
  <c r="AN96" i="3" a="1"/>
  <c r="AN96" i="3" s="1"/>
  <c r="AJ96" i="3" a="1"/>
  <c r="AJ96" i="3" s="1"/>
  <c r="AF96" i="3" a="1"/>
  <c r="AF96" i="3" s="1"/>
  <c r="AB96" i="3" a="1"/>
  <c r="AB96" i="3" s="1"/>
  <c r="X96" i="3" a="1"/>
  <c r="X96" i="3" s="1"/>
  <c r="T96" i="3" a="1"/>
  <c r="T96" i="3" s="1"/>
  <c r="P96" i="3" a="1"/>
  <c r="P96" i="3" s="1"/>
  <c r="L96" i="3" a="1"/>
  <c r="L96" i="3" s="1"/>
  <c r="H96" i="3" a="1"/>
  <c r="H96" i="3" s="1"/>
  <c r="D96" i="3" a="1"/>
  <c r="D96" i="3" s="1"/>
  <c r="AP102" i="3" a="1"/>
  <c r="AP102" i="3" s="1"/>
  <c r="AL102" i="3" a="1"/>
  <c r="AL102" i="3" s="1"/>
  <c r="AH102" i="3" a="1"/>
  <c r="AH102" i="3" s="1"/>
  <c r="AD102" i="3" a="1"/>
  <c r="AD102" i="3" s="1"/>
  <c r="Z102" i="3" a="1"/>
  <c r="Z102" i="3" s="1"/>
  <c r="V102" i="3" a="1"/>
  <c r="V102" i="3" s="1"/>
  <c r="R102" i="3" a="1"/>
  <c r="R102" i="3" s="1"/>
  <c r="N102" i="3" a="1"/>
  <c r="N102" i="3" s="1"/>
  <c r="J102" i="3" a="1"/>
  <c r="J102" i="3" s="1"/>
  <c r="F102" i="3" a="1"/>
  <c r="F102" i="3" s="1"/>
  <c r="AO102" i="3" a="1"/>
  <c r="AO102" i="3" s="1"/>
  <c r="AK102" i="3" a="1"/>
  <c r="AK102" i="3" s="1"/>
  <c r="AG102" i="3" a="1"/>
  <c r="AG102" i="3" s="1"/>
  <c r="AC102" i="3" a="1"/>
  <c r="AC102" i="3" s="1"/>
  <c r="Y102" i="3" a="1"/>
  <c r="Y102" i="3" s="1"/>
  <c r="U102" i="3" a="1"/>
  <c r="U102" i="3" s="1"/>
  <c r="Q102" i="3" a="1"/>
  <c r="Q102" i="3" s="1"/>
  <c r="M102" i="3" a="1"/>
  <c r="M102" i="3" s="1"/>
  <c r="I102" i="3" a="1"/>
  <c r="I102" i="3" s="1"/>
  <c r="E102" i="3" a="1"/>
  <c r="E102" i="3" s="1"/>
  <c r="AN102" i="3" a="1"/>
  <c r="AN102" i="3" s="1"/>
  <c r="AJ102" i="3" a="1"/>
  <c r="AJ102" i="3" s="1"/>
  <c r="AF102" i="3" a="1"/>
  <c r="AF102" i="3" s="1"/>
  <c r="AB102" i="3" a="1"/>
  <c r="AB102" i="3" s="1"/>
  <c r="X102" i="3" a="1"/>
  <c r="X102" i="3" s="1"/>
  <c r="T102" i="3" a="1"/>
  <c r="T102" i="3" s="1"/>
  <c r="P102" i="3" a="1"/>
  <c r="P102" i="3" s="1"/>
  <c r="L102" i="3" a="1"/>
  <c r="L102" i="3" s="1"/>
  <c r="H102" i="3" a="1"/>
  <c r="H102" i="3" s="1"/>
  <c r="D102" i="3" a="1"/>
  <c r="D102" i="3" s="1"/>
  <c r="AP107" i="3" a="1"/>
  <c r="AP107" i="3" s="1"/>
  <c r="AL107" i="3" a="1"/>
  <c r="AL107" i="3" s="1"/>
  <c r="AH107" i="3" a="1"/>
  <c r="AH107" i="3" s="1"/>
  <c r="AD107" i="3" a="1"/>
  <c r="AD107" i="3" s="1"/>
  <c r="Z107" i="3" a="1"/>
  <c r="Z107" i="3" s="1"/>
  <c r="V107" i="3" a="1"/>
  <c r="V107" i="3" s="1"/>
  <c r="R107" i="3" a="1"/>
  <c r="R107" i="3" s="1"/>
  <c r="N107" i="3" a="1"/>
  <c r="N107" i="3" s="1"/>
  <c r="AM107" i="3" a="1"/>
  <c r="AM107" i="3" s="1"/>
  <c r="AG107" i="3" a="1"/>
  <c r="AG107" i="3" s="1"/>
  <c r="AB107" i="3" a="1"/>
  <c r="AB107" i="3" s="1"/>
  <c r="W107" i="3" a="1"/>
  <c r="W107" i="3" s="1"/>
  <c r="Q107" i="3" a="1"/>
  <c r="Q107" i="3" s="1"/>
  <c r="L107" i="3" a="1"/>
  <c r="L107" i="3" s="1"/>
  <c r="H107" i="3" a="1"/>
  <c r="H107" i="3" s="1"/>
  <c r="D107" i="3" a="1"/>
  <c r="D107" i="3" s="1"/>
  <c r="AO107" i="3" a="1"/>
  <c r="AO107" i="3" s="1"/>
  <c r="AI107" i="3" a="1"/>
  <c r="AI107" i="3" s="1"/>
  <c r="AA107" i="3" a="1"/>
  <c r="AA107" i="3" s="1"/>
  <c r="T107" i="3" a="1"/>
  <c r="T107" i="3" s="1"/>
  <c r="M107" i="3" a="1"/>
  <c r="M107" i="3" s="1"/>
  <c r="G107" i="3" a="1"/>
  <c r="G107" i="3" s="1"/>
  <c r="AN107" i="3" a="1"/>
  <c r="AN107" i="3" s="1"/>
  <c r="AF107" i="3" a="1"/>
  <c r="AF107" i="3" s="1"/>
  <c r="Y107" i="3" a="1"/>
  <c r="Y107" i="3" s="1"/>
  <c r="S107" i="3" a="1"/>
  <c r="S107" i="3" s="1"/>
  <c r="K107" i="3" a="1"/>
  <c r="K107" i="3" s="1"/>
  <c r="F107" i="3" a="1"/>
  <c r="F107" i="3" s="1"/>
  <c r="AK107" i="3" a="1"/>
  <c r="AK107" i="3" s="1"/>
  <c r="AE107" i="3" a="1"/>
  <c r="AE107" i="3" s="1"/>
  <c r="X107" i="3" a="1"/>
  <c r="X107" i="3" s="1"/>
  <c r="P107" i="3" a="1"/>
  <c r="P107" i="3" s="1"/>
  <c r="J107" i="3" a="1"/>
  <c r="J107" i="3" s="1"/>
  <c r="E107" i="3" a="1"/>
  <c r="E107" i="3" s="1"/>
  <c r="AP112" i="3" a="1"/>
  <c r="AP112" i="3" s="1"/>
  <c r="AL112" i="3" a="1"/>
  <c r="AL112" i="3" s="1"/>
  <c r="AH112" i="3" a="1"/>
  <c r="AH112" i="3" s="1"/>
  <c r="AD112" i="3" a="1"/>
  <c r="AD112" i="3" s="1"/>
  <c r="Z112" i="3" a="1"/>
  <c r="Z112" i="3" s="1"/>
  <c r="V112" i="3" a="1"/>
  <c r="V112" i="3" s="1"/>
  <c r="R112" i="3" a="1"/>
  <c r="R112" i="3" s="1"/>
  <c r="N112" i="3" a="1"/>
  <c r="N112" i="3" s="1"/>
  <c r="J112" i="3" a="1"/>
  <c r="J112" i="3" s="1"/>
  <c r="F112" i="3" a="1"/>
  <c r="F112" i="3" s="1"/>
  <c r="AN112" i="3" a="1"/>
  <c r="AN112" i="3" s="1"/>
  <c r="AI112" i="3" a="1"/>
  <c r="AI112" i="3" s="1"/>
  <c r="AC112" i="3" a="1"/>
  <c r="AC112" i="3" s="1"/>
  <c r="X112" i="3" a="1"/>
  <c r="X112" i="3" s="1"/>
  <c r="S112" i="3" a="1"/>
  <c r="S112" i="3" s="1"/>
  <c r="M112" i="3" a="1"/>
  <c r="M112" i="3" s="1"/>
  <c r="H112" i="3" a="1"/>
  <c r="H112" i="3" s="1"/>
  <c r="C112" i="3" a="1"/>
  <c r="C112" i="3" s="1"/>
  <c r="AO112" i="3" a="1"/>
  <c r="AO112" i="3" s="1"/>
  <c r="AG112" i="3" a="1"/>
  <c r="AG112" i="3" s="1"/>
  <c r="AA112" i="3" a="1"/>
  <c r="AA112" i="3" s="1"/>
  <c r="T112" i="3" a="1"/>
  <c r="T112" i="3" s="1"/>
  <c r="L112" i="3" a="1"/>
  <c r="L112" i="3" s="1"/>
  <c r="E112" i="3" a="1"/>
  <c r="E112" i="3" s="1"/>
  <c r="AM112" i="3" a="1"/>
  <c r="AM112" i="3" s="1"/>
  <c r="AE112" i="3" a="1"/>
  <c r="AE112" i="3" s="1"/>
  <c r="U112" i="3" a="1"/>
  <c r="U112" i="3" s="1"/>
  <c r="K112" i="3" a="1"/>
  <c r="K112" i="3" s="1"/>
  <c r="AK112" i="3" a="1"/>
  <c r="AK112" i="3" s="1"/>
  <c r="AB112" i="3" a="1"/>
  <c r="AB112" i="3" s="1"/>
  <c r="Q112" i="3" a="1"/>
  <c r="Q112" i="3" s="1"/>
  <c r="I112" i="3" a="1"/>
  <c r="I112" i="3" s="1"/>
  <c r="AJ112" i="3" a="1"/>
  <c r="AJ112" i="3" s="1"/>
  <c r="Y112" i="3" a="1"/>
  <c r="Y112" i="3" s="1"/>
  <c r="P112" i="3" a="1"/>
  <c r="P112" i="3" s="1"/>
  <c r="G112" i="3" a="1"/>
  <c r="G112" i="3" s="1"/>
  <c r="AP118" i="3" a="1"/>
  <c r="AP118" i="3" s="1"/>
  <c r="AL118" i="3" a="1"/>
  <c r="AL118" i="3" s="1"/>
  <c r="AH118" i="3" a="1"/>
  <c r="AH118" i="3" s="1"/>
  <c r="AD118" i="3" a="1"/>
  <c r="AD118" i="3" s="1"/>
  <c r="Z118" i="3" a="1"/>
  <c r="Z118" i="3" s="1"/>
  <c r="AK118" i="3" a="1"/>
  <c r="AK118" i="3" s="1"/>
  <c r="AF118" i="3" a="1"/>
  <c r="AF118" i="3" s="1"/>
  <c r="AA118" i="3" a="1"/>
  <c r="AA118" i="3" s="1"/>
  <c r="V118" i="3" a="1"/>
  <c r="V118" i="3" s="1"/>
  <c r="R118" i="3" a="1"/>
  <c r="R118" i="3" s="1"/>
  <c r="N118" i="3" a="1"/>
  <c r="N118" i="3" s="1"/>
  <c r="J118" i="3" a="1"/>
  <c r="J118" i="3" s="1"/>
  <c r="F118" i="3" a="1"/>
  <c r="F118" i="3" s="1"/>
  <c r="AO118" i="3" a="1"/>
  <c r="AO118" i="3" s="1"/>
  <c r="AJ118" i="3" a="1"/>
  <c r="AJ118" i="3" s="1"/>
  <c r="AE118" i="3" a="1"/>
  <c r="AE118" i="3" s="1"/>
  <c r="Y118" i="3" a="1"/>
  <c r="Y118" i="3" s="1"/>
  <c r="U118" i="3" a="1"/>
  <c r="U118" i="3" s="1"/>
  <c r="AN118" i="3" a="1"/>
  <c r="AN118" i="3" s="1"/>
  <c r="AC118" i="3" a="1"/>
  <c r="AC118" i="3" s="1"/>
  <c r="T118" i="3" a="1"/>
  <c r="T118" i="3" s="1"/>
  <c r="O118" i="3" a="1"/>
  <c r="O118" i="3" s="1"/>
  <c r="I118" i="3" a="1"/>
  <c r="I118" i="3" s="1"/>
  <c r="D118" i="3" a="1"/>
  <c r="D118" i="3" s="1"/>
  <c r="AM118" i="3" a="1"/>
  <c r="AM118" i="3" s="1"/>
  <c r="AB118" i="3" a="1"/>
  <c r="AB118" i="3" s="1"/>
  <c r="S118" i="3" a="1"/>
  <c r="S118" i="3" s="1"/>
  <c r="M118" i="3" a="1"/>
  <c r="M118" i="3" s="1"/>
  <c r="H118" i="3" a="1"/>
  <c r="H118" i="3" s="1"/>
  <c r="C118" i="3" a="1"/>
  <c r="C118" i="3" s="1"/>
  <c r="AG118" i="3" a="1"/>
  <c r="AG118" i="3" s="1"/>
  <c r="P118" i="3" a="1"/>
  <c r="P118" i="3" s="1"/>
  <c r="E118" i="3" a="1"/>
  <c r="E118" i="3" s="1"/>
  <c r="X118" i="3" a="1"/>
  <c r="X118" i="3" s="1"/>
  <c r="L118" i="3" a="1"/>
  <c r="L118" i="3" s="1"/>
  <c r="W118" i="3" a="1"/>
  <c r="W118" i="3" s="1"/>
  <c r="K118" i="3" a="1"/>
  <c r="K118" i="3" s="1"/>
  <c r="AI118" i="3" a="1"/>
  <c r="AI118" i="3" s="1"/>
  <c r="Q118" i="3" a="1"/>
  <c r="Q118" i="3" s="1"/>
  <c r="G118" i="3" a="1"/>
  <c r="G118" i="3" s="1"/>
  <c r="AP123" i="3" a="1"/>
  <c r="AP123" i="3" s="1"/>
  <c r="AL123" i="3" a="1"/>
  <c r="AL123" i="3" s="1"/>
  <c r="AH123" i="3" a="1"/>
  <c r="AH123" i="3" s="1"/>
  <c r="AD123" i="3" a="1"/>
  <c r="AD123" i="3" s="1"/>
  <c r="Z123" i="3" a="1"/>
  <c r="Z123" i="3" s="1"/>
  <c r="V123" i="3" a="1"/>
  <c r="V123" i="3" s="1"/>
  <c r="R123" i="3" a="1"/>
  <c r="R123" i="3" s="1"/>
  <c r="N123" i="3" a="1"/>
  <c r="N123" i="3" s="1"/>
  <c r="J123" i="3" a="1"/>
  <c r="J123" i="3" s="1"/>
  <c r="F123" i="3" a="1"/>
  <c r="F123" i="3" s="1"/>
  <c r="AN123" i="3" a="1"/>
  <c r="AN123" i="3" s="1"/>
  <c r="AI123" i="3" a="1"/>
  <c r="AI123" i="3" s="1"/>
  <c r="AC123" i="3" a="1"/>
  <c r="AC123" i="3" s="1"/>
  <c r="X123" i="3" a="1"/>
  <c r="X123" i="3" s="1"/>
  <c r="S123" i="3" a="1"/>
  <c r="S123" i="3" s="1"/>
  <c r="M123" i="3" a="1"/>
  <c r="M123" i="3" s="1"/>
  <c r="H123" i="3" a="1"/>
  <c r="H123" i="3" s="1"/>
  <c r="C123" i="3" a="1"/>
  <c r="C123" i="3" s="1"/>
  <c r="AM123" i="3" a="1"/>
  <c r="AM123" i="3" s="1"/>
  <c r="AG123" i="3" a="1"/>
  <c r="AG123" i="3" s="1"/>
  <c r="AB123" i="3" a="1"/>
  <c r="AB123" i="3" s="1"/>
  <c r="W123" i="3" a="1"/>
  <c r="W123" i="3" s="1"/>
  <c r="Q123" i="3" a="1"/>
  <c r="Q123" i="3" s="1"/>
  <c r="L123" i="3" a="1"/>
  <c r="L123" i="3" s="1"/>
  <c r="G123" i="3" a="1"/>
  <c r="G123" i="3" s="1"/>
  <c r="AF123" i="3" a="1"/>
  <c r="AF123" i="3" s="1"/>
  <c r="U123" i="3" a="1"/>
  <c r="U123" i="3" s="1"/>
  <c r="K123" i="3" a="1"/>
  <c r="K123" i="3" s="1"/>
  <c r="AO123" i="3" a="1"/>
  <c r="AO123" i="3" s="1"/>
  <c r="AE123" i="3" a="1"/>
  <c r="AE123" i="3" s="1"/>
  <c r="T123" i="3" a="1"/>
  <c r="T123" i="3" s="1"/>
  <c r="I123" i="3" a="1"/>
  <c r="I123" i="3" s="1"/>
  <c r="Y123" i="3" a="1"/>
  <c r="Y123" i="3" s="1"/>
  <c r="D123" i="3" a="1"/>
  <c r="D123" i="3" s="1"/>
  <c r="AK123" i="3" a="1"/>
  <c r="AK123" i="3" s="1"/>
  <c r="P123" i="3" a="1"/>
  <c r="P123" i="3" s="1"/>
  <c r="AJ123" i="3" a="1"/>
  <c r="AJ123" i="3" s="1"/>
  <c r="O123" i="3" a="1"/>
  <c r="O123" i="3" s="1"/>
  <c r="E123" i="3" a="1"/>
  <c r="E123" i="3" s="1"/>
  <c r="AA123" i="3" a="1"/>
  <c r="AA123" i="3" s="1"/>
  <c r="L14" i="3" a="1"/>
  <c r="L14" i="3" s="1"/>
  <c r="AP89" i="3" a="1"/>
  <c r="AP89" i="3" s="1"/>
  <c r="AP97" i="3" a="1"/>
  <c r="AP97" i="3" s="1"/>
  <c r="AL97" i="3" a="1"/>
  <c r="AL97" i="3" s="1"/>
  <c r="AH97" i="3" a="1"/>
  <c r="AH97" i="3" s="1"/>
  <c r="AD97" i="3" a="1"/>
  <c r="AD97" i="3" s="1"/>
  <c r="Z97" i="3" a="1"/>
  <c r="Z97" i="3" s="1"/>
  <c r="V97" i="3" a="1"/>
  <c r="V97" i="3" s="1"/>
  <c r="R97" i="3" a="1"/>
  <c r="R97" i="3" s="1"/>
  <c r="N97" i="3" a="1"/>
  <c r="N97" i="3" s="1"/>
  <c r="J97" i="3" a="1"/>
  <c r="J97" i="3" s="1"/>
  <c r="F97" i="3" a="1"/>
  <c r="F97" i="3" s="1"/>
  <c r="AN97" i="3" a="1"/>
  <c r="AN97" i="3" s="1"/>
  <c r="AJ97" i="3" a="1"/>
  <c r="AJ97" i="3" s="1"/>
  <c r="AF97" i="3" a="1"/>
  <c r="AF97" i="3" s="1"/>
  <c r="AB97" i="3" a="1"/>
  <c r="AB97" i="3" s="1"/>
  <c r="X97" i="3" a="1"/>
  <c r="X97" i="3" s="1"/>
  <c r="T97" i="3" a="1"/>
  <c r="T97" i="3" s="1"/>
  <c r="P97" i="3" a="1"/>
  <c r="P97" i="3" s="1"/>
  <c r="L97" i="3" a="1"/>
  <c r="L97" i="3" s="1"/>
  <c r="H97" i="3" a="1"/>
  <c r="H97" i="3" s="1"/>
  <c r="D97" i="3" a="1"/>
  <c r="D97" i="3" s="1"/>
  <c r="AP105" i="3" a="1"/>
  <c r="AP105" i="3" s="1"/>
  <c r="AL105" i="3" a="1"/>
  <c r="AL105" i="3" s="1"/>
  <c r="AH105" i="3" a="1"/>
  <c r="AH105" i="3" s="1"/>
  <c r="AD105" i="3" a="1"/>
  <c r="AD105" i="3" s="1"/>
  <c r="Z105" i="3" a="1"/>
  <c r="Z105" i="3" s="1"/>
  <c r="V105" i="3" a="1"/>
  <c r="V105" i="3" s="1"/>
  <c r="R105" i="3" a="1"/>
  <c r="R105" i="3" s="1"/>
  <c r="N105" i="3" a="1"/>
  <c r="N105" i="3" s="1"/>
  <c r="J105" i="3" a="1"/>
  <c r="J105" i="3" s="1"/>
  <c r="F105" i="3" a="1"/>
  <c r="F105" i="3" s="1"/>
  <c r="AO105" i="3" a="1"/>
  <c r="AO105" i="3" s="1"/>
  <c r="AK105" i="3" a="1"/>
  <c r="AK105" i="3" s="1"/>
  <c r="AG105" i="3" a="1"/>
  <c r="AG105" i="3" s="1"/>
  <c r="AC105" i="3" a="1"/>
  <c r="AC105" i="3" s="1"/>
  <c r="Y105" i="3" a="1"/>
  <c r="Y105" i="3" s="1"/>
  <c r="U105" i="3" a="1"/>
  <c r="U105" i="3" s="1"/>
  <c r="Q105" i="3" a="1"/>
  <c r="Q105" i="3" s="1"/>
  <c r="M105" i="3" a="1"/>
  <c r="M105" i="3" s="1"/>
  <c r="I105" i="3" a="1"/>
  <c r="I105" i="3" s="1"/>
  <c r="E105" i="3" a="1"/>
  <c r="E105" i="3" s="1"/>
  <c r="AN105" i="3" a="1"/>
  <c r="AN105" i="3" s="1"/>
  <c r="AJ105" i="3" a="1"/>
  <c r="AJ105" i="3" s="1"/>
  <c r="AF105" i="3" a="1"/>
  <c r="AF105" i="3" s="1"/>
  <c r="AB105" i="3" a="1"/>
  <c r="AB105" i="3" s="1"/>
  <c r="X105" i="3" a="1"/>
  <c r="X105" i="3" s="1"/>
  <c r="T105" i="3" a="1"/>
  <c r="T105" i="3" s="1"/>
  <c r="P105" i="3" a="1"/>
  <c r="P105" i="3" s="1"/>
  <c r="L105" i="3" a="1"/>
  <c r="L105" i="3" s="1"/>
  <c r="H105" i="3" a="1"/>
  <c r="H105" i="3" s="1"/>
  <c r="D105" i="3" a="1"/>
  <c r="D105" i="3" s="1"/>
  <c r="AP113" i="3" a="1"/>
  <c r="AP113" i="3" s="1"/>
  <c r="AL113" i="3" a="1"/>
  <c r="AL113" i="3" s="1"/>
  <c r="AH113" i="3" a="1"/>
  <c r="AH113" i="3" s="1"/>
  <c r="AD113" i="3" a="1"/>
  <c r="AD113" i="3" s="1"/>
  <c r="Z113" i="3" a="1"/>
  <c r="Z113" i="3" s="1"/>
  <c r="V113" i="3" a="1"/>
  <c r="V113" i="3" s="1"/>
  <c r="R113" i="3" a="1"/>
  <c r="R113" i="3" s="1"/>
  <c r="N113" i="3" a="1"/>
  <c r="N113" i="3" s="1"/>
  <c r="J113" i="3" a="1"/>
  <c r="J113" i="3" s="1"/>
  <c r="F113" i="3" a="1"/>
  <c r="F113" i="3" s="1"/>
  <c r="AK113" i="3" a="1"/>
  <c r="AK113" i="3" s="1"/>
  <c r="AF113" i="3" a="1"/>
  <c r="AF113" i="3" s="1"/>
  <c r="AA113" i="3" a="1"/>
  <c r="AA113" i="3" s="1"/>
  <c r="U113" i="3" a="1"/>
  <c r="U113" i="3" s="1"/>
  <c r="P113" i="3" a="1"/>
  <c r="P113" i="3" s="1"/>
  <c r="K113" i="3" a="1"/>
  <c r="K113" i="3" s="1"/>
  <c r="E113" i="3" a="1"/>
  <c r="E113" i="3" s="1"/>
  <c r="AM113" i="3" a="1"/>
  <c r="AM113" i="3" s="1"/>
  <c r="AE113" i="3" a="1"/>
  <c r="AE113" i="3" s="1"/>
  <c r="X113" i="3" a="1"/>
  <c r="X113" i="3" s="1"/>
  <c r="Q113" i="3" a="1"/>
  <c r="Q113" i="3" s="1"/>
  <c r="I113" i="3" a="1"/>
  <c r="I113" i="3" s="1"/>
  <c r="AJ113" i="3" a="1"/>
  <c r="AJ113" i="3" s="1"/>
  <c r="AC113" i="3" a="1"/>
  <c r="AC113" i="3" s="1"/>
  <c r="W113" i="3" a="1"/>
  <c r="W113" i="3" s="1"/>
  <c r="O113" i="3" a="1"/>
  <c r="O113" i="3" s="1"/>
  <c r="H113" i="3" a="1"/>
  <c r="H113" i="3" s="1"/>
  <c r="AN113" i="3" a="1"/>
  <c r="AN113" i="3" s="1"/>
  <c r="Y113" i="3" a="1"/>
  <c r="Y113" i="3" s="1"/>
  <c r="L113" i="3" a="1"/>
  <c r="L113" i="3" s="1"/>
  <c r="AI113" i="3" a="1"/>
  <c r="AI113" i="3" s="1"/>
  <c r="T113" i="3" a="1"/>
  <c r="T113" i="3" s="1"/>
  <c r="G113" i="3" a="1"/>
  <c r="G113" i="3" s="1"/>
  <c r="AG113" i="3" a="1"/>
  <c r="AG113" i="3" s="1"/>
  <c r="S113" i="3" a="1"/>
  <c r="S113" i="3" s="1"/>
  <c r="D113" i="3" a="1"/>
  <c r="D113" i="3" s="1"/>
  <c r="AP121" i="3" a="1"/>
  <c r="AP121" i="3" s="1"/>
  <c r="AL121" i="3" a="1"/>
  <c r="AL121" i="3" s="1"/>
  <c r="AH121" i="3" a="1"/>
  <c r="AH121" i="3" s="1"/>
  <c r="AD121" i="3" a="1"/>
  <c r="AD121" i="3" s="1"/>
  <c r="Z121" i="3" a="1"/>
  <c r="Z121" i="3" s="1"/>
  <c r="V121" i="3" a="1"/>
  <c r="V121" i="3" s="1"/>
  <c r="R121" i="3" a="1"/>
  <c r="R121" i="3" s="1"/>
  <c r="N121" i="3" a="1"/>
  <c r="N121" i="3" s="1"/>
  <c r="J121" i="3" a="1"/>
  <c r="J121" i="3" s="1"/>
  <c r="F121" i="3" a="1"/>
  <c r="F121" i="3" s="1"/>
  <c r="AN121" i="3" a="1"/>
  <c r="AN121" i="3" s="1"/>
  <c r="AI121" i="3" a="1"/>
  <c r="AI121" i="3" s="1"/>
  <c r="AC121" i="3" a="1"/>
  <c r="AC121" i="3" s="1"/>
  <c r="X121" i="3" a="1"/>
  <c r="X121" i="3" s="1"/>
  <c r="S121" i="3" a="1"/>
  <c r="S121" i="3" s="1"/>
  <c r="M121" i="3" a="1"/>
  <c r="M121" i="3" s="1"/>
  <c r="H121" i="3" a="1"/>
  <c r="H121" i="3" s="1"/>
  <c r="C121" i="3" a="1"/>
  <c r="C121" i="3" s="1"/>
  <c r="AM121" i="3" a="1"/>
  <c r="AM121" i="3" s="1"/>
  <c r="AG121" i="3" a="1"/>
  <c r="AG121" i="3" s="1"/>
  <c r="AB121" i="3" a="1"/>
  <c r="AB121" i="3" s="1"/>
  <c r="W121" i="3" a="1"/>
  <c r="W121" i="3" s="1"/>
  <c r="Q121" i="3" a="1"/>
  <c r="Q121" i="3" s="1"/>
  <c r="L121" i="3" a="1"/>
  <c r="L121" i="3" s="1"/>
  <c r="G121" i="3" a="1"/>
  <c r="G121" i="3" s="1"/>
  <c r="AK121" i="3" a="1"/>
  <c r="AK121" i="3" s="1"/>
  <c r="AA121" i="3" a="1"/>
  <c r="AA121" i="3" s="1"/>
  <c r="P121" i="3" a="1"/>
  <c r="P121" i="3" s="1"/>
  <c r="E121" i="3" a="1"/>
  <c r="E121" i="3" s="1"/>
  <c r="AJ121" i="3" a="1"/>
  <c r="AJ121" i="3" s="1"/>
  <c r="Y121" i="3" a="1"/>
  <c r="Y121" i="3" s="1"/>
  <c r="O121" i="3" a="1"/>
  <c r="O121" i="3" s="1"/>
  <c r="D121" i="3" a="1"/>
  <c r="D121" i="3" s="1"/>
  <c r="AO121" i="3" a="1"/>
  <c r="AO121" i="3" s="1"/>
  <c r="T121" i="3" a="1"/>
  <c r="T121" i="3" s="1"/>
  <c r="AF121" i="3" a="1"/>
  <c r="AF121" i="3" s="1"/>
  <c r="K121" i="3" a="1"/>
  <c r="K121" i="3" s="1"/>
  <c r="AE121" i="3" a="1"/>
  <c r="AE121" i="3" s="1"/>
  <c r="I121" i="3" a="1"/>
  <c r="I121" i="3" s="1"/>
  <c r="U121" i="3" a="1"/>
  <c r="U121" i="3" s="1"/>
  <c r="D42" i="3" a="1"/>
  <c r="D42" i="3" s="1"/>
  <c r="J33" i="3" a="1"/>
  <c r="J33" i="3" s="1"/>
  <c r="G93" i="3" a="1"/>
  <c r="G93" i="3" s="1"/>
  <c r="L93" i="3" a="1"/>
  <c r="L93" i="3" s="1"/>
  <c r="Q93" i="3" a="1"/>
  <c r="Q93" i="3" s="1"/>
  <c r="W93" i="3" a="1"/>
  <c r="W93" i="3" s="1"/>
  <c r="AB93" i="3" a="1"/>
  <c r="AB93" i="3" s="1"/>
  <c r="AG93" i="3" a="1"/>
  <c r="AG93" i="3" s="1"/>
  <c r="I95" i="3" a="1"/>
  <c r="I95" i="3" s="1"/>
  <c r="Q95" i="3" a="1"/>
  <c r="Q95" i="3" s="1"/>
  <c r="Y95" i="3" a="1"/>
  <c r="Y95" i="3" s="1"/>
  <c r="AG95" i="3" a="1"/>
  <c r="AG95" i="3" s="1"/>
  <c r="AO95" i="3" a="1"/>
  <c r="AO95" i="3" s="1"/>
  <c r="I96" i="3" a="1"/>
  <c r="I96" i="3" s="1"/>
  <c r="Q96" i="3" a="1"/>
  <c r="Q96" i="3" s="1"/>
  <c r="Y96" i="3" a="1"/>
  <c r="Y96" i="3" s="1"/>
  <c r="AG96" i="3" a="1"/>
  <c r="AG96" i="3" s="1"/>
  <c r="AO96" i="3" a="1"/>
  <c r="AO96" i="3" s="1"/>
  <c r="I97" i="3" a="1"/>
  <c r="I97" i="3" s="1"/>
  <c r="Q97" i="3" a="1"/>
  <c r="Q97" i="3" s="1"/>
  <c r="Y97" i="3" a="1"/>
  <c r="Y97" i="3" s="1"/>
  <c r="AG97" i="3" a="1"/>
  <c r="AG97" i="3" s="1"/>
  <c r="AO97" i="3" a="1"/>
  <c r="AO97" i="3" s="1"/>
  <c r="G100" i="3" a="1"/>
  <c r="G100" i="3" s="1"/>
  <c r="W100" i="3" a="1"/>
  <c r="W100" i="3" s="1"/>
  <c r="AM100" i="3" a="1"/>
  <c r="AM100" i="3" s="1"/>
  <c r="O101" i="3" a="1"/>
  <c r="O101" i="3" s="1"/>
  <c r="G102" i="3" a="1"/>
  <c r="G102" i="3" s="1"/>
  <c r="W102" i="3" a="1"/>
  <c r="W102" i="3" s="1"/>
  <c r="AM102" i="3" a="1"/>
  <c r="AM102" i="3" s="1"/>
  <c r="O105" i="3" a="1"/>
  <c r="O105" i="3" s="1"/>
  <c r="AE105" i="3" a="1"/>
  <c r="AE105" i="3" s="1"/>
  <c r="G106" i="3" a="1"/>
  <c r="G106" i="3" s="1"/>
  <c r="W106" i="3" a="1"/>
  <c r="W106" i="3" s="1"/>
  <c r="AM106" i="3" a="1"/>
  <c r="AM106" i="3" s="1"/>
  <c r="U107" i="3" a="1"/>
  <c r="U107" i="3" s="1"/>
  <c r="G111" i="3" a="1"/>
  <c r="G111" i="3" s="1"/>
  <c r="D112" i="3" a="1"/>
  <c r="D112" i="3" s="1"/>
  <c r="C113" i="3" a="1"/>
  <c r="C113" i="3" s="1"/>
  <c r="AG115" i="3" a="1"/>
  <c r="AG115" i="3" s="1"/>
  <c r="AD16" i="3" a="1"/>
  <c r="AD16" i="3" s="1"/>
  <c r="H20" i="3" a="1"/>
  <c r="H20" i="3" s="1"/>
  <c r="H30" i="3" a="1"/>
  <c r="H30" i="3" s="1"/>
  <c r="D36" i="3" a="1"/>
  <c r="D36" i="3" s="1"/>
  <c r="L41" i="3" a="1"/>
  <c r="L41" i="3" s="1"/>
  <c r="N46" i="3" a="1"/>
  <c r="N46" i="3" s="1"/>
  <c r="H52" i="3" a="1"/>
  <c r="H52" i="3" s="1"/>
  <c r="E63" i="3" a="1"/>
  <c r="E63" i="3" s="1"/>
  <c r="AP85" i="3" a="1"/>
  <c r="AP85" i="3" s="1"/>
  <c r="AP93" i="3" a="1"/>
  <c r="AP93" i="3" s="1"/>
  <c r="AL93" i="3" a="1"/>
  <c r="AL93" i="3" s="1"/>
  <c r="AH93" i="3" a="1"/>
  <c r="AH93" i="3" s="1"/>
  <c r="AD93" i="3" a="1"/>
  <c r="AD93" i="3" s="1"/>
  <c r="Z93" i="3" a="1"/>
  <c r="Z93" i="3" s="1"/>
  <c r="V93" i="3" a="1"/>
  <c r="V93" i="3" s="1"/>
  <c r="R93" i="3" a="1"/>
  <c r="R93" i="3" s="1"/>
  <c r="N93" i="3" a="1"/>
  <c r="N93" i="3" s="1"/>
  <c r="J93" i="3" a="1"/>
  <c r="J93" i="3" s="1"/>
  <c r="F93" i="3" a="1"/>
  <c r="F93" i="3" s="1"/>
  <c r="AP101" i="3" a="1"/>
  <c r="AP101" i="3" s="1"/>
  <c r="AL101" i="3" a="1"/>
  <c r="AL101" i="3" s="1"/>
  <c r="AH101" i="3" a="1"/>
  <c r="AH101" i="3" s="1"/>
  <c r="AD101" i="3" a="1"/>
  <c r="AD101" i="3" s="1"/>
  <c r="Z101" i="3" a="1"/>
  <c r="Z101" i="3" s="1"/>
  <c r="V101" i="3" a="1"/>
  <c r="V101" i="3" s="1"/>
  <c r="R101" i="3" a="1"/>
  <c r="R101" i="3" s="1"/>
  <c r="N101" i="3" a="1"/>
  <c r="N101" i="3" s="1"/>
  <c r="J101" i="3" a="1"/>
  <c r="J101" i="3" s="1"/>
  <c r="F101" i="3" a="1"/>
  <c r="F101" i="3" s="1"/>
  <c r="AO101" i="3" a="1"/>
  <c r="AO101" i="3" s="1"/>
  <c r="AK101" i="3" a="1"/>
  <c r="AK101" i="3" s="1"/>
  <c r="AG101" i="3" a="1"/>
  <c r="AG101" i="3" s="1"/>
  <c r="AC101" i="3" a="1"/>
  <c r="AC101" i="3" s="1"/>
  <c r="Y101" i="3" a="1"/>
  <c r="Y101" i="3" s="1"/>
  <c r="U101" i="3" a="1"/>
  <c r="U101" i="3" s="1"/>
  <c r="Q101" i="3" a="1"/>
  <c r="Q101" i="3" s="1"/>
  <c r="M101" i="3" a="1"/>
  <c r="M101" i="3" s="1"/>
  <c r="I101" i="3" a="1"/>
  <c r="I101" i="3" s="1"/>
  <c r="E101" i="3" a="1"/>
  <c r="E101" i="3" s="1"/>
  <c r="AN101" i="3" a="1"/>
  <c r="AN101" i="3" s="1"/>
  <c r="AJ101" i="3" a="1"/>
  <c r="AJ101" i="3" s="1"/>
  <c r="AF101" i="3" a="1"/>
  <c r="AF101" i="3" s="1"/>
  <c r="AB101" i="3" a="1"/>
  <c r="AB101" i="3" s="1"/>
  <c r="X101" i="3" a="1"/>
  <c r="X101" i="3" s="1"/>
  <c r="T101" i="3" a="1"/>
  <c r="T101" i="3" s="1"/>
  <c r="P101" i="3" a="1"/>
  <c r="P101" i="3" s="1"/>
  <c r="L101" i="3" a="1"/>
  <c r="L101" i="3" s="1"/>
  <c r="H101" i="3" a="1"/>
  <c r="H101" i="3" s="1"/>
  <c r="D101" i="3" a="1"/>
  <c r="D101" i="3" s="1"/>
  <c r="AP109" i="3" a="1"/>
  <c r="AP109" i="3" s="1"/>
  <c r="AL109" i="3" a="1"/>
  <c r="AL109" i="3" s="1"/>
  <c r="AH109" i="3" a="1"/>
  <c r="AH109" i="3" s="1"/>
  <c r="AD109" i="3" a="1"/>
  <c r="AD109" i="3" s="1"/>
  <c r="Z109" i="3" a="1"/>
  <c r="Z109" i="3" s="1"/>
  <c r="V109" i="3" a="1"/>
  <c r="V109" i="3" s="1"/>
  <c r="R109" i="3" a="1"/>
  <c r="R109" i="3" s="1"/>
  <c r="N109" i="3" a="1"/>
  <c r="N109" i="3" s="1"/>
  <c r="J109" i="3" a="1"/>
  <c r="J109" i="3" s="1"/>
  <c r="F109" i="3" a="1"/>
  <c r="F109" i="3" s="1"/>
  <c r="AM109" i="3" a="1"/>
  <c r="AM109" i="3" s="1"/>
  <c r="AG109" i="3" a="1"/>
  <c r="AG109" i="3" s="1"/>
  <c r="AB109" i="3" a="1"/>
  <c r="AB109" i="3" s="1"/>
  <c r="W109" i="3" a="1"/>
  <c r="W109" i="3" s="1"/>
  <c r="Q109" i="3" a="1"/>
  <c r="Q109" i="3" s="1"/>
  <c r="L109" i="3" a="1"/>
  <c r="L109" i="3" s="1"/>
  <c r="G109" i="3" a="1"/>
  <c r="G109" i="3" s="1"/>
  <c r="AN109" i="3" a="1"/>
  <c r="AN109" i="3" s="1"/>
  <c r="AF109" i="3" a="1"/>
  <c r="AF109" i="3" s="1"/>
  <c r="Y109" i="3" a="1"/>
  <c r="Y109" i="3" s="1"/>
  <c r="S109" i="3" a="1"/>
  <c r="S109" i="3" s="1"/>
  <c r="K109" i="3" a="1"/>
  <c r="K109" i="3" s="1"/>
  <c r="D109" i="3" a="1"/>
  <c r="D109" i="3" s="1"/>
  <c r="AK109" i="3" a="1"/>
  <c r="AK109" i="3" s="1"/>
  <c r="AE109" i="3" a="1"/>
  <c r="AE109" i="3" s="1"/>
  <c r="X109" i="3" a="1"/>
  <c r="X109" i="3" s="1"/>
  <c r="P109" i="3" a="1"/>
  <c r="P109" i="3" s="1"/>
  <c r="I109" i="3" a="1"/>
  <c r="I109" i="3" s="1"/>
  <c r="C109" i="3" a="1"/>
  <c r="C109" i="3" s="1"/>
  <c r="AJ109" i="3" a="1"/>
  <c r="AJ109" i="3" s="1"/>
  <c r="AC109" i="3" a="1"/>
  <c r="AC109" i="3" s="1"/>
  <c r="U109" i="3" a="1"/>
  <c r="U109" i="3" s="1"/>
  <c r="O109" i="3" a="1"/>
  <c r="O109" i="3" s="1"/>
  <c r="H109" i="3" a="1"/>
  <c r="H109" i="3" s="1"/>
  <c r="AP117" i="3" a="1"/>
  <c r="AP117" i="3" s="1"/>
  <c r="AL117" i="3" a="1"/>
  <c r="AL117" i="3" s="1"/>
  <c r="AH117" i="3" a="1"/>
  <c r="AH117" i="3" s="1"/>
  <c r="AD117" i="3" a="1"/>
  <c r="AD117" i="3" s="1"/>
  <c r="Z117" i="3" a="1"/>
  <c r="Z117" i="3" s="1"/>
  <c r="V117" i="3" a="1"/>
  <c r="V117" i="3" s="1"/>
  <c r="R117" i="3" a="1"/>
  <c r="R117" i="3" s="1"/>
  <c r="N117" i="3" a="1"/>
  <c r="N117" i="3" s="1"/>
  <c r="J117" i="3" a="1"/>
  <c r="J117" i="3" s="1"/>
  <c r="F117" i="3" a="1"/>
  <c r="F117" i="3" s="1"/>
  <c r="AK117" i="3" a="1"/>
  <c r="AK117" i="3" s="1"/>
  <c r="AF117" i="3" a="1"/>
  <c r="AF117" i="3" s="1"/>
  <c r="AA117" i="3" a="1"/>
  <c r="AA117" i="3" s="1"/>
  <c r="U117" i="3" a="1"/>
  <c r="U117" i="3" s="1"/>
  <c r="P117" i="3" a="1"/>
  <c r="P117" i="3" s="1"/>
  <c r="K117" i="3" a="1"/>
  <c r="K117" i="3" s="1"/>
  <c r="E117" i="3" a="1"/>
  <c r="E117" i="3" s="1"/>
  <c r="AJ117" i="3" a="1"/>
  <c r="AJ117" i="3" s="1"/>
  <c r="AC117" i="3" a="1"/>
  <c r="AC117" i="3" s="1"/>
  <c r="W117" i="3" a="1"/>
  <c r="W117" i="3" s="1"/>
  <c r="O117" i="3" a="1"/>
  <c r="O117" i="3" s="1"/>
  <c r="H117" i="3" a="1"/>
  <c r="H117" i="3" s="1"/>
  <c r="AO117" i="3" a="1"/>
  <c r="AO117" i="3" s="1"/>
  <c r="AI117" i="3" a="1"/>
  <c r="AI117" i="3" s="1"/>
  <c r="AB117" i="3" a="1"/>
  <c r="AB117" i="3" s="1"/>
  <c r="T117" i="3" a="1"/>
  <c r="T117" i="3" s="1"/>
  <c r="M117" i="3" a="1"/>
  <c r="M117" i="3" s="1"/>
  <c r="G117" i="3" a="1"/>
  <c r="G117" i="3" s="1"/>
  <c r="AN117" i="3" a="1"/>
  <c r="AN117" i="3" s="1"/>
  <c r="AG117" i="3" a="1"/>
  <c r="AG117" i="3" s="1"/>
  <c r="Y117" i="3" a="1"/>
  <c r="Y117" i="3" s="1"/>
  <c r="S117" i="3" a="1"/>
  <c r="S117" i="3" s="1"/>
  <c r="L117" i="3" a="1"/>
  <c r="L117" i="3" s="1"/>
  <c r="D117" i="3" a="1"/>
  <c r="D117" i="3" s="1"/>
  <c r="AE117" i="3" a="1"/>
  <c r="AE117" i="3" s="1"/>
  <c r="C117" i="3" a="1"/>
  <c r="C117" i="3" s="1"/>
  <c r="X117" i="3" a="1"/>
  <c r="X117" i="3" s="1"/>
  <c r="Q117" i="3" a="1"/>
  <c r="Q117" i="3" s="1"/>
  <c r="AP125" i="3" a="1"/>
  <c r="AP125" i="3" s="1"/>
  <c r="AL125" i="3" a="1"/>
  <c r="AL125" i="3" s="1"/>
  <c r="AH125" i="3" a="1"/>
  <c r="AH125" i="3" s="1"/>
  <c r="AD125" i="3" a="1"/>
  <c r="AD125" i="3" s="1"/>
  <c r="Z125" i="3" a="1"/>
  <c r="Z125" i="3" s="1"/>
  <c r="V125" i="3" a="1"/>
  <c r="V125" i="3" s="1"/>
  <c r="R125" i="3" a="1"/>
  <c r="R125" i="3" s="1"/>
  <c r="N125" i="3" a="1"/>
  <c r="N125" i="3" s="1"/>
  <c r="J125" i="3" a="1"/>
  <c r="J125" i="3" s="1"/>
  <c r="F125" i="3" a="1"/>
  <c r="F125" i="3" s="1"/>
  <c r="AO125" i="3" a="1"/>
  <c r="AO125" i="3" s="1"/>
  <c r="AK125" i="3" a="1"/>
  <c r="AK125" i="3" s="1"/>
  <c r="AG125" i="3" a="1"/>
  <c r="AG125" i="3" s="1"/>
  <c r="AC125" i="3" a="1"/>
  <c r="AC125" i="3" s="1"/>
  <c r="Y125" i="3" a="1"/>
  <c r="Y125" i="3" s="1"/>
  <c r="U125" i="3" a="1"/>
  <c r="U125" i="3" s="1"/>
  <c r="Q125" i="3" a="1"/>
  <c r="Q125" i="3" s="1"/>
  <c r="M125" i="3" a="1"/>
  <c r="M125" i="3" s="1"/>
  <c r="I125" i="3" a="1"/>
  <c r="I125" i="3" s="1"/>
  <c r="E125" i="3" a="1"/>
  <c r="E125" i="3" s="1"/>
  <c r="AM125" i="3" a="1"/>
  <c r="AM125" i="3" s="1"/>
  <c r="AE125" i="3" a="1"/>
  <c r="AE125" i="3" s="1"/>
  <c r="W125" i="3" a="1"/>
  <c r="W125" i="3" s="1"/>
  <c r="O125" i="3" a="1"/>
  <c r="O125" i="3" s="1"/>
  <c r="G125" i="3" a="1"/>
  <c r="G125" i="3" s="1"/>
  <c r="AJ125" i="3" a="1"/>
  <c r="AJ125" i="3" s="1"/>
  <c r="AB125" i="3" a="1"/>
  <c r="AB125" i="3" s="1"/>
  <c r="T125" i="3" a="1"/>
  <c r="T125" i="3" s="1"/>
  <c r="L125" i="3" a="1"/>
  <c r="L125" i="3" s="1"/>
  <c r="D125" i="3" a="1"/>
  <c r="D125" i="3" s="1"/>
  <c r="AA125" i="3" a="1"/>
  <c r="AA125" i="3" s="1"/>
  <c r="K125" i="3" a="1"/>
  <c r="K125" i="3" s="1"/>
  <c r="AN125" i="3" a="1"/>
  <c r="AN125" i="3" s="1"/>
  <c r="X125" i="3" a="1"/>
  <c r="X125" i="3" s="1"/>
  <c r="H125" i="3" a="1"/>
  <c r="H125" i="3" s="1"/>
  <c r="P125" i="3" a="1"/>
  <c r="P125" i="3" s="1"/>
  <c r="AI125" i="3" a="1"/>
  <c r="AI125" i="3" s="1"/>
  <c r="C125" i="3" a="1"/>
  <c r="C125" i="3" s="1"/>
  <c r="AF125" i="3" a="1"/>
  <c r="AF125" i="3" s="1"/>
  <c r="S125" i="3" a="1"/>
  <c r="S125" i="3" s="1"/>
  <c r="D93" i="3" a="1"/>
  <c r="D93" i="3" s="1"/>
  <c r="I93" i="3" a="1"/>
  <c r="I93" i="3" s="1"/>
  <c r="O93" i="3" a="1"/>
  <c r="O93" i="3" s="1"/>
  <c r="T93" i="3" a="1"/>
  <c r="T93" i="3" s="1"/>
  <c r="Y93" i="3" a="1"/>
  <c r="Y93" i="3" s="1"/>
  <c r="AE93" i="3" a="1"/>
  <c r="AE93" i="3" s="1"/>
  <c r="AJ93" i="3" a="1"/>
  <c r="AJ93" i="3" s="1"/>
  <c r="AO93" i="3" a="1"/>
  <c r="AO93" i="3" s="1"/>
  <c r="E95" i="3" a="1"/>
  <c r="E95" i="3" s="1"/>
  <c r="M95" i="3" a="1"/>
  <c r="M95" i="3" s="1"/>
  <c r="U95" i="3" a="1"/>
  <c r="U95" i="3" s="1"/>
  <c r="AC95" i="3" a="1"/>
  <c r="AC95" i="3" s="1"/>
  <c r="E96" i="3" a="1"/>
  <c r="E96" i="3" s="1"/>
  <c r="M96" i="3" a="1"/>
  <c r="M96" i="3" s="1"/>
  <c r="U96" i="3" a="1"/>
  <c r="U96" i="3" s="1"/>
  <c r="AC96" i="3" a="1"/>
  <c r="AC96" i="3" s="1"/>
  <c r="AK96" i="3" a="1"/>
  <c r="AK96" i="3" s="1"/>
  <c r="E97" i="3" a="1"/>
  <c r="E97" i="3" s="1"/>
  <c r="M97" i="3" a="1"/>
  <c r="M97" i="3" s="1"/>
  <c r="U97" i="3" a="1"/>
  <c r="U97" i="3" s="1"/>
  <c r="AC97" i="3" a="1"/>
  <c r="AC97" i="3" s="1"/>
  <c r="AK97" i="3" a="1"/>
  <c r="AK97" i="3" s="1"/>
  <c r="O100" i="3" a="1"/>
  <c r="O100" i="3" s="1"/>
  <c r="G101" i="3" a="1"/>
  <c r="G101" i="3" s="1"/>
  <c r="W101" i="3" a="1"/>
  <c r="W101" i="3" s="1"/>
  <c r="AM101" i="3" a="1"/>
  <c r="AM101" i="3" s="1"/>
  <c r="O102" i="3" a="1"/>
  <c r="O102" i="3" s="1"/>
  <c r="AE102" i="3" a="1"/>
  <c r="AE102" i="3" s="1"/>
  <c r="G105" i="3" a="1"/>
  <c r="G105" i="3" s="1"/>
  <c r="W105" i="3" a="1"/>
  <c r="W105" i="3" s="1"/>
  <c r="AM105" i="3" a="1"/>
  <c r="AM105" i="3" s="1"/>
  <c r="O106" i="3" a="1"/>
  <c r="O106" i="3" s="1"/>
  <c r="I107" i="3" a="1"/>
  <c r="I107" i="3" s="1"/>
  <c r="AJ107" i="3" a="1"/>
  <c r="AJ107" i="3" s="1"/>
  <c r="M109" i="3" a="1"/>
  <c r="M109" i="3" s="1"/>
  <c r="AO109" i="3" a="1"/>
  <c r="AO109" i="3" s="1"/>
  <c r="W112" i="3" a="1"/>
  <c r="W112" i="3" s="1"/>
  <c r="AB113" i="3" a="1"/>
  <c r="AB113" i="3" s="1"/>
  <c r="D115" i="3" a="1"/>
  <c r="D115" i="3" s="1"/>
  <c r="I117" i="3" a="1"/>
  <c r="I117" i="3" s="1"/>
  <c r="AP95" i="3" a="1"/>
  <c r="AP95" i="3" s="1"/>
  <c r="AL95" i="3" a="1"/>
  <c r="AL95" i="3" s="1"/>
  <c r="AH95" i="3" a="1"/>
  <c r="AH95" i="3" s="1"/>
  <c r="AD95" i="3" a="1"/>
  <c r="AD95" i="3" s="1"/>
  <c r="Z95" i="3" a="1"/>
  <c r="Z95" i="3" s="1"/>
  <c r="V95" i="3" a="1"/>
  <c r="V95" i="3" s="1"/>
  <c r="R95" i="3" a="1"/>
  <c r="R95" i="3" s="1"/>
  <c r="N95" i="3" a="1"/>
  <c r="N95" i="3" s="1"/>
  <c r="J95" i="3" a="1"/>
  <c r="J95" i="3" s="1"/>
  <c r="F95" i="3" a="1"/>
  <c r="F95" i="3" s="1"/>
  <c r="AN95" i="3" a="1"/>
  <c r="AN95" i="3" s="1"/>
  <c r="AJ95" i="3" a="1"/>
  <c r="AJ95" i="3" s="1"/>
  <c r="AF95" i="3" a="1"/>
  <c r="AF95" i="3" s="1"/>
  <c r="AB95" i="3" a="1"/>
  <c r="AB95" i="3" s="1"/>
  <c r="X95" i="3" a="1"/>
  <c r="X95" i="3" s="1"/>
  <c r="T95" i="3" a="1"/>
  <c r="T95" i="3" s="1"/>
  <c r="P95" i="3" a="1"/>
  <c r="P95" i="3" s="1"/>
  <c r="L95" i="3" a="1"/>
  <c r="L95" i="3" s="1"/>
  <c r="H95" i="3" a="1"/>
  <c r="H95" i="3" s="1"/>
  <c r="D95" i="3" a="1"/>
  <c r="D95" i="3" s="1"/>
  <c r="AP100" i="3" a="1"/>
  <c r="AP100" i="3" s="1"/>
  <c r="AL100" i="3" a="1"/>
  <c r="AL100" i="3" s="1"/>
  <c r="AH100" i="3" a="1"/>
  <c r="AH100" i="3" s="1"/>
  <c r="AD100" i="3" a="1"/>
  <c r="AD100" i="3" s="1"/>
  <c r="Z100" i="3" a="1"/>
  <c r="Z100" i="3" s="1"/>
  <c r="V100" i="3" a="1"/>
  <c r="V100" i="3" s="1"/>
  <c r="R100" i="3" a="1"/>
  <c r="R100" i="3" s="1"/>
  <c r="N100" i="3" a="1"/>
  <c r="N100" i="3" s="1"/>
  <c r="J100" i="3" a="1"/>
  <c r="J100" i="3" s="1"/>
  <c r="F100" i="3" a="1"/>
  <c r="F100" i="3" s="1"/>
  <c r="AO100" i="3" a="1"/>
  <c r="AO100" i="3" s="1"/>
  <c r="AK100" i="3" a="1"/>
  <c r="AK100" i="3" s="1"/>
  <c r="AG100" i="3" a="1"/>
  <c r="AG100" i="3" s="1"/>
  <c r="AC100" i="3" a="1"/>
  <c r="AC100" i="3" s="1"/>
  <c r="Y100" i="3" a="1"/>
  <c r="Y100" i="3" s="1"/>
  <c r="U100" i="3" a="1"/>
  <c r="U100" i="3" s="1"/>
  <c r="Q100" i="3" a="1"/>
  <c r="Q100" i="3" s="1"/>
  <c r="M100" i="3" a="1"/>
  <c r="M100" i="3" s="1"/>
  <c r="I100" i="3" a="1"/>
  <c r="I100" i="3" s="1"/>
  <c r="E100" i="3" a="1"/>
  <c r="E100" i="3" s="1"/>
  <c r="AN100" i="3" a="1"/>
  <c r="AN100" i="3" s="1"/>
  <c r="AJ100" i="3" a="1"/>
  <c r="AJ100" i="3" s="1"/>
  <c r="AF100" i="3" a="1"/>
  <c r="AF100" i="3" s="1"/>
  <c r="AB100" i="3" a="1"/>
  <c r="AB100" i="3" s="1"/>
  <c r="X100" i="3" a="1"/>
  <c r="X100" i="3" s="1"/>
  <c r="T100" i="3" a="1"/>
  <c r="T100" i="3" s="1"/>
  <c r="P100" i="3" a="1"/>
  <c r="P100" i="3" s="1"/>
  <c r="L100" i="3" a="1"/>
  <c r="L100" i="3" s="1"/>
  <c r="H100" i="3" a="1"/>
  <c r="H100" i="3" s="1"/>
  <c r="D100" i="3" a="1"/>
  <c r="D100" i="3" s="1"/>
  <c r="AP106" i="3" a="1"/>
  <c r="AP106" i="3" s="1"/>
  <c r="AL106" i="3" a="1"/>
  <c r="AL106" i="3" s="1"/>
  <c r="AH106" i="3" a="1"/>
  <c r="AH106" i="3" s="1"/>
  <c r="AD106" i="3" a="1"/>
  <c r="AD106" i="3" s="1"/>
  <c r="Z106" i="3" a="1"/>
  <c r="Z106" i="3" s="1"/>
  <c r="V106" i="3" a="1"/>
  <c r="V106" i="3" s="1"/>
  <c r="R106" i="3" a="1"/>
  <c r="R106" i="3" s="1"/>
  <c r="N106" i="3" a="1"/>
  <c r="N106" i="3" s="1"/>
  <c r="J106" i="3" a="1"/>
  <c r="J106" i="3" s="1"/>
  <c r="F106" i="3" a="1"/>
  <c r="F106" i="3" s="1"/>
  <c r="AO106" i="3" a="1"/>
  <c r="AO106" i="3" s="1"/>
  <c r="AK106" i="3" a="1"/>
  <c r="AK106" i="3" s="1"/>
  <c r="AG106" i="3" a="1"/>
  <c r="AG106" i="3" s="1"/>
  <c r="AC106" i="3" a="1"/>
  <c r="AC106" i="3" s="1"/>
  <c r="Y106" i="3" a="1"/>
  <c r="Y106" i="3" s="1"/>
  <c r="U106" i="3" a="1"/>
  <c r="U106" i="3" s="1"/>
  <c r="Q106" i="3" a="1"/>
  <c r="Q106" i="3" s="1"/>
  <c r="M106" i="3" a="1"/>
  <c r="M106" i="3" s="1"/>
  <c r="I106" i="3" a="1"/>
  <c r="I106" i="3" s="1"/>
  <c r="E106" i="3" a="1"/>
  <c r="E106" i="3" s="1"/>
  <c r="AN106" i="3" a="1"/>
  <c r="AN106" i="3" s="1"/>
  <c r="AJ106" i="3" a="1"/>
  <c r="AJ106" i="3" s="1"/>
  <c r="AF106" i="3" a="1"/>
  <c r="AF106" i="3" s="1"/>
  <c r="AB106" i="3" a="1"/>
  <c r="AB106" i="3" s="1"/>
  <c r="X106" i="3" a="1"/>
  <c r="X106" i="3" s="1"/>
  <c r="T106" i="3" a="1"/>
  <c r="T106" i="3" s="1"/>
  <c r="P106" i="3" a="1"/>
  <c r="P106" i="3" s="1"/>
  <c r="L106" i="3" a="1"/>
  <c r="L106" i="3" s="1"/>
  <c r="H106" i="3" a="1"/>
  <c r="H106" i="3" s="1"/>
  <c r="D106" i="3" a="1"/>
  <c r="D106" i="3" s="1"/>
  <c r="AP111" i="3" a="1"/>
  <c r="AP111" i="3" s="1"/>
  <c r="AL111" i="3" a="1"/>
  <c r="AL111" i="3" s="1"/>
  <c r="AH111" i="3" a="1"/>
  <c r="AH111" i="3" s="1"/>
  <c r="AD111" i="3" a="1"/>
  <c r="AD111" i="3" s="1"/>
  <c r="Z111" i="3" a="1"/>
  <c r="Z111" i="3" s="1"/>
  <c r="V111" i="3" a="1"/>
  <c r="V111" i="3" s="1"/>
  <c r="R111" i="3" a="1"/>
  <c r="R111" i="3" s="1"/>
  <c r="N111" i="3" a="1"/>
  <c r="N111" i="3" s="1"/>
  <c r="J111" i="3" a="1"/>
  <c r="J111" i="3" s="1"/>
  <c r="F111" i="3" a="1"/>
  <c r="F111" i="3" s="1"/>
  <c r="AK111" i="3" a="1"/>
  <c r="AK111" i="3" s="1"/>
  <c r="AF111" i="3" a="1"/>
  <c r="AF111" i="3" s="1"/>
  <c r="AA111" i="3" a="1"/>
  <c r="AA111" i="3" s="1"/>
  <c r="U111" i="3" a="1"/>
  <c r="U111" i="3" s="1"/>
  <c r="P111" i="3" a="1"/>
  <c r="P111" i="3" s="1"/>
  <c r="K111" i="3" a="1"/>
  <c r="K111" i="3" s="1"/>
  <c r="E111" i="3" a="1"/>
  <c r="E111" i="3" s="1"/>
  <c r="AM111" i="3" a="1"/>
  <c r="AM111" i="3" s="1"/>
  <c r="AE111" i="3" a="1"/>
  <c r="AE111" i="3" s="1"/>
  <c r="X111" i="3" a="1"/>
  <c r="X111" i="3" s="1"/>
  <c r="Q111" i="3" a="1"/>
  <c r="Q111" i="3" s="1"/>
  <c r="I111" i="3" a="1"/>
  <c r="I111" i="3" s="1"/>
  <c r="C111" i="3" a="1"/>
  <c r="C111" i="3" s="1"/>
  <c r="AO111" i="3" a="1"/>
  <c r="AO111" i="3" s="1"/>
  <c r="AG111" i="3" a="1"/>
  <c r="AG111" i="3" s="1"/>
  <c r="W111" i="3" a="1"/>
  <c r="W111" i="3" s="1"/>
  <c r="M111" i="3" a="1"/>
  <c r="M111" i="3" s="1"/>
  <c r="D111" i="3" a="1"/>
  <c r="D111" i="3" s="1"/>
  <c r="AN111" i="3" a="1"/>
  <c r="AN111" i="3" s="1"/>
  <c r="AC111" i="3" a="1"/>
  <c r="AC111" i="3" s="1"/>
  <c r="T111" i="3" a="1"/>
  <c r="T111" i="3" s="1"/>
  <c r="L111" i="3" a="1"/>
  <c r="L111" i="3" s="1"/>
  <c r="AJ111" i="3" a="1"/>
  <c r="AJ111" i="3" s="1"/>
  <c r="AB111" i="3" a="1"/>
  <c r="AB111" i="3" s="1"/>
  <c r="S111" i="3" a="1"/>
  <c r="S111" i="3" s="1"/>
  <c r="H111" i="3" a="1"/>
  <c r="H111" i="3" s="1"/>
  <c r="AP116" i="3" a="1"/>
  <c r="AP116" i="3" s="1"/>
  <c r="AL116" i="3" a="1"/>
  <c r="AL116" i="3" s="1"/>
  <c r="AH116" i="3" a="1"/>
  <c r="AH116" i="3" s="1"/>
  <c r="AD116" i="3" a="1"/>
  <c r="AD116" i="3" s="1"/>
  <c r="Z116" i="3" a="1"/>
  <c r="Z116" i="3" s="1"/>
  <c r="V116" i="3" a="1"/>
  <c r="V116" i="3" s="1"/>
  <c r="R116" i="3" a="1"/>
  <c r="R116" i="3" s="1"/>
  <c r="N116" i="3" a="1"/>
  <c r="N116" i="3" s="1"/>
  <c r="J116" i="3" a="1"/>
  <c r="J116" i="3" s="1"/>
  <c r="F116" i="3" a="1"/>
  <c r="F116" i="3" s="1"/>
  <c r="AN116" i="3" a="1"/>
  <c r="AN116" i="3" s="1"/>
  <c r="AI116" i="3" a="1"/>
  <c r="AI116" i="3" s="1"/>
  <c r="AC116" i="3" a="1"/>
  <c r="AC116" i="3" s="1"/>
  <c r="X116" i="3" a="1"/>
  <c r="X116" i="3" s="1"/>
  <c r="S116" i="3" a="1"/>
  <c r="S116" i="3" s="1"/>
  <c r="M116" i="3" a="1"/>
  <c r="M116" i="3" s="1"/>
  <c r="H116" i="3" a="1"/>
  <c r="H116" i="3" s="1"/>
  <c r="C116" i="3" a="1"/>
  <c r="C116" i="3" s="1"/>
  <c r="AO116" i="3" a="1"/>
  <c r="AO116" i="3" s="1"/>
  <c r="AG116" i="3" a="1"/>
  <c r="AG116" i="3" s="1"/>
  <c r="AA116" i="3" a="1"/>
  <c r="AA116" i="3" s="1"/>
  <c r="T116" i="3" a="1"/>
  <c r="T116" i="3" s="1"/>
  <c r="L116" i="3" a="1"/>
  <c r="L116" i="3" s="1"/>
  <c r="E116" i="3" a="1"/>
  <c r="E116" i="3" s="1"/>
  <c r="AM116" i="3" a="1"/>
  <c r="AM116" i="3" s="1"/>
  <c r="AF116" i="3" a="1"/>
  <c r="AF116" i="3" s="1"/>
  <c r="Y116" i="3" a="1"/>
  <c r="Y116" i="3" s="1"/>
  <c r="Q116" i="3" a="1"/>
  <c r="Q116" i="3" s="1"/>
  <c r="K116" i="3" a="1"/>
  <c r="K116" i="3" s="1"/>
  <c r="D116" i="3" a="1"/>
  <c r="D116" i="3" s="1"/>
  <c r="AK116" i="3" a="1"/>
  <c r="AK116" i="3" s="1"/>
  <c r="AE116" i="3" a="1"/>
  <c r="AE116" i="3" s="1"/>
  <c r="W116" i="3" a="1"/>
  <c r="W116" i="3" s="1"/>
  <c r="P116" i="3" a="1"/>
  <c r="P116" i="3" s="1"/>
  <c r="I116" i="3" a="1"/>
  <c r="I116" i="3" s="1"/>
  <c r="O116" i="3" a="1"/>
  <c r="O116" i="3" s="1"/>
  <c r="AJ116" i="3" a="1"/>
  <c r="AJ116" i="3" s="1"/>
  <c r="G116" i="3" a="1"/>
  <c r="G116" i="3" s="1"/>
  <c r="AB116" i="3" a="1"/>
  <c r="AB116" i="3" s="1"/>
  <c r="AP122" i="3" a="1"/>
  <c r="AP122" i="3" s="1"/>
  <c r="AL122" i="3" a="1"/>
  <c r="AL122" i="3" s="1"/>
  <c r="AH122" i="3" a="1"/>
  <c r="AH122" i="3" s="1"/>
  <c r="AD122" i="3" a="1"/>
  <c r="AD122" i="3" s="1"/>
  <c r="Z122" i="3" a="1"/>
  <c r="Z122" i="3" s="1"/>
  <c r="V122" i="3" a="1"/>
  <c r="V122" i="3" s="1"/>
  <c r="R122" i="3" a="1"/>
  <c r="R122" i="3" s="1"/>
  <c r="N122" i="3" a="1"/>
  <c r="N122" i="3" s="1"/>
  <c r="J122" i="3" a="1"/>
  <c r="J122" i="3" s="1"/>
  <c r="F122" i="3" a="1"/>
  <c r="F122" i="3" s="1"/>
  <c r="AK122" i="3" a="1"/>
  <c r="AK122" i="3" s="1"/>
  <c r="AF122" i="3" a="1"/>
  <c r="AF122" i="3" s="1"/>
  <c r="AA122" i="3" a="1"/>
  <c r="AA122" i="3" s="1"/>
  <c r="U122" i="3" a="1"/>
  <c r="U122" i="3" s="1"/>
  <c r="P122" i="3" a="1"/>
  <c r="P122" i="3" s="1"/>
  <c r="K122" i="3" a="1"/>
  <c r="K122" i="3" s="1"/>
  <c r="E122" i="3" a="1"/>
  <c r="E122" i="3" s="1"/>
  <c r="AO122" i="3" a="1"/>
  <c r="AO122" i="3" s="1"/>
  <c r="AJ122" i="3" a="1"/>
  <c r="AJ122" i="3" s="1"/>
  <c r="AE122" i="3" a="1"/>
  <c r="AE122" i="3" s="1"/>
  <c r="Y122" i="3" a="1"/>
  <c r="Y122" i="3" s="1"/>
  <c r="T122" i="3" a="1"/>
  <c r="T122" i="3" s="1"/>
  <c r="O122" i="3" a="1"/>
  <c r="O122" i="3" s="1"/>
  <c r="I122" i="3" a="1"/>
  <c r="I122" i="3" s="1"/>
  <c r="D122" i="3" a="1"/>
  <c r="D122" i="3" s="1"/>
  <c r="AN122" i="3" a="1"/>
  <c r="AN122" i="3" s="1"/>
  <c r="AC122" i="3" a="1"/>
  <c r="AC122" i="3" s="1"/>
  <c r="S122" i="3" a="1"/>
  <c r="S122" i="3" s="1"/>
  <c r="H122" i="3" a="1"/>
  <c r="H122" i="3" s="1"/>
  <c r="AM122" i="3" a="1"/>
  <c r="AM122" i="3" s="1"/>
  <c r="AB122" i="3" a="1"/>
  <c r="AB122" i="3" s="1"/>
  <c r="Q122" i="3" a="1"/>
  <c r="Q122" i="3" s="1"/>
  <c r="G122" i="3" a="1"/>
  <c r="G122" i="3" s="1"/>
  <c r="W122" i="3" a="1"/>
  <c r="W122" i="3" s="1"/>
  <c r="AI122" i="3" a="1"/>
  <c r="AI122" i="3" s="1"/>
  <c r="M122" i="3" a="1"/>
  <c r="M122" i="3" s="1"/>
  <c r="AG122" i="3" a="1"/>
  <c r="AG122" i="3" s="1"/>
  <c r="L122" i="3" a="1"/>
  <c r="L122" i="3" s="1"/>
  <c r="X122" i="3" a="1"/>
  <c r="X122" i="3" s="1"/>
  <c r="C122" i="3" a="1"/>
  <c r="C122" i="3" s="1"/>
  <c r="AI32" i="3" a="1"/>
  <c r="AI32" i="3" s="1"/>
  <c r="D32" i="3" a="1"/>
  <c r="D32" i="3" s="1"/>
  <c r="J37" i="3" a="1"/>
  <c r="J37" i="3" s="1"/>
  <c r="K37" i="3" a="1"/>
  <c r="K37" i="3" s="1"/>
  <c r="D64" i="3" a="1"/>
  <c r="D64" i="3" s="1"/>
  <c r="G95" i="3" a="1"/>
  <c r="G95" i="3" s="1"/>
  <c r="O95" i="3" a="1"/>
  <c r="O95" i="3" s="1"/>
  <c r="W95" i="3" a="1"/>
  <c r="W95" i="3" s="1"/>
  <c r="AE95" i="3" a="1"/>
  <c r="AE95" i="3" s="1"/>
  <c r="AM95" i="3" a="1"/>
  <c r="AM95" i="3" s="1"/>
  <c r="G96" i="3" a="1"/>
  <c r="G96" i="3" s="1"/>
  <c r="O96" i="3" a="1"/>
  <c r="O96" i="3" s="1"/>
  <c r="W96" i="3" a="1"/>
  <c r="W96" i="3" s="1"/>
  <c r="AE96" i="3" a="1"/>
  <c r="AE96" i="3" s="1"/>
  <c r="AM96" i="3" a="1"/>
  <c r="AM96" i="3" s="1"/>
  <c r="G97" i="3" a="1"/>
  <c r="G97" i="3" s="1"/>
  <c r="O97" i="3" a="1"/>
  <c r="O97" i="3" s="1"/>
  <c r="W97" i="3" a="1"/>
  <c r="W97" i="3" s="1"/>
  <c r="AE97" i="3" a="1"/>
  <c r="AE97" i="3" s="1"/>
  <c r="AM97" i="3" a="1"/>
  <c r="AM97" i="3" s="1"/>
  <c r="C100" i="3" a="1"/>
  <c r="C100" i="3" s="1"/>
  <c r="S100" i="3" a="1"/>
  <c r="S100" i="3" s="1"/>
  <c r="AI100" i="3" a="1"/>
  <c r="AI100" i="3" s="1"/>
  <c r="K101" i="3" a="1"/>
  <c r="K101" i="3" s="1"/>
  <c r="AA101" i="3" a="1"/>
  <c r="AA101" i="3" s="1"/>
  <c r="C102" i="3" a="1"/>
  <c r="C102" i="3" s="1"/>
  <c r="S102" i="3" a="1"/>
  <c r="S102" i="3" s="1"/>
  <c r="AI102" i="3" a="1"/>
  <c r="AI102" i="3" s="1"/>
  <c r="K105" i="3" a="1"/>
  <c r="K105" i="3" s="1"/>
  <c r="AA105" i="3" a="1"/>
  <c r="AA105" i="3" s="1"/>
  <c r="C106" i="3" a="1"/>
  <c r="C106" i="3" s="1"/>
  <c r="S106" i="3" a="1"/>
  <c r="S106" i="3" s="1"/>
  <c r="AI106" i="3" a="1"/>
  <c r="AI106" i="3" s="1"/>
  <c r="O107" i="3" a="1"/>
  <c r="O107" i="3" s="1"/>
  <c r="B107" i="3" s="1"/>
  <c r="T109" i="3" a="1"/>
  <c r="T109" i="3" s="1"/>
  <c r="AI111" i="3" a="1"/>
  <c r="AI111" i="3" s="1"/>
  <c r="AF112" i="3" a="1"/>
  <c r="AF112" i="3" s="1"/>
  <c r="AO113" i="3" a="1"/>
  <c r="AO113" i="3" s="1"/>
  <c r="S115" i="3" a="1"/>
  <c r="S115" i="3" s="1"/>
  <c r="AM117" i="3" a="1"/>
  <c r="AM117" i="3" s="1"/>
  <c r="R28" i="3" a="1"/>
  <c r="R28" i="3" s="1"/>
  <c r="Q33" i="3" a="1"/>
  <c r="Q33" i="3" s="1"/>
  <c r="U44" i="3" a="1"/>
  <c r="U44" i="3" s="1"/>
  <c r="I49" i="3" a="1"/>
  <c r="I49" i="3" s="1"/>
  <c r="P54" i="3" a="1"/>
  <c r="P54" i="3" s="1"/>
  <c r="AE27" i="3" a="1"/>
  <c r="AE27" i="3" s="1"/>
  <c r="L35" i="3" a="1"/>
  <c r="L35" i="3" s="1"/>
  <c r="I43" i="3" a="1"/>
  <c r="I43" i="3" s="1"/>
  <c r="C51" i="3" a="1"/>
  <c r="C51" i="3" s="1"/>
  <c r="I59" i="3" a="1"/>
  <c r="I59" i="3" s="1"/>
  <c r="O60" i="3" a="1"/>
  <c r="O60" i="3" s="1"/>
  <c r="D29" i="3" a="1"/>
  <c r="D29" i="3" s="1"/>
  <c r="U28" i="3" a="1"/>
  <c r="U28" i="3" s="1"/>
  <c r="C92" i="3" a="1"/>
  <c r="C92" i="3" s="1"/>
  <c r="G92" i="3" a="1"/>
  <c r="G92" i="3" s="1"/>
  <c r="K92" i="3" a="1"/>
  <c r="K92" i="3" s="1"/>
  <c r="O92" i="3" a="1"/>
  <c r="O92" i="3" s="1"/>
  <c r="S92" i="3" a="1"/>
  <c r="S92" i="3" s="1"/>
  <c r="W92" i="3" a="1"/>
  <c r="W92" i="3" s="1"/>
  <c r="AA92" i="3" a="1"/>
  <c r="AA92" i="3" s="1"/>
  <c r="AE92" i="3" a="1"/>
  <c r="AE92" i="3" s="1"/>
  <c r="AI92" i="3" a="1"/>
  <c r="AI92" i="3" s="1"/>
  <c r="AM92" i="3" a="1"/>
  <c r="AM92" i="3" s="1"/>
  <c r="D92" i="3" a="1"/>
  <c r="D92" i="3" s="1"/>
  <c r="H92" i="3" a="1"/>
  <c r="H92" i="3" s="1"/>
  <c r="L92" i="3" a="1"/>
  <c r="L92" i="3" s="1"/>
  <c r="P92" i="3" a="1"/>
  <c r="P92" i="3" s="1"/>
  <c r="T92" i="3" a="1"/>
  <c r="T92" i="3" s="1"/>
  <c r="X92" i="3" a="1"/>
  <c r="X92" i="3" s="1"/>
  <c r="AB92" i="3" a="1"/>
  <c r="AB92" i="3" s="1"/>
  <c r="AF92" i="3" a="1"/>
  <c r="AF92" i="3" s="1"/>
  <c r="AJ92" i="3" a="1"/>
  <c r="AJ92" i="3" s="1"/>
  <c r="AN92" i="3" a="1"/>
  <c r="AN92" i="3" s="1"/>
  <c r="E92" i="3" a="1"/>
  <c r="E92" i="3" s="1"/>
  <c r="I92" i="3" a="1"/>
  <c r="I92" i="3" s="1"/>
  <c r="M92" i="3" a="1"/>
  <c r="M92" i="3" s="1"/>
  <c r="Q92" i="3" a="1"/>
  <c r="Q92" i="3" s="1"/>
  <c r="U92" i="3" a="1"/>
  <c r="U92" i="3" s="1"/>
  <c r="Y92" i="3" a="1"/>
  <c r="Y92" i="3" s="1"/>
  <c r="AC92" i="3" a="1"/>
  <c r="AC92" i="3" s="1"/>
  <c r="AG92" i="3" a="1"/>
  <c r="AG92" i="3" s="1"/>
  <c r="AK92" i="3" a="1"/>
  <c r="AK92" i="3" s="1"/>
  <c r="AO92" i="3" a="1"/>
  <c r="AO92" i="3" s="1"/>
  <c r="F92" i="3" a="1"/>
  <c r="F92" i="3" s="1"/>
  <c r="J92" i="3" a="1"/>
  <c r="J92" i="3" s="1"/>
  <c r="N92" i="3" a="1"/>
  <c r="N92" i="3" s="1"/>
  <c r="R92" i="3" a="1"/>
  <c r="R92" i="3" s="1"/>
  <c r="V92" i="3" a="1"/>
  <c r="V92" i="3" s="1"/>
  <c r="Z92" i="3" a="1"/>
  <c r="Z92" i="3" s="1"/>
  <c r="AD92" i="3" a="1"/>
  <c r="AD92" i="3" s="1"/>
  <c r="AH92" i="3" a="1"/>
  <c r="AH92" i="3" s="1"/>
  <c r="AL92" i="3" a="1"/>
  <c r="AL92" i="3" s="1"/>
  <c r="K89" i="3" a="1"/>
  <c r="K89" i="3" s="1"/>
  <c r="AA89" i="3" a="1"/>
  <c r="AA89" i="3" s="1"/>
  <c r="C90" i="3" a="1"/>
  <c r="C90" i="3" s="1"/>
  <c r="G90" i="3" a="1"/>
  <c r="G90" i="3" s="1"/>
  <c r="K90" i="3" a="1"/>
  <c r="K90" i="3" s="1"/>
  <c r="O90" i="3" a="1"/>
  <c r="O90" i="3" s="1"/>
  <c r="S90" i="3" a="1"/>
  <c r="S90" i="3" s="1"/>
  <c r="W90" i="3" a="1"/>
  <c r="W90" i="3" s="1"/>
  <c r="AA90" i="3" a="1"/>
  <c r="AA90" i="3" s="1"/>
  <c r="AE90" i="3" a="1"/>
  <c r="AE90" i="3" s="1"/>
  <c r="AI90" i="3" a="1"/>
  <c r="AI90" i="3" s="1"/>
  <c r="AM90" i="3" a="1"/>
  <c r="AM90" i="3" s="1"/>
  <c r="C91" i="3" a="1"/>
  <c r="C91" i="3" s="1"/>
  <c r="G91" i="3" a="1"/>
  <c r="G91" i="3" s="1"/>
  <c r="K91" i="3" a="1"/>
  <c r="K91" i="3" s="1"/>
  <c r="O91" i="3" a="1"/>
  <c r="O91" i="3" s="1"/>
  <c r="S91" i="3" a="1"/>
  <c r="S91" i="3" s="1"/>
  <c r="W91" i="3" a="1"/>
  <c r="W91" i="3" s="1"/>
  <c r="AA91" i="3" a="1"/>
  <c r="AA91" i="3" s="1"/>
  <c r="AE91" i="3" a="1"/>
  <c r="AE91" i="3" s="1"/>
  <c r="AI91" i="3" a="1"/>
  <c r="AI91" i="3" s="1"/>
  <c r="AM91" i="3" a="1"/>
  <c r="AM91" i="3" s="1"/>
  <c r="O89" i="3" a="1"/>
  <c r="O89" i="3" s="1"/>
  <c r="AE89" i="3" a="1"/>
  <c r="AE89" i="3" s="1"/>
  <c r="D90" i="3" a="1"/>
  <c r="D90" i="3" s="1"/>
  <c r="H90" i="3" a="1"/>
  <c r="H90" i="3" s="1"/>
  <c r="L90" i="3" a="1"/>
  <c r="L90" i="3" s="1"/>
  <c r="P90" i="3" a="1"/>
  <c r="P90" i="3" s="1"/>
  <c r="T90" i="3" a="1"/>
  <c r="T90" i="3" s="1"/>
  <c r="X90" i="3" a="1"/>
  <c r="X90" i="3" s="1"/>
  <c r="AB90" i="3" a="1"/>
  <c r="AB90" i="3" s="1"/>
  <c r="AF90" i="3" a="1"/>
  <c r="AF90" i="3" s="1"/>
  <c r="AJ90" i="3" a="1"/>
  <c r="AJ90" i="3" s="1"/>
  <c r="AN90" i="3" a="1"/>
  <c r="AN90" i="3" s="1"/>
  <c r="D91" i="3" a="1"/>
  <c r="D91" i="3" s="1"/>
  <c r="H91" i="3" a="1"/>
  <c r="H91" i="3" s="1"/>
  <c r="L91" i="3" a="1"/>
  <c r="L91" i="3" s="1"/>
  <c r="P91" i="3" a="1"/>
  <c r="P91" i="3" s="1"/>
  <c r="T91" i="3" a="1"/>
  <c r="T91" i="3" s="1"/>
  <c r="X91" i="3" a="1"/>
  <c r="X91" i="3" s="1"/>
  <c r="AB91" i="3" a="1"/>
  <c r="AB91" i="3" s="1"/>
  <c r="AF91" i="3" a="1"/>
  <c r="AF91" i="3" s="1"/>
  <c r="AJ91" i="3" a="1"/>
  <c r="AJ91" i="3" s="1"/>
  <c r="AN91" i="3" a="1"/>
  <c r="AN91" i="3" s="1"/>
  <c r="C89" i="3" a="1"/>
  <c r="C89" i="3" s="1"/>
  <c r="S89" i="3" a="1"/>
  <c r="S89" i="3" s="1"/>
  <c r="AI89" i="3" a="1"/>
  <c r="AI89" i="3" s="1"/>
  <c r="E90" i="3" a="1"/>
  <c r="E90" i="3" s="1"/>
  <c r="I90" i="3" a="1"/>
  <c r="I90" i="3" s="1"/>
  <c r="M90" i="3" a="1"/>
  <c r="M90" i="3" s="1"/>
  <c r="Q90" i="3" a="1"/>
  <c r="Q90" i="3" s="1"/>
  <c r="U90" i="3" a="1"/>
  <c r="U90" i="3" s="1"/>
  <c r="Y90" i="3" a="1"/>
  <c r="Y90" i="3" s="1"/>
  <c r="AC90" i="3" a="1"/>
  <c r="AC90" i="3" s="1"/>
  <c r="AG90" i="3" a="1"/>
  <c r="AG90" i="3" s="1"/>
  <c r="AK90" i="3" a="1"/>
  <c r="AK90" i="3" s="1"/>
  <c r="AO90" i="3" a="1"/>
  <c r="AO90" i="3" s="1"/>
  <c r="E91" i="3" a="1"/>
  <c r="E91" i="3" s="1"/>
  <c r="I91" i="3" a="1"/>
  <c r="I91" i="3" s="1"/>
  <c r="M91" i="3" a="1"/>
  <c r="M91" i="3" s="1"/>
  <c r="Q91" i="3" a="1"/>
  <c r="Q91" i="3" s="1"/>
  <c r="U91" i="3" a="1"/>
  <c r="U91" i="3" s="1"/>
  <c r="Y91" i="3" a="1"/>
  <c r="Y91" i="3" s="1"/>
  <c r="AC91" i="3" a="1"/>
  <c r="AC91" i="3" s="1"/>
  <c r="AG91" i="3" a="1"/>
  <c r="AG91" i="3" s="1"/>
  <c r="AK91" i="3" a="1"/>
  <c r="AK91" i="3" s="1"/>
  <c r="AO91" i="3" a="1"/>
  <c r="AO91" i="3" s="1"/>
  <c r="G89" i="3" a="1"/>
  <c r="G89" i="3" s="1"/>
  <c r="W89" i="3" a="1"/>
  <c r="W89" i="3" s="1"/>
  <c r="AM89" i="3" a="1"/>
  <c r="AM89" i="3" s="1"/>
  <c r="F90" i="3" a="1"/>
  <c r="F90" i="3" s="1"/>
  <c r="J90" i="3" a="1"/>
  <c r="J90" i="3" s="1"/>
  <c r="N90" i="3" a="1"/>
  <c r="N90" i="3" s="1"/>
  <c r="R90" i="3" a="1"/>
  <c r="R90" i="3" s="1"/>
  <c r="V90" i="3" a="1"/>
  <c r="V90" i="3" s="1"/>
  <c r="Z90" i="3" a="1"/>
  <c r="Z90" i="3" s="1"/>
  <c r="AD90" i="3" a="1"/>
  <c r="AD90" i="3" s="1"/>
  <c r="AH90" i="3" a="1"/>
  <c r="AH90" i="3" s="1"/>
  <c r="AL90" i="3" a="1"/>
  <c r="AL90" i="3" s="1"/>
  <c r="F91" i="3" a="1"/>
  <c r="F91" i="3" s="1"/>
  <c r="J91" i="3" a="1"/>
  <c r="J91" i="3" s="1"/>
  <c r="N91" i="3" a="1"/>
  <c r="N91" i="3" s="1"/>
  <c r="R91" i="3" a="1"/>
  <c r="R91" i="3" s="1"/>
  <c r="V91" i="3" a="1"/>
  <c r="V91" i="3" s="1"/>
  <c r="Z91" i="3" a="1"/>
  <c r="Z91" i="3" s="1"/>
  <c r="AD91" i="3" a="1"/>
  <c r="AD91" i="3" s="1"/>
  <c r="AH91" i="3" a="1"/>
  <c r="AH91" i="3" s="1"/>
  <c r="AL91" i="3" a="1"/>
  <c r="AL91" i="3" s="1"/>
  <c r="D89" i="3" a="1"/>
  <c r="D89" i="3" s="1"/>
  <c r="H89" i="3" a="1"/>
  <c r="H89" i="3" s="1"/>
  <c r="L89" i="3" a="1"/>
  <c r="L89" i="3" s="1"/>
  <c r="P89" i="3" a="1"/>
  <c r="P89" i="3" s="1"/>
  <c r="T89" i="3" a="1"/>
  <c r="T89" i="3" s="1"/>
  <c r="X89" i="3" a="1"/>
  <c r="X89" i="3" s="1"/>
  <c r="AB89" i="3" a="1"/>
  <c r="AB89" i="3" s="1"/>
  <c r="AF89" i="3" a="1"/>
  <c r="AF89" i="3" s="1"/>
  <c r="AJ89" i="3" a="1"/>
  <c r="AJ89" i="3" s="1"/>
  <c r="AN89" i="3" a="1"/>
  <c r="AN89" i="3" s="1"/>
  <c r="E89" i="3" a="1"/>
  <c r="E89" i="3" s="1"/>
  <c r="I89" i="3" a="1"/>
  <c r="I89" i="3" s="1"/>
  <c r="M89" i="3" a="1"/>
  <c r="M89" i="3" s="1"/>
  <c r="Q89" i="3" a="1"/>
  <c r="Q89" i="3" s="1"/>
  <c r="U89" i="3" a="1"/>
  <c r="U89" i="3" s="1"/>
  <c r="Y89" i="3" a="1"/>
  <c r="Y89" i="3" s="1"/>
  <c r="AC89" i="3" a="1"/>
  <c r="AC89" i="3" s="1"/>
  <c r="AG89" i="3" a="1"/>
  <c r="AG89" i="3" s="1"/>
  <c r="AK89" i="3" a="1"/>
  <c r="AK89" i="3" s="1"/>
  <c r="AO89" i="3" a="1"/>
  <c r="AO89" i="3" s="1"/>
  <c r="F89" i="3" a="1"/>
  <c r="F89" i="3" s="1"/>
  <c r="J89" i="3" a="1"/>
  <c r="J89" i="3" s="1"/>
  <c r="N89" i="3" a="1"/>
  <c r="N89" i="3" s="1"/>
  <c r="R89" i="3" a="1"/>
  <c r="R89" i="3" s="1"/>
  <c r="V89" i="3" a="1"/>
  <c r="V89" i="3" s="1"/>
  <c r="Z89" i="3" a="1"/>
  <c r="Z89" i="3" s="1"/>
  <c r="AD89" i="3" a="1"/>
  <c r="AD89" i="3" s="1"/>
  <c r="AH89" i="3" a="1"/>
  <c r="AH89" i="3" s="1"/>
  <c r="AL89" i="3" a="1"/>
  <c r="AL89" i="3" s="1"/>
  <c r="C26" i="3" a="1"/>
  <c r="C26" i="3" s="1"/>
  <c r="J26" i="3" a="1"/>
  <c r="J26" i="3" s="1"/>
  <c r="D26" i="3" a="1"/>
  <c r="D26" i="3" s="1"/>
  <c r="C27" i="3" a="1"/>
  <c r="C27" i="3" s="1"/>
  <c r="C88" i="3" a="1"/>
  <c r="C88" i="3" s="1"/>
  <c r="G88" i="3" a="1"/>
  <c r="G88" i="3" s="1"/>
  <c r="K88" i="3" a="1"/>
  <c r="K88" i="3" s="1"/>
  <c r="O88" i="3" a="1"/>
  <c r="O88" i="3" s="1"/>
  <c r="S88" i="3" a="1"/>
  <c r="S88" i="3" s="1"/>
  <c r="W88" i="3" a="1"/>
  <c r="W88" i="3" s="1"/>
  <c r="AA88" i="3" a="1"/>
  <c r="AA88" i="3" s="1"/>
  <c r="AE88" i="3" a="1"/>
  <c r="AE88" i="3" s="1"/>
  <c r="AI88" i="3" a="1"/>
  <c r="AI88" i="3" s="1"/>
  <c r="AM88" i="3" a="1"/>
  <c r="AM88" i="3" s="1"/>
  <c r="D85" i="3" a="1"/>
  <c r="D85" i="3" s="1"/>
  <c r="D88" i="3" a="1"/>
  <c r="D88" i="3" s="1"/>
  <c r="H88" i="3" a="1"/>
  <c r="H88" i="3" s="1"/>
  <c r="L88" i="3" a="1"/>
  <c r="L88" i="3" s="1"/>
  <c r="P88" i="3" a="1"/>
  <c r="P88" i="3" s="1"/>
  <c r="T88" i="3" a="1"/>
  <c r="T88" i="3" s="1"/>
  <c r="X88" i="3" a="1"/>
  <c r="X88" i="3" s="1"/>
  <c r="AB88" i="3" a="1"/>
  <c r="AB88" i="3" s="1"/>
  <c r="AF88" i="3" a="1"/>
  <c r="AF88" i="3" s="1"/>
  <c r="AJ88" i="3" a="1"/>
  <c r="AJ88" i="3" s="1"/>
  <c r="AN88" i="3" a="1"/>
  <c r="AN88" i="3" s="1"/>
  <c r="T85" i="3" a="1"/>
  <c r="T85" i="3" s="1"/>
  <c r="E88" i="3" a="1"/>
  <c r="E88" i="3" s="1"/>
  <c r="I88" i="3" a="1"/>
  <c r="I88" i="3" s="1"/>
  <c r="M88" i="3" a="1"/>
  <c r="M88" i="3" s="1"/>
  <c r="Q88" i="3" a="1"/>
  <c r="Q88" i="3" s="1"/>
  <c r="U88" i="3" a="1"/>
  <c r="U88" i="3" s="1"/>
  <c r="Y88" i="3" a="1"/>
  <c r="Y88" i="3" s="1"/>
  <c r="AC88" i="3" a="1"/>
  <c r="AC88" i="3" s="1"/>
  <c r="AG88" i="3" a="1"/>
  <c r="AG88" i="3" s="1"/>
  <c r="AK88" i="3" a="1"/>
  <c r="AK88" i="3" s="1"/>
  <c r="AO88" i="3" a="1"/>
  <c r="AO88" i="3" s="1"/>
  <c r="AJ85" i="3" a="1"/>
  <c r="AJ85" i="3" s="1"/>
  <c r="F88" i="3" a="1"/>
  <c r="F88" i="3" s="1"/>
  <c r="J88" i="3" a="1"/>
  <c r="J88" i="3" s="1"/>
  <c r="N88" i="3" a="1"/>
  <c r="N88" i="3" s="1"/>
  <c r="R88" i="3" a="1"/>
  <c r="R88" i="3" s="1"/>
  <c r="V88" i="3" a="1"/>
  <c r="V88" i="3" s="1"/>
  <c r="Z88" i="3" a="1"/>
  <c r="Z88" i="3" s="1"/>
  <c r="AD88" i="3" a="1"/>
  <c r="AD88" i="3" s="1"/>
  <c r="AH88" i="3" a="1"/>
  <c r="AH88" i="3" s="1"/>
  <c r="AL88" i="3" a="1"/>
  <c r="AL88" i="3" s="1"/>
  <c r="P68" i="3" a="1"/>
  <c r="P68" i="3" s="1"/>
  <c r="K86" i="3" a="1"/>
  <c r="K86" i="3" s="1"/>
  <c r="AA86" i="3" a="1"/>
  <c r="AA86" i="3" s="1"/>
  <c r="AC68" i="3" a="1"/>
  <c r="AC68" i="3" s="1"/>
  <c r="H85" i="3" a="1"/>
  <c r="H85" i="3" s="1"/>
  <c r="X85" i="3" a="1"/>
  <c r="X85" i="3" s="1"/>
  <c r="AN85" i="3" a="1"/>
  <c r="AN85" i="3" s="1"/>
  <c r="O86" i="3" a="1"/>
  <c r="O86" i="3" s="1"/>
  <c r="AE86" i="3" a="1"/>
  <c r="AE86" i="3" s="1"/>
  <c r="D23" i="3" a="1"/>
  <c r="D23" i="3" s="1"/>
  <c r="AO68" i="3" a="1"/>
  <c r="AO68" i="3" s="1"/>
  <c r="L85" i="3" a="1"/>
  <c r="L85" i="3" s="1"/>
  <c r="AB85" i="3" a="1"/>
  <c r="AB85" i="3" s="1"/>
  <c r="C86" i="3" a="1"/>
  <c r="C86" i="3" s="1"/>
  <c r="S86" i="3" a="1"/>
  <c r="S86" i="3" s="1"/>
  <c r="AI86" i="3" a="1"/>
  <c r="AI86" i="3" s="1"/>
  <c r="F68" i="3" a="1"/>
  <c r="F68" i="3" s="1"/>
  <c r="H76" i="3" a="1"/>
  <c r="H76" i="3" s="1"/>
  <c r="P85" i="3" a="1"/>
  <c r="P85" i="3" s="1"/>
  <c r="AF85" i="3" a="1"/>
  <c r="AF85" i="3" s="1"/>
  <c r="G86" i="3" a="1"/>
  <c r="G86" i="3" s="1"/>
  <c r="W86" i="3" a="1"/>
  <c r="W86" i="3" s="1"/>
  <c r="AM86" i="3" a="1"/>
  <c r="AM86" i="3" s="1"/>
  <c r="G87" i="3" a="1"/>
  <c r="G87" i="3" s="1"/>
  <c r="O87" i="3" a="1"/>
  <c r="O87" i="3" s="1"/>
  <c r="W87" i="3" a="1"/>
  <c r="W87" i="3" s="1"/>
  <c r="AE87" i="3" a="1"/>
  <c r="AE87" i="3" s="1"/>
  <c r="AM87" i="3" a="1"/>
  <c r="AM87" i="3" s="1"/>
  <c r="D86" i="3" a="1"/>
  <c r="D86" i="3" s="1"/>
  <c r="H86" i="3" a="1"/>
  <c r="H86" i="3" s="1"/>
  <c r="L86" i="3" a="1"/>
  <c r="L86" i="3" s="1"/>
  <c r="P86" i="3" a="1"/>
  <c r="P86" i="3" s="1"/>
  <c r="T86" i="3" a="1"/>
  <c r="T86" i="3" s="1"/>
  <c r="X86" i="3" a="1"/>
  <c r="X86" i="3" s="1"/>
  <c r="AB86" i="3" a="1"/>
  <c r="AB86" i="3" s="1"/>
  <c r="AF86" i="3" a="1"/>
  <c r="AF86" i="3" s="1"/>
  <c r="AJ86" i="3" a="1"/>
  <c r="AJ86" i="3" s="1"/>
  <c r="AN86" i="3" a="1"/>
  <c r="AN86" i="3" s="1"/>
  <c r="D87" i="3" a="1"/>
  <c r="D87" i="3" s="1"/>
  <c r="H87" i="3" a="1"/>
  <c r="H87" i="3" s="1"/>
  <c r="L87" i="3" a="1"/>
  <c r="L87" i="3" s="1"/>
  <c r="P87" i="3" a="1"/>
  <c r="P87" i="3" s="1"/>
  <c r="T87" i="3" a="1"/>
  <c r="T87" i="3" s="1"/>
  <c r="X87" i="3" a="1"/>
  <c r="X87" i="3" s="1"/>
  <c r="AB87" i="3" a="1"/>
  <c r="AB87" i="3" s="1"/>
  <c r="AF87" i="3" a="1"/>
  <c r="AF87" i="3" s="1"/>
  <c r="AJ87" i="3" a="1"/>
  <c r="AJ87" i="3" s="1"/>
  <c r="AN87" i="3" a="1"/>
  <c r="AN87" i="3" s="1"/>
  <c r="C87" i="3" a="1"/>
  <c r="C87" i="3" s="1"/>
  <c r="K87" i="3" a="1"/>
  <c r="K87" i="3" s="1"/>
  <c r="S87" i="3" a="1"/>
  <c r="S87" i="3" s="1"/>
  <c r="AA87" i="3" a="1"/>
  <c r="AA87" i="3" s="1"/>
  <c r="AI87" i="3" a="1"/>
  <c r="AI87" i="3" s="1"/>
  <c r="E86" i="3" a="1"/>
  <c r="E86" i="3" s="1"/>
  <c r="I86" i="3" a="1"/>
  <c r="I86" i="3" s="1"/>
  <c r="M86" i="3" a="1"/>
  <c r="M86" i="3" s="1"/>
  <c r="Q86" i="3" a="1"/>
  <c r="Q86" i="3" s="1"/>
  <c r="U86" i="3" a="1"/>
  <c r="U86" i="3" s="1"/>
  <c r="Y86" i="3" a="1"/>
  <c r="Y86" i="3" s="1"/>
  <c r="AC86" i="3" a="1"/>
  <c r="AC86" i="3" s="1"/>
  <c r="AG86" i="3" a="1"/>
  <c r="AG86" i="3" s="1"/>
  <c r="AK86" i="3" a="1"/>
  <c r="AK86" i="3" s="1"/>
  <c r="AO86" i="3" a="1"/>
  <c r="AO86" i="3" s="1"/>
  <c r="E87" i="3" a="1"/>
  <c r="E87" i="3" s="1"/>
  <c r="I87" i="3" a="1"/>
  <c r="I87" i="3" s="1"/>
  <c r="M87" i="3" a="1"/>
  <c r="M87" i="3" s="1"/>
  <c r="Q87" i="3" a="1"/>
  <c r="Q87" i="3" s="1"/>
  <c r="U87" i="3" a="1"/>
  <c r="U87" i="3" s="1"/>
  <c r="Y87" i="3" a="1"/>
  <c r="Y87" i="3" s="1"/>
  <c r="AC87" i="3" a="1"/>
  <c r="AC87" i="3" s="1"/>
  <c r="AG87" i="3" a="1"/>
  <c r="AG87" i="3" s="1"/>
  <c r="AK87" i="3" a="1"/>
  <c r="AK87" i="3" s="1"/>
  <c r="AO87" i="3" a="1"/>
  <c r="AO87" i="3" s="1"/>
  <c r="F86" i="3" a="1"/>
  <c r="F86" i="3" s="1"/>
  <c r="J86" i="3" a="1"/>
  <c r="J86" i="3" s="1"/>
  <c r="N86" i="3" a="1"/>
  <c r="N86" i="3" s="1"/>
  <c r="R86" i="3" a="1"/>
  <c r="R86" i="3" s="1"/>
  <c r="V86" i="3" a="1"/>
  <c r="V86" i="3" s="1"/>
  <c r="Z86" i="3" a="1"/>
  <c r="Z86" i="3" s="1"/>
  <c r="AD86" i="3" a="1"/>
  <c r="AD86" i="3" s="1"/>
  <c r="AH86" i="3" a="1"/>
  <c r="AH86" i="3" s="1"/>
  <c r="AL86" i="3" a="1"/>
  <c r="AL86" i="3" s="1"/>
  <c r="F87" i="3" a="1"/>
  <c r="F87" i="3" s="1"/>
  <c r="J87" i="3" a="1"/>
  <c r="J87" i="3" s="1"/>
  <c r="N87" i="3" a="1"/>
  <c r="N87" i="3" s="1"/>
  <c r="R87" i="3" a="1"/>
  <c r="R87" i="3" s="1"/>
  <c r="V87" i="3" a="1"/>
  <c r="V87" i="3" s="1"/>
  <c r="Z87" i="3" a="1"/>
  <c r="Z87" i="3" s="1"/>
  <c r="AD87" i="3" a="1"/>
  <c r="AD87" i="3" s="1"/>
  <c r="AH87" i="3" a="1"/>
  <c r="AH87" i="3" s="1"/>
  <c r="AL87" i="3" a="1"/>
  <c r="AL87" i="3" s="1"/>
  <c r="C68" i="3" a="1"/>
  <c r="C68" i="3" s="1"/>
  <c r="L68" i="3" a="1"/>
  <c r="L68" i="3" s="1"/>
  <c r="Z68" i="3" a="1"/>
  <c r="Z68" i="3" s="1"/>
  <c r="AM68" i="3" a="1"/>
  <c r="AM68" i="3" s="1"/>
  <c r="AF72" i="3" a="1"/>
  <c r="AF72" i="3" s="1"/>
  <c r="G77" i="3" a="1"/>
  <c r="G77" i="3" s="1"/>
  <c r="N77" i="3" a="1"/>
  <c r="N77" i="3" s="1"/>
  <c r="W77" i="3" a="1"/>
  <c r="W77" i="3" s="1"/>
  <c r="AD77" i="3" a="1"/>
  <c r="AD77" i="3" s="1"/>
  <c r="AM77" i="3" a="1"/>
  <c r="AM77" i="3" s="1"/>
  <c r="C85" i="3" a="1"/>
  <c r="C85" i="3" s="1"/>
  <c r="G85" i="3" a="1"/>
  <c r="G85" i="3" s="1"/>
  <c r="K85" i="3" a="1"/>
  <c r="K85" i="3" s="1"/>
  <c r="O85" i="3" a="1"/>
  <c r="O85" i="3" s="1"/>
  <c r="S85" i="3" a="1"/>
  <c r="S85" i="3" s="1"/>
  <c r="W85" i="3" a="1"/>
  <c r="W85" i="3" s="1"/>
  <c r="AA85" i="3" a="1"/>
  <c r="AA85" i="3" s="1"/>
  <c r="AE85" i="3" a="1"/>
  <c r="AE85" i="3" s="1"/>
  <c r="AI85" i="3" a="1"/>
  <c r="AI85" i="3" s="1"/>
  <c r="AM85" i="3" a="1"/>
  <c r="AM85" i="3" s="1"/>
  <c r="P77" i="3" a="1"/>
  <c r="P77" i="3" s="1"/>
  <c r="AF77" i="3" a="1"/>
  <c r="AF77" i="3" s="1"/>
  <c r="Z77" i="3" a="1"/>
  <c r="Z77" i="3" s="1"/>
  <c r="AP77" i="3" a="1"/>
  <c r="AP77" i="3" s="1"/>
  <c r="R67" i="3" a="1"/>
  <c r="R67" i="3" s="1"/>
  <c r="G68" i="3" a="1"/>
  <c r="G68" i="3" s="1"/>
  <c r="T68" i="3" a="1"/>
  <c r="T68" i="3" s="1"/>
  <c r="AD68" i="3" a="1"/>
  <c r="AD68" i="3" s="1"/>
  <c r="H71" i="3" a="1"/>
  <c r="H71" i="3" s="1"/>
  <c r="U76" i="3" a="1"/>
  <c r="U76" i="3" s="1"/>
  <c r="K77" i="3" a="1"/>
  <c r="K77" i="3" s="1"/>
  <c r="Q77" i="3" a="1"/>
  <c r="Q77" i="3" s="1"/>
  <c r="AA77" i="3" a="1"/>
  <c r="AA77" i="3" s="1"/>
  <c r="AG77" i="3" a="1"/>
  <c r="AG77" i="3" s="1"/>
  <c r="P80" i="3" a="1"/>
  <c r="P80" i="3" s="1"/>
  <c r="E85" i="3" a="1"/>
  <c r="E85" i="3" s="1"/>
  <c r="I85" i="3" a="1"/>
  <c r="I85" i="3" s="1"/>
  <c r="M85" i="3" a="1"/>
  <c r="M85" i="3" s="1"/>
  <c r="Q85" i="3" a="1"/>
  <c r="Q85" i="3" s="1"/>
  <c r="U85" i="3" a="1"/>
  <c r="U85" i="3" s="1"/>
  <c r="Y85" i="3" a="1"/>
  <c r="Y85" i="3" s="1"/>
  <c r="AC85" i="3" a="1"/>
  <c r="AC85" i="3" s="1"/>
  <c r="AG85" i="3" a="1"/>
  <c r="AG85" i="3" s="1"/>
  <c r="AK85" i="3" a="1"/>
  <c r="AK85" i="3" s="1"/>
  <c r="AO85" i="3" a="1"/>
  <c r="AO85" i="3" s="1"/>
  <c r="J77" i="3" a="1"/>
  <c r="J77" i="3" s="1"/>
  <c r="AI67" i="3" a="1"/>
  <c r="AI67" i="3" s="1"/>
  <c r="K68" i="3" a="1"/>
  <c r="K68" i="3" s="1"/>
  <c r="Y68" i="3" a="1"/>
  <c r="Y68" i="3" s="1"/>
  <c r="AI68" i="3" a="1"/>
  <c r="AI68" i="3" s="1"/>
  <c r="Z72" i="3" a="1"/>
  <c r="Z72" i="3" s="1"/>
  <c r="D77" i="3" a="1"/>
  <c r="D77" i="3" s="1"/>
  <c r="M77" i="3" a="1"/>
  <c r="M77" i="3" s="1"/>
  <c r="T77" i="3" a="1"/>
  <c r="T77" i="3" s="1"/>
  <c r="AC77" i="3" a="1"/>
  <c r="AC77" i="3" s="1"/>
  <c r="AJ77" i="3" a="1"/>
  <c r="AJ77" i="3" s="1"/>
  <c r="AF80" i="3" a="1"/>
  <c r="AF80" i="3" s="1"/>
  <c r="F85" i="3" a="1"/>
  <c r="F85" i="3" s="1"/>
  <c r="J85" i="3" a="1"/>
  <c r="J85" i="3" s="1"/>
  <c r="N85" i="3" a="1"/>
  <c r="N85" i="3" s="1"/>
  <c r="R85" i="3" a="1"/>
  <c r="R85" i="3" s="1"/>
  <c r="V85" i="3" a="1"/>
  <c r="V85" i="3" s="1"/>
  <c r="Z85" i="3" a="1"/>
  <c r="Z85" i="3" s="1"/>
  <c r="AD85" i="3" a="1"/>
  <c r="AD85" i="3" s="1"/>
  <c r="AH85" i="3" a="1"/>
  <c r="AH85" i="3" s="1"/>
  <c r="AL85" i="3" a="1"/>
  <c r="AL85" i="3" s="1"/>
  <c r="K13" i="3" a="1"/>
  <c r="K13" i="3" s="1"/>
  <c r="B124" i="3"/>
  <c r="B96" i="3"/>
  <c r="B112" i="3"/>
  <c r="B98" i="3"/>
  <c r="B113" i="3"/>
  <c r="B126" i="3"/>
  <c r="B104" i="3"/>
  <c r="B120" i="3"/>
  <c r="B123" i="3"/>
  <c r="B108" i="3"/>
  <c r="B114" i="3"/>
  <c r="B121" i="3"/>
  <c r="B110" i="3"/>
  <c r="B94" i="3"/>
  <c r="B99" i="3"/>
  <c r="B103" i="3"/>
  <c r="E78" i="3" a="1"/>
  <c r="E78" i="3" s="1"/>
  <c r="H78" i="3" a="1"/>
  <c r="H78" i="3" s="1"/>
  <c r="O78" i="3" a="1"/>
  <c r="O78" i="3" s="1"/>
  <c r="R78" i="3" a="1"/>
  <c r="R78" i="3" s="1"/>
  <c r="U78" i="3" a="1"/>
  <c r="U78" i="3" s="1"/>
  <c r="X78" i="3" a="1"/>
  <c r="X78" i="3" s="1"/>
  <c r="AE78" i="3" a="1"/>
  <c r="AE78" i="3" s="1"/>
  <c r="AH78" i="3" a="1"/>
  <c r="AH78" i="3" s="1"/>
  <c r="AK78" i="3" a="1"/>
  <c r="AK78" i="3" s="1"/>
  <c r="AN78" i="3" a="1"/>
  <c r="AN78" i="3" s="1"/>
  <c r="G79" i="3" a="1"/>
  <c r="G79" i="3" s="1"/>
  <c r="J79" i="3" a="1"/>
  <c r="J79" i="3" s="1"/>
  <c r="M79" i="3" a="1"/>
  <c r="M79" i="3" s="1"/>
  <c r="P79" i="3" a="1"/>
  <c r="P79" i="3" s="1"/>
  <c r="W79" i="3" a="1"/>
  <c r="W79" i="3" s="1"/>
  <c r="Z79" i="3" a="1"/>
  <c r="Z79" i="3" s="1"/>
  <c r="AC79" i="3" a="1"/>
  <c r="AC79" i="3" s="1"/>
  <c r="AF79" i="3" a="1"/>
  <c r="AF79" i="3" s="1"/>
  <c r="AM79" i="3" a="1"/>
  <c r="AM79" i="3" s="1"/>
  <c r="AP79" i="3" a="1"/>
  <c r="AP79" i="3" s="1"/>
  <c r="J82" i="3" a="1"/>
  <c r="J82" i="3" s="1"/>
  <c r="Z82" i="3" a="1"/>
  <c r="Z82" i="3" s="1"/>
  <c r="AP82" i="3" a="1"/>
  <c r="AP82" i="3" s="1"/>
  <c r="R83" i="3" a="1"/>
  <c r="R83" i="3" s="1"/>
  <c r="AH83" i="3" a="1"/>
  <c r="AH83" i="3" s="1"/>
  <c r="AH71" i="3" a="1"/>
  <c r="AH71" i="3" s="1"/>
  <c r="C78" i="3" a="1"/>
  <c r="C78" i="3" s="1"/>
  <c r="F78" i="3" a="1"/>
  <c r="F78" i="3" s="1"/>
  <c r="I78" i="3" a="1"/>
  <c r="I78" i="3" s="1"/>
  <c r="L78" i="3" a="1"/>
  <c r="L78" i="3" s="1"/>
  <c r="S78" i="3" a="1"/>
  <c r="S78" i="3" s="1"/>
  <c r="V78" i="3" a="1"/>
  <c r="V78" i="3" s="1"/>
  <c r="Y78" i="3" a="1"/>
  <c r="Y78" i="3" s="1"/>
  <c r="AB78" i="3" a="1"/>
  <c r="AB78" i="3" s="1"/>
  <c r="AI78" i="3" a="1"/>
  <c r="AI78" i="3" s="1"/>
  <c r="AL78" i="3" a="1"/>
  <c r="AL78" i="3" s="1"/>
  <c r="AO78" i="3" a="1"/>
  <c r="AO78" i="3" s="1"/>
  <c r="D79" i="3" a="1"/>
  <c r="D79" i="3" s="1"/>
  <c r="K79" i="3" a="1"/>
  <c r="K79" i="3" s="1"/>
  <c r="N79" i="3" a="1"/>
  <c r="N79" i="3" s="1"/>
  <c r="Q79" i="3" a="1"/>
  <c r="Q79" i="3" s="1"/>
  <c r="T79" i="3" a="1"/>
  <c r="T79" i="3" s="1"/>
  <c r="AA79" i="3" a="1"/>
  <c r="AA79" i="3" s="1"/>
  <c r="AD79" i="3" a="1"/>
  <c r="AD79" i="3" s="1"/>
  <c r="AG79" i="3" a="1"/>
  <c r="AG79" i="3" s="1"/>
  <c r="AJ79" i="3" a="1"/>
  <c r="AJ79" i="3" s="1"/>
  <c r="G80" i="3" a="1"/>
  <c r="G80" i="3" s="1"/>
  <c r="W80" i="3" a="1"/>
  <c r="W80" i="3" s="1"/>
  <c r="AM80" i="3" a="1"/>
  <c r="AM80" i="3" s="1"/>
  <c r="M82" i="3" a="1"/>
  <c r="M82" i="3" s="1"/>
  <c r="AC82" i="3" a="1"/>
  <c r="AC82" i="3" s="1"/>
  <c r="E83" i="3" a="1"/>
  <c r="E83" i="3" s="1"/>
  <c r="U83" i="3" a="1"/>
  <c r="U83" i="3" s="1"/>
  <c r="AK83" i="3" a="1"/>
  <c r="AK83" i="3" s="1"/>
  <c r="I67" i="3" a="1"/>
  <c r="I67" i="3" s="1"/>
  <c r="AA67" i="3" a="1"/>
  <c r="AA67" i="3" s="1"/>
  <c r="I68" i="3" a="1"/>
  <c r="I68" i="3" s="1"/>
  <c r="M68" i="3" a="1"/>
  <c r="M68" i="3" s="1"/>
  <c r="Q68" i="3" a="1"/>
  <c r="Q68" i="3" s="1"/>
  <c r="V68" i="3" a="1"/>
  <c r="V68" i="3" s="1"/>
  <c r="AA68" i="3" a="1"/>
  <c r="AA68" i="3" s="1"/>
  <c r="AF68" i="3" a="1"/>
  <c r="AF68" i="3" s="1"/>
  <c r="AJ68" i="3" a="1"/>
  <c r="AJ68" i="3" s="1"/>
  <c r="AP68" i="3" a="1"/>
  <c r="AP68" i="3" s="1"/>
  <c r="G72" i="3" a="1"/>
  <c r="G72" i="3" s="1"/>
  <c r="AM72" i="3" a="1"/>
  <c r="AM72" i="3" s="1"/>
  <c r="AH76" i="3" a="1"/>
  <c r="AH76" i="3" s="1"/>
  <c r="E77" i="3" a="1"/>
  <c r="E77" i="3" s="1"/>
  <c r="H77" i="3" a="1"/>
  <c r="H77" i="3" s="1"/>
  <c r="O77" i="3" a="1"/>
  <c r="O77" i="3" s="1"/>
  <c r="R77" i="3" a="1"/>
  <c r="R77" i="3" s="1"/>
  <c r="U77" i="3" a="1"/>
  <c r="U77" i="3" s="1"/>
  <c r="X77" i="3" a="1"/>
  <c r="X77" i="3" s="1"/>
  <c r="AE77" i="3" a="1"/>
  <c r="AE77" i="3" s="1"/>
  <c r="AH77" i="3" a="1"/>
  <c r="AH77" i="3" s="1"/>
  <c r="AK77" i="3" a="1"/>
  <c r="AK77" i="3" s="1"/>
  <c r="AN77" i="3" a="1"/>
  <c r="AN77" i="3" s="1"/>
  <c r="G78" i="3" a="1"/>
  <c r="G78" i="3" s="1"/>
  <c r="J78" i="3" a="1"/>
  <c r="J78" i="3" s="1"/>
  <c r="M78" i="3" a="1"/>
  <c r="M78" i="3" s="1"/>
  <c r="P78" i="3" a="1"/>
  <c r="P78" i="3" s="1"/>
  <c r="W78" i="3" a="1"/>
  <c r="W78" i="3" s="1"/>
  <c r="Z78" i="3" a="1"/>
  <c r="Z78" i="3" s="1"/>
  <c r="AC78" i="3" a="1"/>
  <c r="AC78" i="3" s="1"/>
  <c r="AF78" i="3" a="1"/>
  <c r="AF78" i="3" s="1"/>
  <c r="AM78" i="3" a="1"/>
  <c r="AM78" i="3" s="1"/>
  <c r="AP78" i="3" a="1"/>
  <c r="AP78" i="3" s="1"/>
  <c r="E79" i="3" a="1"/>
  <c r="E79" i="3" s="1"/>
  <c r="H79" i="3" a="1"/>
  <c r="H79" i="3" s="1"/>
  <c r="O79" i="3" a="1"/>
  <c r="O79" i="3" s="1"/>
  <c r="R79" i="3" a="1"/>
  <c r="R79" i="3" s="1"/>
  <c r="U79" i="3" a="1"/>
  <c r="U79" i="3" s="1"/>
  <c r="X79" i="3" a="1"/>
  <c r="X79" i="3" s="1"/>
  <c r="AE79" i="3" a="1"/>
  <c r="AE79" i="3" s="1"/>
  <c r="AH79" i="3" a="1"/>
  <c r="AH79" i="3" s="1"/>
  <c r="AK79" i="3" a="1"/>
  <c r="AK79" i="3" s="1"/>
  <c r="AN79" i="3" a="1"/>
  <c r="AN79" i="3" s="1"/>
  <c r="J80" i="3" a="1"/>
  <c r="J80" i="3" s="1"/>
  <c r="Z80" i="3" a="1"/>
  <c r="Z80" i="3" s="1"/>
  <c r="AP80" i="3" a="1"/>
  <c r="AP80" i="3" s="1"/>
  <c r="P82" i="3" a="1"/>
  <c r="P82" i="3" s="1"/>
  <c r="AF82" i="3" a="1"/>
  <c r="AF82" i="3" s="1"/>
  <c r="H83" i="3" a="1"/>
  <c r="H83" i="3" s="1"/>
  <c r="X83" i="3" a="1"/>
  <c r="X83" i="3" s="1"/>
  <c r="AN83" i="3" a="1"/>
  <c r="AN83" i="3" s="1"/>
  <c r="E67" i="3" a="1"/>
  <c r="E67" i="3" s="1"/>
  <c r="V67" i="3" a="1"/>
  <c r="V67" i="3" s="1"/>
  <c r="N67" i="3" a="1"/>
  <c r="N67" i="3" s="1"/>
  <c r="AE67" i="3" a="1"/>
  <c r="AE67" i="3" s="1"/>
  <c r="D68" i="3" a="1"/>
  <c r="D68" i="3" s="1"/>
  <c r="J68" i="3" a="1"/>
  <c r="J68" i="3" s="1"/>
  <c r="N68" i="3" a="1"/>
  <c r="N68" i="3" s="1"/>
  <c r="S68" i="3" a="1"/>
  <c r="S68" i="3" s="1"/>
  <c r="W68" i="3" a="1"/>
  <c r="W68" i="3" s="1"/>
  <c r="AB68" i="3" a="1"/>
  <c r="AB68" i="3" s="1"/>
  <c r="AG68" i="3" a="1"/>
  <c r="AG68" i="3" s="1"/>
  <c r="AL68" i="3" a="1"/>
  <c r="AL68" i="3" s="1"/>
  <c r="M72" i="3" a="1"/>
  <c r="M72" i="3" s="1"/>
  <c r="C77" i="3" a="1"/>
  <c r="C77" i="3" s="1"/>
  <c r="F77" i="3" a="1"/>
  <c r="F77" i="3" s="1"/>
  <c r="I77" i="3" a="1"/>
  <c r="I77" i="3" s="1"/>
  <c r="L77" i="3" a="1"/>
  <c r="L77" i="3" s="1"/>
  <c r="S77" i="3" a="1"/>
  <c r="S77" i="3" s="1"/>
  <c r="V77" i="3" a="1"/>
  <c r="V77" i="3" s="1"/>
  <c r="Y77" i="3" a="1"/>
  <c r="Y77" i="3" s="1"/>
  <c r="AB77" i="3" a="1"/>
  <c r="AB77" i="3" s="1"/>
  <c r="AI77" i="3" a="1"/>
  <c r="AI77" i="3" s="1"/>
  <c r="AL77" i="3" a="1"/>
  <c r="AL77" i="3" s="1"/>
  <c r="D78" i="3" a="1"/>
  <c r="D78" i="3" s="1"/>
  <c r="K78" i="3" a="1"/>
  <c r="K78" i="3" s="1"/>
  <c r="N78" i="3" a="1"/>
  <c r="N78" i="3" s="1"/>
  <c r="Q78" i="3" a="1"/>
  <c r="Q78" i="3" s="1"/>
  <c r="T78" i="3" a="1"/>
  <c r="T78" i="3" s="1"/>
  <c r="AA78" i="3" a="1"/>
  <c r="AA78" i="3" s="1"/>
  <c r="AD78" i="3" a="1"/>
  <c r="AD78" i="3" s="1"/>
  <c r="AG78" i="3" a="1"/>
  <c r="AG78" i="3" s="1"/>
  <c r="C79" i="3" a="1"/>
  <c r="C79" i="3" s="1"/>
  <c r="F79" i="3" a="1"/>
  <c r="F79" i="3" s="1"/>
  <c r="I79" i="3" a="1"/>
  <c r="I79" i="3" s="1"/>
  <c r="L79" i="3" a="1"/>
  <c r="L79" i="3" s="1"/>
  <c r="S79" i="3" a="1"/>
  <c r="S79" i="3" s="1"/>
  <c r="V79" i="3" a="1"/>
  <c r="V79" i="3" s="1"/>
  <c r="Y79" i="3" a="1"/>
  <c r="Y79" i="3" s="1"/>
  <c r="AB79" i="3" a="1"/>
  <c r="AB79" i="3" s="1"/>
  <c r="AI79" i="3" a="1"/>
  <c r="AI79" i="3" s="1"/>
  <c r="AL79" i="3" a="1"/>
  <c r="AL79" i="3" s="1"/>
  <c r="M80" i="3" a="1"/>
  <c r="M80" i="3" s="1"/>
  <c r="AC80" i="3" a="1"/>
  <c r="AC80" i="3" s="1"/>
  <c r="G82" i="3" a="1"/>
  <c r="G82" i="3" s="1"/>
  <c r="W82" i="3" a="1"/>
  <c r="W82" i="3" s="1"/>
  <c r="AM82" i="3" a="1"/>
  <c r="AM82" i="3" s="1"/>
  <c r="O83" i="3" a="1"/>
  <c r="O83" i="3" s="1"/>
  <c r="AE83" i="3" a="1"/>
  <c r="AE83" i="3" s="1"/>
  <c r="I84" i="3" a="1"/>
  <c r="I84" i="3" s="1"/>
  <c r="AJ70" i="3" a="1"/>
  <c r="AJ70" i="3" s="1"/>
  <c r="AG70" i="3" a="1"/>
  <c r="AG70" i="3" s="1"/>
  <c r="AD70" i="3" a="1"/>
  <c r="AD70" i="3" s="1"/>
  <c r="AA70" i="3" a="1"/>
  <c r="AA70" i="3" s="1"/>
  <c r="T70" i="3" a="1"/>
  <c r="T70" i="3" s="1"/>
  <c r="Q70" i="3" a="1"/>
  <c r="Q70" i="3" s="1"/>
  <c r="N70" i="3" a="1"/>
  <c r="N70" i="3" s="1"/>
  <c r="K70" i="3" a="1"/>
  <c r="K70" i="3" s="1"/>
  <c r="AO70" i="3" a="1"/>
  <c r="AO70" i="3" s="1"/>
  <c r="AL70" i="3" a="1"/>
  <c r="AL70" i="3" s="1"/>
  <c r="AI70" i="3" a="1"/>
  <c r="AI70" i="3" s="1"/>
  <c r="AB70" i="3" a="1"/>
  <c r="AB70" i="3" s="1"/>
  <c r="Y70" i="3" a="1"/>
  <c r="Y70" i="3" s="1"/>
  <c r="V70" i="3" a="1"/>
  <c r="V70" i="3" s="1"/>
  <c r="S70" i="3" a="1"/>
  <c r="S70" i="3" s="1"/>
  <c r="L70" i="3" a="1"/>
  <c r="L70" i="3" s="1"/>
  <c r="AN70" i="3" a="1"/>
  <c r="AN70" i="3" s="1"/>
  <c r="AH70" i="3" a="1"/>
  <c r="AH70" i="3" s="1"/>
  <c r="U70" i="3" a="1"/>
  <c r="U70" i="3" s="1"/>
  <c r="O70" i="3" a="1"/>
  <c r="O70" i="3" s="1"/>
  <c r="I70" i="3" a="1"/>
  <c r="I70" i="3" s="1"/>
  <c r="F70" i="3" a="1"/>
  <c r="F70" i="3" s="1"/>
  <c r="C70" i="3" a="1"/>
  <c r="C70" i="3" s="1"/>
  <c r="AM70" i="3" a="1"/>
  <c r="AM70" i="3" s="1"/>
  <c r="AF70" i="3" a="1"/>
  <c r="AF70" i="3" s="1"/>
  <c r="Z70" i="3" a="1"/>
  <c r="Z70" i="3" s="1"/>
  <c r="M70" i="3" a="1"/>
  <c r="M70" i="3" s="1"/>
  <c r="H70" i="3" a="1"/>
  <c r="H70" i="3" s="1"/>
  <c r="E70" i="3" a="1"/>
  <c r="E70" i="3" s="1"/>
  <c r="R70" i="3" a="1"/>
  <c r="R70" i="3" s="1"/>
  <c r="AK70" i="3" a="1"/>
  <c r="AK70" i="3" s="1"/>
  <c r="AE70" i="3" a="1"/>
  <c r="AE70" i="3" s="1"/>
  <c r="X70" i="3" a="1"/>
  <c r="X70" i="3" s="1"/>
  <c r="D70" i="3" a="1"/>
  <c r="D70" i="3" s="1"/>
  <c r="AJ74" i="3" a="1"/>
  <c r="AJ74" i="3" s="1"/>
  <c r="AG74" i="3" a="1"/>
  <c r="AG74" i="3" s="1"/>
  <c r="AD74" i="3" a="1"/>
  <c r="AD74" i="3" s="1"/>
  <c r="AA74" i="3" a="1"/>
  <c r="AA74" i="3" s="1"/>
  <c r="T74" i="3" a="1"/>
  <c r="T74" i="3" s="1"/>
  <c r="Q74" i="3" a="1"/>
  <c r="Q74" i="3" s="1"/>
  <c r="N74" i="3" a="1"/>
  <c r="N74" i="3" s="1"/>
  <c r="K74" i="3" a="1"/>
  <c r="K74" i="3" s="1"/>
  <c r="D74" i="3" a="1"/>
  <c r="D74" i="3" s="1"/>
  <c r="AP74" i="3" a="1"/>
  <c r="AP74" i="3" s="1"/>
  <c r="AM74" i="3" a="1"/>
  <c r="AM74" i="3" s="1"/>
  <c r="AF74" i="3" a="1"/>
  <c r="AF74" i="3" s="1"/>
  <c r="AC74" i="3" a="1"/>
  <c r="AC74" i="3" s="1"/>
  <c r="Z74" i="3" a="1"/>
  <c r="Z74" i="3" s="1"/>
  <c r="W74" i="3" a="1"/>
  <c r="W74" i="3" s="1"/>
  <c r="P74" i="3" a="1"/>
  <c r="P74" i="3" s="1"/>
  <c r="M74" i="3" a="1"/>
  <c r="M74" i="3" s="1"/>
  <c r="J74" i="3" a="1"/>
  <c r="J74" i="3" s="1"/>
  <c r="G74" i="3" a="1"/>
  <c r="G74" i="3" s="1"/>
  <c r="AO74" i="3" a="1"/>
  <c r="AO74" i="3" s="1"/>
  <c r="AL74" i="3" a="1"/>
  <c r="AL74" i="3" s="1"/>
  <c r="AI74" i="3" a="1"/>
  <c r="AI74" i="3" s="1"/>
  <c r="AB74" i="3" a="1"/>
  <c r="AB74" i="3" s="1"/>
  <c r="Y74" i="3" a="1"/>
  <c r="Y74" i="3" s="1"/>
  <c r="V74" i="3" a="1"/>
  <c r="V74" i="3" s="1"/>
  <c r="S74" i="3" a="1"/>
  <c r="S74" i="3" s="1"/>
  <c r="L74" i="3" a="1"/>
  <c r="L74" i="3" s="1"/>
  <c r="I74" i="3" a="1"/>
  <c r="I74" i="3" s="1"/>
  <c r="F74" i="3" a="1"/>
  <c r="F74" i="3" s="1"/>
  <c r="C74" i="3" a="1"/>
  <c r="C74" i="3" s="1"/>
  <c r="AH74" i="3" a="1"/>
  <c r="AH74" i="3" s="1"/>
  <c r="U74" i="3" a="1"/>
  <c r="U74" i="3" s="1"/>
  <c r="H74" i="3" a="1"/>
  <c r="H74" i="3" s="1"/>
  <c r="AE74" i="3" a="1"/>
  <c r="AE74" i="3" s="1"/>
  <c r="R74" i="3" a="1"/>
  <c r="R74" i="3" s="1"/>
  <c r="E74" i="3" a="1"/>
  <c r="E74" i="3" s="1"/>
  <c r="AN74" i="3" a="1"/>
  <c r="AN74" i="3" s="1"/>
  <c r="O74" i="3" a="1"/>
  <c r="O74" i="3" s="1"/>
  <c r="F67" i="3" a="1"/>
  <c r="F67" i="3" s="1"/>
  <c r="K67" i="3" a="1"/>
  <c r="K67" i="3" s="1"/>
  <c r="O67" i="3" a="1"/>
  <c r="O67" i="3" s="1"/>
  <c r="S67" i="3" a="1"/>
  <c r="S67" i="3" s="1"/>
  <c r="AJ67" i="3" a="1"/>
  <c r="AJ67" i="3" s="1"/>
  <c r="H69" i="3" a="1"/>
  <c r="H69" i="3" s="1"/>
  <c r="U69" i="3" a="1"/>
  <c r="U69" i="3" s="1"/>
  <c r="G70" i="3" a="1"/>
  <c r="G70" i="3" s="1"/>
  <c r="AC70" i="3" a="1"/>
  <c r="AC70" i="3" s="1"/>
  <c r="O71" i="3" a="1"/>
  <c r="O71" i="3" s="1"/>
  <c r="AJ69" i="3" a="1"/>
  <c r="AJ69" i="3" s="1"/>
  <c r="AG69" i="3" a="1"/>
  <c r="AG69" i="3" s="1"/>
  <c r="AD69" i="3" a="1"/>
  <c r="AD69" i="3" s="1"/>
  <c r="AA69" i="3" a="1"/>
  <c r="AA69" i="3" s="1"/>
  <c r="T69" i="3" a="1"/>
  <c r="T69" i="3" s="1"/>
  <c r="Q69" i="3" a="1"/>
  <c r="Q69" i="3" s="1"/>
  <c r="N69" i="3" a="1"/>
  <c r="N69" i="3" s="1"/>
  <c r="K69" i="3" a="1"/>
  <c r="K69" i="3" s="1"/>
  <c r="D69" i="3" a="1"/>
  <c r="D69" i="3" s="1"/>
  <c r="AP69" i="3" a="1"/>
  <c r="AP69" i="3" s="1"/>
  <c r="AM69" i="3" a="1"/>
  <c r="AM69" i="3" s="1"/>
  <c r="AF69" i="3" a="1"/>
  <c r="AF69" i="3" s="1"/>
  <c r="AC69" i="3" a="1"/>
  <c r="AC69" i="3" s="1"/>
  <c r="Z69" i="3" a="1"/>
  <c r="Z69" i="3" s="1"/>
  <c r="W69" i="3" a="1"/>
  <c r="W69" i="3" s="1"/>
  <c r="P69" i="3" a="1"/>
  <c r="P69" i="3" s="1"/>
  <c r="M69" i="3" a="1"/>
  <c r="M69" i="3" s="1"/>
  <c r="J69" i="3" a="1"/>
  <c r="J69" i="3" s="1"/>
  <c r="G69" i="3" a="1"/>
  <c r="G69" i="3" s="1"/>
  <c r="AO69" i="3" a="1"/>
  <c r="AO69" i="3" s="1"/>
  <c r="AI69" i="3" a="1"/>
  <c r="AI69" i="3" s="1"/>
  <c r="Y69" i="3" a="1"/>
  <c r="Y69" i="3" s="1"/>
  <c r="S69" i="3" a="1"/>
  <c r="S69" i="3" s="1"/>
  <c r="I69" i="3" a="1"/>
  <c r="I69" i="3" s="1"/>
  <c r="C69" i="3" a="1"/>
  <c r="C69" i="3" s="1"/>
  <c r="AL69" i="3" a="1"/>
  <c r="AL69" i="3" s="1"/>
  <c r="AB69" i="3" a="1"/>
  <c r="AB69" i="3" s="1"/>
  <c r="V69" i="3" a="1"/>
  <c r="V69" i="3" s="1"/>
  <c r="L69" i="3" a="1"/>
  <c r="L69" i="3" s="1"/>
  <c r="F69" i="3" a="1"/>
  <c r="F69" i="3" s="1"/>
  <c r="AO73" i="3" a="1"/>
  <c r="AO73" i="3" s="1"/>
  <c r="AL73" i="3" a="1"/>
  <c r="AL73" i="3" s="1"/>
  <c r="AI73" i="3" a="1"/>
  <c r="AI73" i="3" s="1"/>
  <c r="AB73" i="3" a="1"/>
  <c r="AB73" i="3" s="1"/>
  <c r="Y73" i="3" a="1"/>
  <c r="Y73" i="3" s="1"/>
  <c r="V73" i="3" a="1"/>
  <c r="V73" i="3" s="1"/>
  <c r="S73" i="3" a="1"/>
  <c r="S73" i="3" s="1"/>
  <c r="L73" i="3" a="1"/>
  <c r="L73" i="3" s="1"/>
  <c r="I73" i="3" a="1"/>
  <c r="I73" i="3" s="1"/>
  <c r="F73" i="3" a="1"/>
  <c r="F73" i="3" s="1"/>
  <c r="C73" i="3" a="1"/>
  <c r="C73" i="3" s="1"/>
  <c r="AN73" i="3" a="1"/>
  <c r="AN73" i="3" s="1"/>
  <c r="AK73" i="3" a="1"/>
  <c r="AK73" i="3" s="1"/>
  <c r="AJ73" i="3" a="1"/>
  <c r="AJ73" i="3" s="1"/>
  <c r="AG73" i="3" a="1"/>
  <c r="AG73" i="3" s="1"/>
  <c r="AD73" i="3" a="1"/>
  <c r="AD73" i="3" s="1"/>
  <c r="AA73" i="3" a="1"/>
  <c r="AA73" i="3" s="1"/>
  <c r="T73" i="3" a="1"/>
  <c r="T73" i="3" s="1"/>
  <c r="Q73" i="3" a="1"/>
  <c r="Q73" i="3" s="1"/>
  <c r="N73" i="3" a="1"/>
  <c r="N73" i="3" s="1"/>
  <c r="K73" i="3" a="1"/>
  <c r="K73" i="3" s="1"/>
  <c r="D73" i="3" a="1"/>
  <c r="D73" i="3" s="1"/>
  <c r="AC73" i="3" a="1"/>
  <c r="AC73" i="3" s="1"/>
  <c r="W73" i="3" a="1"/>
  <c r="W73" i="3" s="1"/>
  <c r="P73" i="3" a="1"/>
  <c r="P73" i="3" s="1"/>
  <c r="J73" i="3" a="1"/>
  <c r="J73" i="3" s="1"/>
  <c r="AH73" i="3" a="1"/>
  <c r="AH73" i="3" s="1"/>
  <c r="U73" i="3" a="1"/>
  <c r="U73" i="3" s="1"/>
  <c r="O73" i="3" a="1"/>
  <c r="O73" i="3" s="1"/>
  <c r="H73" i="3" a="1"/>
  <c r="H73" i="3" s="1"/>
  <c r="AP73" i="3" a="1"/>
  <c r="AP73" i="3" s="1"/>
  <c r="AF73" i="3" a="1"/>
  <c r="AF73" i="3" s="1"/>
  <c r="Z73" i="3" a="1"/>
  <c r="Z73" i="3" s="1"/>
  <c r="M73" i="3" a="1"/>
  <c r="M73" i="3" s="1"/>
  <c r="G73" i="3" a="1"/>
  <c r="G73" i="3" s="1"/>
  <c r="E69" i="3" a="1"/>
  <c r="E69" i="3" s="1"/>
  <c r="R69" i="3" a="1"/>
  <c r="R69" i="3" s="1"/>
  <c r="AE69" i="3" a="1"/>
  <c r="AE69" i="3" s="1"/>
  <c r="E73" i="3" a="1"/>
  <c r="E73" i="3" s="1"/>
  <c r="AE73" i="3" a="1"/>
  <c r="AE73" i="3" s="1"/>
  <c r="AP67" i="3" a="1"/>
  <c r="AP67" i="3" s="1"/>
  <c r="AM67" i="3" a="1"/>
  <c r="AM67" i="3" s="1"/>
  <c r="AF67" i="3" a="1"/>
  <c r="AF67" i="3" s="1"/>
  <c r="AC67" i="3" a="1"/>
  <c r="AC67" i="3" s="1"/>
  <c r="Z67" i="3" a="1"/>
  <c r="Z67" i="3" s="1"/>
  <c r="W67" i="3" a="1"/>
  <c r="W67" i="3" s="1"/>
  <c r="P67" i="3" a="1"/>
  <c r="P67" i="3" s="1"/>
  <c r="M67" i="3" a="1"/>
  <c r="M67" i="3" s="1"/>
  <c r="J67" i="3" a="1"/>
  <c r="J67" i="3" s="1"/>
  <c r="G67" i="3" a="1"/>
  <c r="G67" i="3" s="1"/>
  <c r="AO67" i="3" a="1"/>
  <c r="AO67" i="3" s="1"/>
  <c r="AO71" i="3" a="1"/>
  <c r="AO71" i="3" s="1"/>
  <c r="AL71" i="3" a="1"/>
  <c r="AL71" i="3" s="1"/>
  <c r="AI71" i="3" a="1"/>
  <c r="AI71" i="3" s="1"/>
  <c r="AB71" i="3" a="1"/>
  <c r="AB71" i="3" s="1"/>
  <c r="Y71" i="3" a="1"/>
  <c r="Y71" i="3" s="1"/>
  <c r="V71" i="3" a="1"/>
  <c r="V71" i="3" s="1"/>
  <c r="S71" i="3" a="1"/>
  <c r="S71" i="3" s="1"/>
  <c r="L71" i="3" a="1"/>
  <c r="L71" i="3" s="1"/>
  <c r="I71" i="3" a="1"/>
  <c r="I71" i="3" s="1"/>
  <c r="F71" i="3" a="1"/>
  <c r="F71" i="3" s="1"/>
  <c r="C71" i="3" a="1"/>
  <c r="C71" i="3" s="1"/>
  <c r="AJ71" i="3" a="1"/>
  <c r="AJ71" i="3" s="1"/>
  <c r="AG71" i="3" a="1"/>
  <c r="AG71" i="3" s="1"/>
  <c r="AD71" i="3" a="1"/>
  <c r="AD71" i="3" s="1"/>
  <c r="AA71" i="3" a="1"/>
  <c r="AA71" i="3" s="1"/>
  <c r="T71" i="3" a="1"/>
  <c r="T71" i="3" s="1"/>
  <c r="Q71" i="3" a="1"/>
  <c r="Q71" i="3" s="1"/>
  <c r="N71" i="3" a="1"/>
  <c r="N71" i="3" s="1"/>
  <c r="K71" i="3" a="1"/>
  <c r="K71" i="3" s="1"/>
  <c r="D71" i="3" a="1"/>
  <c r="D71" i="3" s="1"/>
  <c r="AM71" i="3" a="1"/>
  <c r="AM71" i="3" s="1"/>
  <c r="AF71" i="3" a="1"/>
  <c r="AF71" i="3" s="1"/>
  <c r="Z71" i="3" a="1"/>
  <c r="Z71" i="3" s="1"/>
  <c r="M71" i="3" a="1"/>
  <c r="M71" i="3" s="1"/>
  <c r="G71" i="3" a="1"/>
  <c r="G71" i="3" s="1"/>
  <c r="AK71" i="3" a="1"/>
  <c r="AK71" i="3" s="1"/>
  <c r="AE71" i="3" a="1"/>
  <c r="AE71" i="3" s="1"/>
  <c r="X71" i="3" a="1"/>
  <c r="X71" i="3" s="1"/>
  <c r="R71" i="3" a="1"/>
  <c r="R71" i="3" s="1"/>
  <c r="E71" i="3" a="1"/>
  <c r="E71" i="3" s="1"/>
  <c r="P71" i="3" a="1"/>
  <c r="P71" i="3" s="1"/>
  <c r="AP71" i="3" a="1"/>
  <c r="AP71" i="3" s="1"/>
  <c r="AC71" i="3" a="1"/>
  <c r="AC71" i="3" s="1"/>
  <c r="W71" i="3" a="1"/>
  <c r="W71" i="3" s="1"/>
  <c r="J71" i="3" a="1"/>
  <c r="J71" i="3" s="1"/>
  <c r="AO75" i="3" a="1"/>
  <c r="AO75" i="3" s="1"/>
  <c r="AL75" i="3" a="1"/>
  <c r="AL75" i="3" s="1"/>
  <c r="AI75" i="3" a="1"/>
  <c r="AI75" i="3" s="1"/>
  <c r="AB75" i="3" a="1"/>
  <c r="AB75" i="3" s="1"/>
  <c r="Y75" i="3" a="1"/>
  <c r="Y75" i="3" s="1"/>
  <c r="V75" i="3" a="1"/>
  <c r="V75" i="3" s="1"/>
  <c r="S75" i="3" a="1"/>
  <c r="S75" i="3" s="1"/>
  <c r="L75" i="3" a="1"/>
  <c r="L75" i="3" s="1"/>
  <c r="I75" i="3" a="1"/>
  <c r="I75" i="3" s="1"/>
  <c r="F75" i="3" a="1"/>
  <c r="F75" i="3" s="1"/>
  <c r="C75" i="3" a="1"/>
  <c r="C75" i="3" s="1"/>
  <c r="AN75" i="3" a="1"/>
  <c r="AN75" i="3" s="1"/>
  <c r="AK75" i="3" a="1"/>
  <c r="AK75" i="3" s="1"/>
  <c r="AH75" i="3" a="1"/>
  <c r="AH75" i="3" s="1"/>
  <c r="AE75" i="3" a="1"/>
  <c r="AE75" i="3" s="1"/>
  <c r="X75" i="3" a="1"/>
  <c r="X75" i="3" s="1"/>
  <c r="U75" i="3" a="1"/>
  <c r="U75" i="3" s="1"/>
  <c r="R75" i="3" a="1"/>
  <c r="R75" i="3" s="1"/>
  <c r="O75" i="3" a="1"/>
  <c r="O75" i="3" s="1"/>
  <c r="H75" i="3" a="1"/>
  <c r="H75" i="3" s="1"/>
  <c r="E75" i="3" a="1"/>
  <c r="E75" i="3" s="1"/>
  <c r="AJ75" i="3" a="1"/>
  <c r="AJ75" i="3" s="1"/>
  <c r="AG75" i="3" a="1"/>
  <c r="AG75" i="3" s="1"/>
  <c r="AD75" i="3" a="1"/>
  <c r="AD75" i="3" s="1"/>
  <c r="AA75" i="3" a="1"/>
  <c r="AA75" i="3" s="1"/>
  <c r="T75" i="3" a="1"/>
  <c r="T75" i="3" s="1"/>
  <c r="Q75" i="3" a="1"/>
  <c r="Q75" i="3" s="1"/>
  <c r="N75" i="3" a="1"/>
  <c r="N75" i="3" s="1"/>
  <c r="K75" i="3" a="1"/>
  <c r="K75" i="3" s="1"/>
  <c r="D75" i="3" a="1"/>
  <c r="D75" i="3" s="1"/>
  <c r="AF75" i="3" a="1"/>
  <c r="AF75" i="3" s="1"/>
  <c r="G75" i="3" a="1"/>
  <c r="G75" i="3" s="1"/>
  <c r="AP75" i="3" a="1"/>
  <c r="AP75" i="3" s="1"/>
  <c r="AC75" i="3" a="1"/>
  <c r="AC75" i="3" s="1"/>
  <c r="P75" i="3" a="1"/>
  <c r="P75" i="3" s="1"/>
  <c r="AM75" i="3" a="1"/>
  <c r="AM75" i="3" s="1"/>
  <c r="Z75" i="3" a="1"/>
  <c r="Z75" i="3" s="1"/>
  <c r="M75" i="3" a="1"/>
  <c r="M75" i="3" s="1"/>
  <c r="C67" i="3" a="1"/>
  <c r="C67" i="3" s="1"/>
  <c r="T67" i="3" a="1"/>
  <c r="T67" i="3" s="1"/>
  <c r="X67" i="3" a="1"/>
  <c r="X67" i="3" s="1"/>
  <c r="AB67" i="3" a="1"/>
  <c r="AB67" i="3" s="1"/>
  <c r="AG67" i="3" a="1"/>
  <c r="AG67" i="3" s="1"/>
  <c r="AK67" i="3" a="1"/>
  <c r="AK67" i="3" s="1"/>
  <c r="X69" i="3" a="1"/>
  <c r="X69" i="3" s="1"/>
  <c r="AK69" i="3" a="1"/>
  <c r="AK69" i="3" s="1"/>
  <c r="J70" i="3" a="1"/>
  <c r="J70" i="3" s="1"/>
  <c r="U71" i="3" a="1"/>
  <c r="U71" i="3" s="1"/>
  <c r="R73" i="3" a="1"/>
  <c r="R73" i="3" s="1"/>
  <c r="W75" i="3" a="1"/>
  <c r="W75" i="3" s="1"/>
  <c r="D67" i="3" a="1"/>
  <c r="D67" i="3" s="1"/>
  <c r="H67" i="3" a="1"/>
  <c r="H67" i="3" s="1"/>
  <c r="L67" i="3" a="1"/>
  <c r="L67" i="3" s="1"/>
  <c r="Q67" i="3" a="1"/>
  <c r="Q67" i="3" s="1"/>
  <c r="U67" i="3" a="1"/>
  <c r="U67" i="3" s="1"/>
  <c r="Y67" i="3" a="1"/>
  <c r="Y67" i="3" s="1"/>
  <c r="AD67" i="3" a="1"/>
  <c r="AD67" i="3" s="1"/>
  <c r="AH67" i="3" a="1"/>
  <c r="AH67" i="3" s="1"/>
  <c r="AL67" i="3" a="1"/>
  <c r="AL67" i="3" s="1"/>
  <c r="O69" i="3" a="1"/>
  <c r="O69" i="3" s="1"/>
  <c r="AN69" i="3" a="1"/>
  <c r="AN69" i="3" s="1"/>
  <c r="P70" i="3" a="1"/>
  <c r="P70" i="3" s="1"/>
  <c r="AP70" i="3" a="1"/>
  <c r="AP70" i="3" s="1"/>
  <c r="X73" i="3" a="1"/>
  <c r="X73" i="3" s="1"/>
  <c r="X74" i="3" a="1"/>
  <c r="X74" i="3" s="1"/>
  <c r="H72" i="3" a="1"/>
  <c r="H72" i="3" s="1"/>
  <c r="O72" i="3" a="1"/>
  <c r="O72" i="3" s="1"/>
  <c r="U72" i="3" a="1"/>
  <c r="U72" i="3" s="1"/>
  <c r="AH72" i="3" a="1"/>
  <c r="AH72" i="3" s="1"/>
  <c r="X76" i="3" a="1"/>
  <c r="X76" i="3" s="1"/>
  <c r="AJ72" i="3" a="1"/>
  <c r="AJ72" i="3" s="1"/>
  <c r="AG72" i="3" a="1"/>
  <c r="AG72" i="3" s="1"/>
  <c r="AD72" i="3" a="1"/>
  <c r="AD72" i="3" s="1"/>
  <c r="AA72" i="3" a="1"/>
  <c r="AA72" i="3" s="1"/>
  <c r="T72" i="3" a="1"/>
  <c r="T72" i="3" s="1"/>
  <c r="Q72" i="3" a="1"/>
  <c r="Q72" i="3" s="1"/>
  <c r="N72" i="3" a="1"/>
  <c r="N72" i="3" s="1"/>
  <c r="K72" i="3" a="1"/>
  <c r="K72" i="3" s="1"/>
  <c r="D72" i="3" a="1"/>
  <c r="D72" i="3" s="1"/>
  <c r="AO72" i="3" a="1"/>
  <c r="AO72" i="3" s="1"/>
  <c r="AL72" i="3" a="1"/>
  <c r="AL72" i="3" s="1"/>
  <c r="AI72" i="3" a="1"/>
  <c r="AI72" i="3" s="1"/>
  <c r="AB72" i="3" a="1"/>
  <c r="AB72" i="3" s="1"/>
  <c r="Y72" i="3" a="1"/>
  <c r="Y72" i="3" s="1"/>
  <c r="V72" i="3" a="1"/>
  <c r="V72" i="3" s="1"/>
  <c r="S72" i="3" a="1"/>
  <c r="S72" i="3" s="1"/>
  <c r="L72" i="3" a="1"/>
  <c r="L72" i="3" s="1"/>
  <c r="I72" i="3" a="1"/>
  <c r="I72" i="3" s="1"/>
  <c r="F72" i="3" a="1"/>
  <c r="F72" i="3" s="1"/>
  <c r="C72" i="3" a="1"/>
  <c r="C72" i="3" s="1"/>
  <c r="AJ76" i="3" a="1"/>
  <c r="AJ76" i="3" s="1"/>
  <c r="AG76" i="3" a="1"/>
  <c r="AG76" i="3" s="1"/>
  <c r="AD76" i="3" a="1"/>
  <c r="AD76" i="3" s="1"/>
  <c r="AA76" i="3" a="1"/>
  <c r="AA76" i="3" s="1"/>
  <c r="T76" i="3" a="1"/>
  <c r="T76" i="3" s="1"/>
  <c r="Q76" i="3" a="1"/>
  <c r="Q76" i="3" s="1"/>
  <c r="N76" i="3" a="1"/>
  <c r="N76" i="3" s="1"/>
  <c r="K76" i="3" a="1"/>
  <c r="K76" i="3" s="1"/>
  <c r="D76" i="3" a="1"/>
  <c r="D76" i="3" s="1"/>
  <c r="AP76" i="3" a="1"/>
  <c r="AP76" i="3" s="1"/>
  <c r="AM76" i="3" a="1"/>
  <c r="AM76" i="3" s="1"/>
  <c r="AF76" i="3" a="1"/>
  <c r="AF76" i="3" s="1"/>
  <c r="AC76" i="3" a="1"/>
  <c r="AC76" i="3" s="1"/>
  <c r="Z76" i="3" a="1"/>
  <c r="Z76" i="3" s="1"/>
  <c r="W76" i="3" a="1"/>
  <c r="W76" i="3" s="1"/>
  <c r="P76" i="3" a="1"/>
  <c r="P76" i="3" s="1"/>
  <c r="M76" i="3" a="1"/>
  <c r="M76" i="3" s="1"/>
  <c r="J76" i="3" a="1"/>
  <c r="J76" i="3" s="1"/>
  <c r="G76" i="3" a="1"/>
  <c r="G76" i="3" s="1"/>
  <c r="AO76" i="3" a="1"/>
  <c r="AO76" i="3" s="1"/>
  <c r="AL76" i="3" a="1"/>
  <c r="AL76" i="3" s="1"/>
  <c r="AI76" i="3" a="1"/>
  <c r="AI76" i="3" s="1"/>
  <c r="AB76" i="3" a="1"/>
  <c r="AB76" i="3" s="1"/>
  <c r="Y76" i="3" a="1"/>
  <c r="Y76" i="3" s="1"/>
  <c r="V76" i="3" a="1"/>
  <c r="V76" i="3" s="1"/>
  <c r="S76" i="3" a="1"/>
  <c r="S76" i="3" s="1"/>
  <c r="L76" i="3" a="1"/>
  <c r="L76" i="3" s="1"/>
  <c r="I76" i="3" a="1"/>
  <c r="I76" i="3" s="1"/>
  <c r="F76" i="3" a="1"/>
  <c r="F76" i="3" s="1"/>
  <c r="C76" i="3" a="1"/>
  <c r="C76" i="3" s="1"/>
  <c r="E68" i="3" a="1"/>
  <c r="E68" i="3" s="1"/>
  <c r="H68" i="3" a="1"/>
  <c r="H68" i="3" s="1"/>
  <c r="O68" i="3" a="1"/>
  <c r="O68" i="3" s="1"/>
  <c r="R68" i="3" a="1"/>
  <c r="R68" i="3" s="1"/>
  <c r="U68" i="3" a="1"/>
  <c r="U68" i="3" s="1"/>
  <c r="X68" i="3" a="1"/>
  <c r="X68" i="3" s="1"/>
  <c r="AE68" i="3" a="1"/>
  <c r="AE68" i="3" s="1"/>
  <c r="AH68" i="3" a="1"/>
  <c r="AH68" i="3" s="1"/>
  <c r="AK68" i="3" a="1"/>
  <c r="AK68" i="3" s="1"/>
  <c r="J72" i="3" a="1"/>
  <c r="J72" i="3" s="1"/>
  <c r="P72" i="3" a="1"/>
  <c r="P72" i="3" s="1"/>
  <c r="W72" i="3" a="1"/>
  <c r="W72" i="3" s="1"/>
  <c r="AC72" i="3" a="1"/>
  <c r="AC72" i="3" s="1"/>
  <c r="AP72" i="3" a="1"/>
  <c r="AP72" i="3" s="1"/>
  <c r="O76" i="3" a="1"/>
  <c r="O76" i="3" s="1"/>
  <c r="AN76" i="3" a="1"/>
  <c r="AN76" i="3" s="1"/>
  <c r="E72" i="3" a="1"/>
  <c r="E72" i="3" s="1"/>
  <c r="R72" i="3" a="1"/>
  <c r="R72" i="3" s="1"/>
  <c r="X72" i="3" a="1"/>
  <c r="X72" i="3" s="1"/>
  <c r="AE72" i="3" a="1"/>
  <c r="AE72" i="3" s="1"/>
  <c r="AK72" i="3" a="1"/>
  <c r="AK72" i="3" s="1"/>
  <c r="E76" i="3" a="1"/>
  <c r="E76" i="3" s="1"/>
  <c r="R76" i="3" a="1"/>
  <c r="R76" i="3" s="1"/>
  <c r="AE76" i="3" a="1"/>
  <c r="AE76" i="3" s="1"/>
  <c r="L13" i="3" a="1"/>
  <c r="L13" i="3" s="1"/>
  <c r="F5" i="3" a="1"/>
  <c r="F5" i="3" s="1"/>
  <c r="J5" i="3" a="1"/>
  <c r="J5" i="3" s="1"/>
  <c r="O9" i="3" a="1"/>
  <c r="O9" i="3" s="1"/>
  <c r="D80" i="3" a="1"/>
  <c r="D80" i="3" s="1"/>
  <c r="K80" i="3" a="1"/>
  <c r="K80" i="3" s="1"/>
  <c r="N80" i="3" a="1"/>
  <c r="N80" i="3" s="1"/>
  <c r="Q80" i="3" a="1"/>
  <c r="Q80" i="3" s="1"/>
  <c r="T80" i="3" a="1"/>
  <c r="T80" i="3" s="1"/>
  <c r="AA80" i="3" a="1"/>
  <c r="AA80" i="3" s="1"/>
  <c r="AD80" i="3" a="1"/>
  <c r="AD80" i="3" s="1"/>
  <c r="AG80" i="3" a="1"/>
  <c r="AG80" i="3" s="1"/>
  <c r="AJ80" i="3" a="1"/>
  <c r="AJ80" i="3" s="1"/>
  <c r="C81" i="3" a="1"/>
  <c r="C81" i="3" s="1"/>
  <c r="F81" i="3" a="1"/>
  <c r="F81" i="3" s="1"/>
  <c r="I81" i="3" a="1"/>
  <c r="I81" i="3" s="1"/>
  <c r="L81" i="3" a="1"/>
  <c r="L81" i="3" s="1"/>
  <c r="S81" i="3" a="1"/>
  <c r="S81" i="3" s="1"/>
  <c r="V81" i="3" a="1"/>
  <c r="V81" i="3" s="1"/>
  <c r="Y81" i="3" a="1"/>
  <c r="Y81" i="3" s="1"/>
  <c r="AB81" i="3" a="1"/>
  <c r="AB81" i="3" s="1"/>
  <c r="AI81" i="3" a="1"/>
  <c r="AI81" i="3" s="1"/>
  <c r="AL81" i="3" a="1"/>
  <c r="AL81" i="3" s="1"/>
  <c r="AO81" i="3" a="1"/>
  <c r="AO81" i="3" s="1"/>
  <c r="D82" i="3" a="1"/>
  <c r="D82" i="3" s="1"/>
  <c r="K82" i="3" a="1"/>
  <c r="K82" i="3" s="1"/>
  <c r="N82" i="3" a="1"/>
  <c r="N82" i="3" s="1"/>
  <c r="Q82" i="3" a="1"/>
  <c r="Q82" i="3" s="1"/>
  <c r="T82" i="3" a="1"/>
  <c r="T82" i="3" s="1"/>
  <c r="AA82" i="3" a="1"/>
  <c r="AA82" i="3" s="1"/>
  <c r="AD82" i="3" a="1"/>
  <c r="AD82" i="3" s="1"/>
  <c r="AG82" i="3" a="1"/>
  <c r="AG82" i="3" s="1"/>
  <c r="AJ82" i="3" a="1"/>
  <c r="AJ82" i="3" s="1"/>
  <c r="C83" i="3" a="1"/>
  <c r="C83" i="3" s="1"/>
  <c r="F83" i="3" a="1"/>
  <c r="F83" i="3" s="1"/>
  <c r="I83" i="3" a="1"/>
  <c r="I83" i="3" s="1"/>
  <c r="L83" i="3" a="1"/>
  <c r="L83" i="3" s="1"/>
  <c r="S83" i="3" a="1"/>
  <c r="S83" i="3" s="1"/>
  <c r="V83" i="3" a="1"/>
  <c r="V83" i="3" s="1"/>
  <c r="Y83" i="3" a="1"/>
  <c r="Y83" i="3" s="1"/>
  <c r="AB83" i="3" a="1"/>
  <c r="AB83" i="3" s="1"/>
  <c r="AI83" i="3" a="1"/>
  <c r="AI83" i="3" s="1"/>
  <c r="AL83" i="3" a="1"/>
  <c r="AL83" i="3" s="1"/>
  <c r="AO83" i="3" a="1"/>
  <c r="AO83" i="3" s="1"/>
  <c r="E81" i="3" a="1"/>
  <c r="E81" i="3" s="1"/>
  <c r="H81" i="3" a="1"/>
  <c r="H81" i="3" s="1"/>
  <c r="O81" i="3" a="1"/>
  <c r="O81" i="3" s="1"/>
  <c r="R81" i="3" a="1"/>
  <c r="R81" i="3" s="1"/>
  <c r="U81" i="3" a="1"/>
  <c r="U81" i="3" s="1"/>
  <c r="X81" i="3" a="1"/>
  <c r="X81" i="3" s="1"/>
  <c r="AE81" i="3" a="1"/>
  <c r="AE81" i="3" s="1"/>
  <c r="AH81" i="3" a="1"/>
  <c r="AH81" i="3" s="1"/>
  <c r="AK81" i="3" a="1"/>
  <c r="AK81" i="3" s="1"/>
  <c r="AN81" i="3" a="1"/>
  <c r="AN81" i="3" s="1"/>
  <c r="D13" i="3" a="1"/>
  <c r="D13" i="3" s="1"/>
  <c r="E80" i="3" a="1"/>
  <c r="E80" i="3" s="1"/>
  <c r="H80" i="3" a="1"/>
  <c r="H80" i="3" s="1"/>
  <c r="O80" i="3" a="1"/>
  <c r="O80" i="3" s="1"/>
  <c r="R80" i="3" a="1"/>
  <c r="R80" i="3" s="1"/>
  <c r="U80" i="3" a="1"/>
  <c r="U80" i="3" s="1"/>
  <c r="X80" i="3" a="1"/>
  <c r="X80" i="3" s="1"/>
  <c r="AE80" i="3" a="1"/>
  <c r="AE80" i="3" s="1"/>
  <c r="AH80" i="3" a="1"/>
  <c r="AH80" i="3" s="1"/>
  <c r="AK80" i="3" a="1"/>
  <c r="AK80" i="3" s="1"/>
  <c r="AN80" i="3" a="1"/>
  <c r="AN80" i="3" s="1"/>
  <c r="G81" i="3" a="1"/>
  <c r="G81" i="3" s="1"/>
  <c r="J81" i="3" a="1"/>
  <c r="J81" i="3" s="1"/>
  <c r="M81" i="3" a="1"/>
  <c r="M81" i="3" s="1"/>
  <c r="P81" i="3" a="1"/>
  <c r="P81" i="3" s="1"/>
  <c r="W81" i="3" a="1"/>
  <c r="W81" i="3" s="1"/>
  <c r="Z81" i="3" a="1"/>
  <c r="Z81" i="3" s="1"/>
  <c r="AC81" i="3" a="1"/>
  <c r="AC81" i="3" s="1"/>
  <c r="AF81" i="3" a="1"/>
  <c r="AF81" i="3" s="1"/>
  <c r="AM81" i="3" a="1"/>
  <c r="AM81" i="3" s="1"/>
  <c r="AP81" i="3" a="1"/>
  <c r="AP81" i="3" s="1"/>
  <c r="E82" i="3" a="1"/>
  <c r="E82" i="3" s="1"/>
  <c r="H82" i="3" a="1"/>
  <c r="H82" i="3" s="1"/>
  <c r="O82" i="3" a="1"/>
  <c r="O82" i="3" s="1"/>
  <c r="R82" i="3" a="1"/>
  <c r="R82" i="3" s="1"/>
  <c r="U82" i="3" a="1"/>
  <c r="U82" i="3" s="1"/>
  <c r="X82" i="3" a="1"/>
  <c r="X82" i="3" s="1"/>
  <c r="AE82" i="3" a="1"/>
  <c r="AE82" i="3" s="1"/>
  <c r="AH82" i="3" a="1"/>
  <c r="AH82" i="3" s="1"/>
  <c r="AK82" i="3" a="1"/>
  <c r="AK82" i="3" s="1"/>
  <c r="AN82" i="3" a="1"/>
  <c r="AN82" i="3" s="1"/>
  <c r="G83" i="3" a="1"/>
  <c r="G83" i="3" s="1"/>
  <c r="J83" i="3" a="1"/>
  <c r="J83" i="3" s="1"/>
  <c r="M83" i="3" a="1"/>
  <c r="M83" i="3" s="1"/>
  <c r="P83" i="3" a="1"/>
  <c r="P83" i="3" s="1"/>
  <c r="W83" i="3" a="1"/>
  <c r="W83" i="3" s="1"/>
  <c r="Z83" i="3" a="1"/>
  <c r="Z83" i="3" s="1"/>
  <c r="AC83" i="3" a="1"/>
  <c r="AC83" i="3" s="1"/>
  <c r="AF83" i="3" a="1"/>
  <c r="AF83" i="3" s="1"/>
  <c r="AM83" i="3" a="1"/>
  <c r="AM83" i="3" s="1"/>
  <c r="AP83" i="3" a="1"/>
  <c r="AP83" i="3" s="1"/>
  <c r="C17" i="3" a="1"/>
  <c r="C17" i="3" s="1"/>
  <c r="G5" i="3" a="1"/>
  <c r="G5" i="3" s="1"/>
  <c r="AH13" i="3" a="1"/>
  <c r="AH13" i="3" s="1"/>
  <c r="C80" i="3" a="1"/>
  <c r="C80" i="3" s="1"/>
  <c r="F80" i="3" a="1"/>
  <c r="F80" i="3" s="1"/>
  <c r="I80" i="3" a="1"/>
  <c r="I80" i="3" s="1"/>
  <c r="L80" i="3" a="1"/>
  <c r="L80" i="3" s="1"/>
  <c r="S80" i="3" a="1"/>
  <c r="S80" i="3" s="1"/>
  <c r="V80" i="3" a="1"/>
  <c r="V80" i="3" s="1"/>
  <c r="Y80" i="3" a="1"/>
  <c r="Y80" i="3" s="1"/>
  <c r="AB80" i="3" a="1"/>
  <c r="AB80" i="3" s="1"/>
  <c r="AI80" i="3" a="1"/>
  <c r="AI80" i="3" s="1"/>
  <c r="AL80" i="3" a="1"/>
  <c r="AL80" i="3" s="1"/>
  <c r="D81" i="3" a="1"/>
  <c r="D81" i="3" s="1"/>
  <c r="K81" i="3" a="1"/>
  <c r="K81" i="3" s="1"/>
  <c r="N81" i="3" a="1"/>
  <c r="N81" i="3" s="1"/>
  <c r="Q81" i="3" a="1"/>
  <c r="Q81" i="3" s="1"/>
  <c r="T81" i="3" a="1"/>
  <c r="T81" i="3" s="1"/>
  <c r="AA81" i="3" a="1"/>
  <c r="AA81" i="3" s="1"/>
  <c r="AD81" i="3" a="1"/>
  <c r="AD81" i="3" s="1"/>
  <c r="AG81" i="3" a="1"/>
  <c r="AG81" i="3" s="1"/>
  <c r="C82" i="3" a="1"/>
  <c r="C82" i="3" s="1"/>
  <c r="F82" i="3" a="1"/>
  <c r="F82" i="3" s="1"/>
  <c r="I82" i="3" a="1"/>
  <c r="I82" i="3" s="1"/>
  <c r="L82" i="3" a="1"/>
  <c r="L82" i="3" s="1"/>
  <c r="S82" i="3" a="1"/>
  <c r="S82" i="3" s="1"/>
  <c r="V82" i="3" a="1"/>
  <c r="V82" i="3" s="1"/>
  <c r="Y82" i="3" a="1"/>
  <c r="Y82" i="3" s="1"/>
  <c r="AB82" i="3" a="1"/>
  <c r="AB82" i="3" s="1"/>
  <c r="AI82" i="3" a="1"/>
  <c r="AI82" i="3" s="1"/>
  <c r="AL82" i="3" a="1"/>
  <c r="AL82" i="3" s="1"/>
  <c r="D83" i="3" a="1"/>
  <c r="D83" i="3" s="1"/>
  <c r="K83" i="3" a="1"/>
  <c r="K83" i="3" s="1"/>
  <c r="N83" i="3" a="1"/>
  <c r="N83" i="3" s="1"/>
  <c r="Q83" i="3" a="1"/>
  <c r="Q83" i="3" s="1"/>
  <c r="T83" i="3" a="1"/>
  <c r="T83" i="3" s="1"/>
  <c r="AA83" i="3" a="1"/>
  <c r="AA83" i="3" s="1"/>
  <c r="AD83" i="3" a="1"/>
  <c r="AD83" i="3" s="1"/>
  <c r="AG83" i="3" a="1"/>
  <c r="AG83" i="3" s="1"/>
  <c r="C84" i="3" a="1"/>
  <c r="C84" i="3" s="1"/>
  <c r="F84" i="3" a="1"/>
  <c r="F84" i="3" s="1"/>
  <c r="L84" i="3" a="1"/>
  <c r="L84" i="3" s="1"/>
  <c r="S84" i="3" a="1"/>
  <c r="S84" i="3" s="1"/>
  <c r="V84" i="3" a="1"/>
  <c r="V84" i="3" s="1"/>
  <c r="Y84" i="3" a="1"/>
  <c r="Y84" i="3" s="1"/>
  <c r="AB84" i="3" a="1"/>
  <c r="AB84" i="3" s="1"/>
  <c r="AI84" i="3" a="1"/>
  <c r="AI84" i="3" s="1"/>
  <c r="AM84" i="3" a="1"/>
  <c r="AM84" i="3" s="1"/>
  <c r="J84" i="3" a="1"/>
  <c r="J84" i="3" s="1"/>
  <c r="Z84" i="3" a="1"/>
  <c r="Z84" i="3" s="1"/>
  <c r="AJ84" i="3" a="1"/>
  <c r="AJ84" i="3" s="1"/>
  <c r="G21" i="3" a="1"/>
  <c r="G21" i="3" s="1"/>
  <c r="O21" i="3" a="1"/>
  <c r="O21" i="3" s="1"/>
  <c r="D84" i="3" a="1"/>
  <c r="D84" i="3" s="1"/>
  <c r="K84" i="3" a="1"/>
  <c r="K84" i="3" s="1"/>
  <c r="N84" i="3" a="1"/>
  <c r="N84" i="3" s="1"/>
  <c r="Q84" i="3" a="1"/>
  <c r="Q84" i="3" s="1"/>
  <c r="T84" i="3" a="1"/>
  <c r="T84" i="3" s="1"/>
  <c r="AA84" i="3" a="1"/>
  <c r="AA84" i="3" s="1"/>
  <c r="AD84" i="3" a="1"/>
  <c r="AD84" i="3" s="1"/>
  <c r="AG84" i="3" a="1"/>
  <c r="AG84" i="3" s="1"/>
  <c r="AK84" i="3" a="1"/>
  <c r="AK84" i="3" s="1"/>
  <c r="AO84" i="3" a="1"/>
  <c r="AO84" i="3" s="1"/>
  <c r="J22" i="3" a="1"/>
  <c r="J22" i="3" s="1"/>
  <c r="G84" i="3" a="1"/>
  <c r="G84" i="3" s="1"/>
  <c r="M84" i="3" a="1"/>
  <c r="M84" i="3" s="1"/>
  <c r="P84" i="3" a="1"/>
  <c r="P84" i="3" s="1"/>
  <c r="W84" i="3" a="1"/>
  <c r="W84" i="3" s="1"/>
  <c r="AC84" i="3" a="1"/>
  <c r="AC84" i="3" s="1"/>
  <c r="AF84" i="3" a="1"/>
  <c r="AF84" i="3" s="1"/>
  <c r="AN84" i="3" a="1"/>
  <c r="AN84" i="3" s="1"/>
  <c r="AO21" i="3" a="1"/>
  <c r="AO21" i="3" s="1"/>
  <c r="E84" i="3" a="1"/>
  <c r="E84" i="3" s="1"/>
  <c r="H84" i="3" a="1"/>
  <c r="H84" i="3" s="1"/>
  <c r="O84" i="3" a="1"/>
  <c r="O84" i="3" s="1"/>
  <c r="R84" i="3" a="1"/>
  <c r="R84" i="3" s="1"/>
  <c r="U84" i="3" a="1"/>
  <c r="U84" i="3" s="1"/>
  <c r="X84" i="3" a="1"/>
  <c r="X84" i="3" s="1"/>
  <c r="AE84" i="3" a="1"/>
  <c r="AE84" i="3" s="1"/>
  <c r="AH84" i="3" a="1"/>
  <c r="AH84" i="3" s="1"/>
  <c r="AL84" i="3" a="1"/>
  <c r="AL84" i="3" s="1"/>
  <c r="F17" i="3" a="1"/>
  <c r="F17" i="3" s="1"/>
  <c r="G18" i="3" a="1"/>
  <c r="G18" i="3" s="1"/>
  <c r="K17" i="3" a="1"/>
  <c r="K17" i="3" s="1"/>
  <c r="S18" i="3" a="1"/>
  <c r="S18" i="3" s="1"/>
  <c r="C14" i="3" a="1"/>
  <c r="C14" i="3" s="1"/>
  <c r="R10" i="3" a="1"/>
  <c r="R10" i="3" s="1"/>
  <c r="I13" i="3" a="1"/>
  <c r="I13" i="3" s="1"/>
  <c r="M13" i="3" a="1"/>
  <c r="M13" i="3" s="1"/>
  <c r="D7" i="3" a="1"/>
  <c r="D7" i="3" s="1"/>
  <c r="C11" i="3" a="1"/>
  <c r="C11" i="3" s="1"/>
  <c r="C10" i="3" a="1"/>
  <c r="C10" i="3" s="1"/>
  <c r="F13" i="3" a="1"/>
  <c r="F13" i="3" s="1"/>
  <c r="D10" i="3" a="1"/>
  <c r="D10" i="3" s="1"/>
  <c r="N5" i="3" a="1"/>
  <c r="N5" i="3" s="1"/>
  <c r="AH6" i="3" a="1"/>
  <c r="AH6" i="3" s="1"/>
  <c r="B87" i="3"/>
  <c r="B95" i="3"/>
  <c r="B91" i="3"/>
  <c r="C46" i="3" a="1"/>
  <c r="C46" i="3" s="1"/>
  <c r="G40" i="3" a="1"/>
  <c r="G40" i="3" s="1"/>
  <c r="H22" i="3" a="1"/>
  <c r="H22" i="3" s="1"/>
  <c r="H25" i="3" a="1"/>
  <c r="H25" i="3" s="1"/>
  <c r="H44" i="3" a="1"/>
  <c r="H44" i="3" s="1"/>
  <c r="H60" i="3" a="1"/>
  <c r="H60" i="3" s="1"/>
  <c r="I7" i="3" a="1"/>
  <c r="I7" i="3" s="1"/>
  <c r="I31" i="3" a="1"/>
  <c r="I31" i="3" s="1"/>
  <c r="J50" i="3" a="1"/>
  <c r="J50" i="3" s="1"/>
  <c r="K7" i="3" a="1"/>
  <c r="K7" i="3" s="1"/>
  <c r="L6" i="3" a="1"/>
  <c r="L6" i="3" s="1"/>
  <c r="L19" i="3" a="1"/>
  <c r="L19" i="3" s="1"/>
  <c r="L25" i="3" a="1"/>
  <c r="L25" i="3" s="1"/>
  <c r="L45" i="3" a="1"/>
  <c r="L45" i="3" s="1"/>
  <c r="L57" i="3" a="1"/>
  <c r="L57" i="3" s="1"/>
  <c r="M39" i="3" a="1"/>
  <c r="M39" i="3" s="1"/>
  <c r="R24" i="3" a="1"/>
  <c r="R24" i="3" s="1"/>
  <c r="S56" i="3" a="1"/>
  <c r="S56" i="3" s="1"/>
  <c r="T24" i="3" a="1"/>
  <c r="T24" i="3" s="1"/>
  <c r="AE11" i="3" a="1"/>
  <c r="AE11" i="3" s="1"/>
  <c r="E14" i="3" a="1"/>
  <c r="E14" i="3" s="1"/>
  <c r="E26" i="3" a="1"/>
  <c r="E26" i="3" s="1"/>
  <c r="E30" i="3" a="1"/>
  <c r="E30" i="3" s="1"/>
  <c r="E44" i="3" a="1"/>
  <c r="E44" i="3" s="1"/>
  <c r="E54" i="3" a="1"/>
  <c r="E54" i="3" s="1"/>
  <c r="E57" i="3" a="1"/>
  <c r="E57" i="3" s="1"/>
  <c r="D16" i="3" a="1"/>
  <c r="D16" i="3" s="1"/>
  <c r="C30" i="3" a="1"/>
  <c r="C30" i="3" s="1"/>
  <c r="C62" i="3" a="1"/>
  <c r="C62" i="3" s="1"/>
  <c r="G8" i="3" a="1"/>
  <c r="G8" i="3" s="1"/>
  <c r="G24" i="3" a="1"/>
  <c r="G24" i="3" s="1"/>
  <c r="G34" i="3" a="1"/>
  <c r="G34" i="3" s="1"/>
  <c r="H6" i="3" a="1"/>
  <c r="H6" i="3" s="1"/>
  <c r="H28" i="3" a="1"/>
  <c r="H28" i="3" s="1"/>
  <c r="H35" i="3" a="1"/>
  <c r="H35" i="3" s="1"/>
  <c r="H54" i="3" a="1"/>
  <c r="H54" i="3" s="1"/>
  <c r="I10" i="3" a="1"/>
  <c r="I10" i="3" s="1"/>
  <c r="I16" i="3" a="1"/>
  <c r="I16" i="3" s="1"/>
  <c r="I20" i="3" a="1"/>
  <c r="I20" i="3" s="1"/>
  <c r="I27" i="3" a="1"/>
  <c r="I27" i="3" s="1"/>
  <c r="I34" i="3" a="1"/>
  <c r="I34" i="3" s="1"/>
  <c r="I38" i="3" a="1"/>
  <c r="I38" i="3" s="1"/>
  <c r="I41" i="3" a="1"/>
  <c r="I41" i="3" s="1"/>
  <c r="I45" i="3" a="1"/>
  <c r="I45" i="3" s="1"/>
  <c r="I48" i="3" a="1"/>
  <c r="I48" i="3" s="1"/>
  <c r="I51" i="3" a="1"/>
  <c r="I51" i="3" s="1"/>
  <c r="I54" i="3" a="1"/>
  <c r="I54" i="3" s="1"/>
  <c r="I61" i="3" a="1"/>
  <c r="I61" i="3" s="1"/>
  <c r="J8" i="3" a="1"/>
  <c r="J8" i="3" s="1"/>
  <c r="J15" i="3" a="1"/>
  <c r="J15" i="3" s="1"/>
  <c r="J36" i="3" a="1"/>
  <c r="J36" i="3" s="1"/>
  <c r="J43" i="3" a="1"/>
  <c r="J43" i="3" s="1"/>
  <c r="J46" i="3" a="1"/>
  <c r="J46" i="3" s="1"/>
  <c r="K20" i="3" a="1"/>
  <c r="K20" i="3" s="1"/>
  <c r="K30" i="3" a="1"/>
  <c r="K30" i="3" s="1"/>
  <c r="K61" i="3" a="1"/>
  <c r="K61" i="3" s="1"/>
  <c r="L38" i="3" a="1"/>
  <c r="L38" i="3" s="1"/>
  <c r="L51" i="3" a="1"/>
  <c r="L51" i="3" s="1"/>
  <c r="M26" i="3" a="1"/>
  <c r="M26" i="3" s="1"/>
  <c r="O34" i="3" a="1"/>
  <c r="O34" i="3" s="1"/>
  <c r="P38" i="3" a="1"/>
  <c r="P38" i="3" s="1"/>
  <c r="P51" i="3" a="1"/>
  <c r="P51" i="3" s="1"/>
  <c r="Q16" i="3" a="1"/>
  <c r="Q16" i="3" s="1"/>
  <c r="Q43" i="3" a="1"/>
  <c r="Q43" i="3" s="1"/>
  <c r="Q57" i="3" a="1"/>
  <c r="Q57" i="3" s="1"/>
  <c r="AO5" i="3" a="1"/>
  <c r="AO5" i="3" s="1"/>
  <c r="AK5" i="3" a="1"/>
  <c r="AK5" i="3" s="1"/>
  <c r="AG5" i="3" a="1"/>
  <c r="AG5" i="3" s="1"/>
  <c r="AC5" i="3" a="1"/>
  <c r="AC5" i="3" s="1"/>
  <c r="Y5" i="3" a="1"/>
  <c r="Y5" i="3" s="1"/>
  <c r="AN5" i="3" a="1"/>
  <c r="AN5" i="3" s="1"/>
  <c r="AJ5" i="3" a="1"/>
  <c r="AJ5" i="3" s="1"/>
  <c r="AF5" i="3" a="1"/>
  <c r="AF5" i="3" s="1"/>
  <c r="AB5" i="3" a="1"/>
  <c r="AB5" i="3" s="1"/>
  <c r="X5" i="3" a="1"/>
  <c r="X5" i="3" s="1"/>
  <c r="AM5" i="3" a="1"/>
  <c r="AM5" i="3" s="1"/>
  <c r="AI5" i="3" a="1"/>
  <c r="AI5" i="3" s="1"/>
  <c r="AE5" i="3" a="1"/>
  <c r="AE5" i="3" s="1"/>
  <c r="AA5" i="3" a="1"/>
  <c r="AA5" i="3" s="1"/>
  <c r="W5" i="3" a="1"/>
  <c r="W5" i="3" s="1"/>
  <c r="V5" i="3" a="1"/>
  <c r="V5" i="3" s="1"/>
  <c r="U5" i="3" a="1"/>
  <c r="U5" i="3" s="1"/>
  <c r="T5" i="3" a="1"/>
  <c r="T5" i="3" s="1"/>
  <c r="AH5" i="3" a="1"/>
  <c r="AH5" i="3" s="1"/>
  <c r="P5" i="3" a="1"/>
  <c r="P5" i="3" s="1"/>
  <c r="AD5" i="3" a="1"/>
  <c r="AD5" i="3" s="1"/>
  <c r="R5" i="3" a="1"/>
  <c r="R5" i="3" s="1"/>
  <c r="AP5" i="3" a="1"/>
  <c r="AP5" i="3" s="1"/>
  <c r="Z5" i="3" a="1"/>
  <c r="Z5" i="3" s="1"/>
  <c r="Q5" i="3" a="1"/>
  <c r="Q5" i="3" s="1"/>
  <c r="AO9" i="3" a="1"/>
  <c r="AO9" i="3" s="1"/>
  <c r="AJ9" i="3" a="1"/>
  <c r="AJ9" i="3" s="1"/>
  <c r="AG9" i="3" a="1"/>
  <c r="AG9" i="3" s="1"/>
  <c r="AB9" i="3" a="1"/>
  <c r="AB9" i="3" s="1"/>
  <c r="Y9" i="3" a="1"/>
  <c r="Y9" i="3" s="1"/>
  <c r="AL9" i="3" a="1"/>
  <c r="AL9" i="3" s="1"/>
  <c r="AI9" i="3" a="1"/>
  <c r="AI9" i="3" s="1"/>
  <c r="AD9" i="3" a="1"/>
  <c r="AD9" i="3" s="1"/>
  <c r="AA9" i="3" a="1"/>
  <c r="AA9" i="3" s="1"/>
  <c r="AN9" i="3" a="1"/>
  <c r="AN9" i="3" s="1"/>
  <c r="AK9" i="3" a="1"/>
  <c r="AK9" i="3" s="1"/>
  <c r="AF9" i="3" a="1"/>
  <c r="AF9" i="3" s="1"/>
  <c r="AC9" i="3" a="1"/>
  <c r="AC9" i="3" s="1"/>
  <c r="X9" i="3" a="1"/>
  <c r="X9" i="3" s="1"/>
  <c r="V9" i="3" a="1"/>
  <c r="V9" i="3" s="1"/>
  <c r="U9" i="3" a="1"/>
  <c r="U9" i="3" s="1"/>
  <c r="Z9" i="3" a="1"/>
  <c r="Z9" i="3" s="1"/>
  <c r="R9" i="3" a="1"/>
  <c r="R9" i="3" s="1"/>
  <c r="Q9" i="3" a="1"/>
  <c r="Q9" i="3" s="1"/>
  <c r="P9" i="3" a="1"/>
  <c r="P9" i="3" s="1"/>
  <c r="AH9" i="3" a="1"/>
  <c r="AH9" i="3" s="1"/>
  <c r="W9" i="3" a="1"/>
  <c r="W9" i="3" s="1"/>
  <c r="N9" i="3" a="1"/>
  <c r="N9" i="3" s="1"/>
  <c r="M9" i="3" a="1"/>
  <c r="M9" i="3" s="1"/>
  <c r="AP9" i="3" a="1"/>
  <c r="AP9" i="3" s="1"/>
  <c r="AE9" i="3" a="1"/>
  <c r="AE9" i="3" s="1"/>
  <c r="T9" i="3" a="1"/>
  <c r="T9" i="3" s="1"/>
  <c r="S9" i="3" a="1"/>
  <c r="S9" i="3" s="1"/>
  <c r="AO13" i="3" a="1"/>
  <c r="AO13" i="3" s="1"/>
  <c r="AJ13" i="3" a="1"/>
  <c r="AJ13" i="3" s="1"/>
  <c r="AG13" i="3" a="1"/>
  <c r="AG13" i="3" s="1"/>
  <c r="AB13" i="3" a="1"/>
  <c r="AB13" i="3" s="1"/>
  <c r="Y13" i="3" a="1"/>
  <c r="Y13" i="3" s="1"/>
  <c r="AL13" i="3" a="1"/>
  <c r="AL13" i="3" s="1"/>
  <c r="AI13" i="3" a="1"/>
  <c r="AI13" i="3" s="1"/>
  <c r="AD13" i="3" a="1"/>
  <c r="AD13" i="3" s="1"/>
  <c r="AA13" i="3" a="1"/>
  <c r="AA13" i="3" s="1"/>
  <c r="T13" i="3" a="1"/>
  <c r="T13" i="3" s="1"/>
  <c r="AN13" i="3" a="1"/>
  <c r="AN13" i="3" s="1"/>
  <c r="AK13" i="3" a="1"/>
  <c r="AK13" i="3" s="1"/>
  <c r="AF13" i="3" a="1"/>
  <c r="AF13" i="3" s="1"/>
  <c r="AC13" i="3" a="1"/>
  <c r="AC13" i="3" s="1"/>
  <c r="X13" i="3" a="1"/>
  <c r="X13" i="3" s="1"/>
  <c r="V13" i="3" a="1"/>
  <c r="V13" i="3" s="1"/>
  <c r="U13" i="3" a="1"/>
  <c r="U13" i="3" s="1"/>
  <c r="AP13" i="3" a="1"/>
  <c r="AP13" i="3" s="1"/>
  <c r="AE13" i="3" a="1"/>
  <c r="AE13" i="3" s="1"/>
  <c r="Q13" i="3" a="1"/>
  <c r="Q13" i="3" s="1"/>
  <c r="AM13" i="3" a="1"/>
  <c r="AM13" i="3" s="1"/>
  <c r="S13" i="3" a="1"/>
  <c r="S13" i="3" s="1"/>
  <c r="O13" i="3" a="1"/>
  <c r="O13" i="3" s="1"/>
  <c r="N13" i="3" a="1"/>
  <c r="N13" i="3" s="1"/>
  <c r="Z13" i="3" a="1"/>
  <c r="Z13" i="3" s="1"/>
  <c r="P13" i="3" a="1"/>
  <c r="P13" i="3" s="1"/>
  <c r="AO17" i="3" a="1"/>
  <c r="AO17" i="3" s="1"/>
  <c r="AJ17" i="3" a="1"/>
  <c r="AJ17" i="3" s="1"/>
  <c r="AG17" i="3" a="1"/>
  <c r="AG17" i="3" s="1"/>
  <c r="AB17" i="3" a="1"/>
  <c r="AB17" i="3" s="1"/>
  <c r="Y17" i="3" a="1"/>
  <c r="Y17" i="3" s="1"/>
  <c r="AL17" i="3" a="1"/>
  <c r="AL17" i="3" s="1"/>
  <c r="AI17" i="3" a="1"/>
  <c r="AI17" i="3" s="1"/>
  <c r="AN17" i="3" a="1"/>
  <c r="AN17" i="3" s="1"/>
  <c r="AK17" i="3" a="1"/>
  <c r="AK17" i="3" s="1"/>
  <c r="AF17" i="3" a="1"/>
  <c r="AF17" i="3" s="1"/>
  <c r="AC17" i="3" a="1"/>
  <c r="AC17" i="3" s="1"/>
  <c r="X17" i="3" a="1"/>
  <c r="X17" i="3" s="1"/>
  <c r="AD17" i="3" a="1"/>
  <c r="AD17" i="3" s="1"/>
  <c r="AH17" i="3" a="1"/>
  <c r="AH17" i="3" s="1"/>
  <c r="W17" i="3" a="1"/>
  <c r="W17" i="3" s="1"/>
  <c r="AP17" i="3" a="1"/>
  <c r="AP17" i="3" s="1"/>
  <c r="AA17" i="3" a="1"/>
  <c r="AA17" i="3" s="1"/>
  <c r="V17" i="3" a="1"/>
  <c r="V17" i="3" s="1"/>
  <c r="U17" i="3" a="1"/>
  <c r="U17" i="3" s="1"/>
  <c r="T17" i="3" a="1"/>
  <c r="T17" i="3" s="1"/>
  <c r="Z17" i="3" a="1"/>
  <c r="Z17" i="3" s="1"/>
  <c r="S17" i="3" a="1"/>
  <c r="S17" i="3" s="1"/>
  <c r="O17" i="3" a="1"/>
  <c r="O17" i="3" s="1"/>
  <c r="AM17" i="3" a="1"/>
  <c r="AM17" i="3" s="1"/>
  <c r="Q17" i="3" a="1"/>
  <c r="Q17" i="3" s="1"/>
  <c r="P17" i="3" a="1"/>
  <c r="P17" i="3" s="1"/>
  <c r="AN21" i="3" a="1"/>
  <c r="AN21" i="3" s="1"/>
  <c r="AK21" i="3" a="1"/>
  <c r="AK21" i="3" s="1"/>
  <c r="AH21" i="3" a="1"/>
  <c r="AH21" i="3" s="1"/>
  <c r="AA21" i="3" a="1"/>
  <c r="AA21" i="3" s="1"/>
  <c r="X21" i="3" a="1"/>
  <c r="X21" i="3" s="1"/>
  <c r="AM21" i="3" a="1"/>
  <c r="AM21" i="3" s="1"/>
  <c r="AJ21" i="3" a="1"/>
  <c r="AJ21" i="3" s="1"/>
  <c r="AG21" i="3" a="1"/>
  <c r="AG21" i="3" s="1"/>
  <c r="AD21" i="3" a="1"/>
  <c r="AD21" i="3" s="1"/>
  <c r="W21" i="3" a="1"/>
  <c r="W21" i="3" s="1"/>
  <c r="AP21" i="3" a="1"/>
  <c r="AP21" i="3" s="1"/>
  <c r="AI21" i="3" a="1"/>
  <c r="AI21" i="3" s="1"/>
  <c r="AF21" i="3" a="1"/>
  <c r="AF21" i="3" s="1"/>
  <c r="AC21" i="3" a="1"/>
  <c r="AC21" i="3" s="1"/>
  <c r="Z21" i="3" a="1"/>
  <c r="Z21" i="3" s="1"/>
  <c r="AL21" i="3" a="1"/>
  <c r="AL21" i="3" s="1"/>
  <c r="Y21" i="3" a="1"/>
  <c r="Y21" i="3" s="1"/>
  <c r="AE21" i="3" a="1"/>
  <c r="AE21" i="3" s="1"/>
  <c r="V21" i="3" a="1"/>
  <c r="V21" i="3" s="1"/>
  <c r="U21" i="3" a="1"/>
  <c r="U21" i="3" s="1"/>
  <c r="T21" i="3" a="1"/>
  <c r="T21" i="3" s="1"/>
  <c r="AB21" i="3" a="1"/>
  <c r="AB21" i="3" s="1"/>
  <c r="P21" i="3" a="1"/>
  <c r="P21" i="3" s="1"/>
  <c r="M21" i="3" a="1"/>
  <c r="M21" i="3" s="1"/>
  <c r="R21" i="3" a="1"/>
  <c r="R21" i="3" s="1"/>
  <c r="Q21" i="3" a="1"/>
  <c r="Q21" i="3" s="1"/>
  <c r="AO26" i="3" a="1"/>
  <c r="AO26" i="3" s="1"/>
  <c r="AL26" i="3" a="1"/>
  <c r="AL26" i="3" s="1"/>
  <c r="AF26" i="3" a="1"/>
  <c r="AF26" i="3" s="1"/>
  <c r="AB26" i="3" a="1"/>
  <c r="AB26" i="3" s="1"/>
  <c r="Y26" i="3" a="1"/>
  <c r="Y26" i="3" s="1"/>
  <c r="AK26" i="3" a="1"/>
  <c r="AK26" i="3" s="1"/>
  <c r="AH26" i="3" a="1"/>
  <c r="AH26" i="3" s="1"/>
  <c r="AE26" i="3" a="1"/>
  <c r="AE26" i="3" s="1"/>
  <c r="AA26" i="3" a="1"/>
  <c r="AA26" i="3" s="1"/>
  <c r="X26" i="3" a="1"/>
  <c r="X26" i="3" s="1"/>
  <c r="AN26" i="3" a="1"/>
  <c r="AN26" i="3" s="1"/>
  <c r="AJ26" i="3" a="1"/>
  <c r="AJ26" i="3" s="1"/>
  <c r="AG26" i="3" a="1"/>
  <c r="AG26" i="3" s="1"/>
  <c r="AD26" i="3" a="1"/>
  <c r="AD26" i="3" s="1"/>
  <c r="W26" i="3" a="1"/>
  <c r="W26" i="3" s="1"/>
  <c r="AI26" i="3" a="1"/>
  <c r="AI26" i="3" s="1"/>
  <c r="V26" i="3" a="1"/>
  <c r="V26" i="3" s="1"/>
  <c r="U26" i="3" a="1"/>
  <c r="U26" i="3" s="1"/>
  <c r="T26" i="3" a="1"/>
  <c r="T26" i="3" s="1"/>
  <c r="AP26" i="3" a="1"/>
  <c r="AP26" i="3" s="1"/>
  <c r="AC26" i="3" a="1"/>
  <c r="AC26" i="3" s="1"/>
  <c r="AM26" i="3" a="1"/>
  <c r="AM26" i="3" s="1"/>
  <c r="Q26" i="3" a="1"/>
  <c r="Q26" i="3" s="1"/>
  <c r="N26" i="3" a="1"/>
  <c r="N26" i="3" s="1"/>
  <c r="Z26" i="3" a="1"/>
  <c r="Z26" i="3" s="1"/>
  <c r="S26" i="3" a="1"/>
  <c r="S26" i="3" s="1"/>
  <c r="R26" i="3" a="1"/>
  <c r="R26" i="3" s="1"/>
  <c r="O26" i="3" a="1"/>
  <c r="O26" i="3" s="1"/>
  <c r="P26" i="3" a="1"/>
  <c r="P26" i="3" s="1"/>
  <c r="L26" i="3" a="1"/>
  <c r="L26" i="3" s="1"/>
  <c r="AN32" i="3" a="1"/>
  <c r="AN32" i="3" s="1"/>
  <c r="AK32" i="3" a="1"/>
  <c r="AK32" i="3" s="1"/>
  <c r="AF32" i="3" a="1"/>
  <c r="AF32" i="3" s="1"/>
  <c r="AB32" i="3" a="1"/>
  <c r="AB32" i="3" s="1"/>
  <c r="Y32" i="3" a="1"/>
  <c r="Y32" i="3" s="1"/>
  <c r="AP32" i="3" a="1"/>
  <c r="AP32" i="3" s="1"/>
  <c r="AM32" i="3" a="1"/>
  <c r="AM32" i="3" s="1"/>
  <c r="AH32" i="3" a="1"/>
  <c r="AH32" i="3" s="1"/>
  <c r="AE32" i="3" a="1"/>
  <c r="AE32" i="3" s="1"/>
  <c r="AA32" i="3" a="1"/>
  <c r="AA32" i="3" s="1"/>
  <c r="AO32" i="3" a="1"/>
  <c r="AO32" i="3" s="1"/>
  <c r="AJ32" i="3" a="1"/>
  <c r="AJ32" i="3" s="1"/>
  <c r="AG32" i="3" a="1"/>
  <c r="AG32" i="3" s="1"/>
  <c r="AD32" i="3" a="1"/>
  <c r="AD32" i="3" s="1"/>
  <c r="X32" i="3" a="1"/>
  <c r="X32" i="3" s="1"/>
  <c r="AC32" i="3" a="1"/>
  <c r="AC32" i="3" s="1"/>
  <c r="AL32" i="3" a="1"/>
  <c r="AL32" i="3" s="1"/>
  <c r="Z32" i="3" a="1"/>
  <c r="Z32" i="3" s="1"/>
  <c r="W32" i="3" a="1"/>
  <c r="W32" i="3" s="1"/>
  <c r="N32" i="3" a="1"/>
  <c r="N32" i="3" s="1"/>
  <c r="M32" i="3" a="1"/>
  <c r="M32" i="3" s="1"/>
  <c r="T32" i="3" a="1"/>
  <c r="T32" i="3" s="1"/>
  <c r="S32" i="3" a="1"/>
  <c r="S32" i="3" s="1"/>
  <c r="Q32" i="3" a="1"/>
  <c r="Q32" i="3" s="1"/>
  <c r="O32" i="3" a="1"/>
  <c r="O32" i="3" s="1"/>
  <c r="U32" i="3" a="1"/>
  <c r="U32" i="3" s="1"/>
  <c r="R32" i="3" a="1"/>
  <c r="R32" i="3" s="1"/>
  <c r="L32" i="3" a="1"/>
  <c r="L32" i="3" s="1"/>
  <c r="AM42" i="3" a="1"/>
  <c r="AM42" i="3" s="1"/>
  <c r="AJ42" i="3" a="1"/>
  <c r="AJ42" i="3" s="1"/>
  <c r="AF42" i="3" a="1"/>
  <c r="AF42" i="3" s="1"/>
  <c r="AC42" i="3" a="1"/>
  <c r="AC42" i="3" s="1"/>
  <c r="Y42" i="3" a="1"/>
  <c r="Y42" i="3" s="1"/>
  <c r="AP42" i="3" a="1"/>
  <c r="AP42" i="3" s="1"/>
  <c r="AL42" i="3" a="1"/>
  <c r="AL42" i="3" s="1"/>
  <c r="AI42" i="3" a="1"/>
  <c r="AI42" i="3" s="1"/>
  <c r="AE42" i="3" a="1"/>
  <c r="AE42" i="3" s="1"/>
  <c r="AB42" i="3" a="1"/>
  <c r="AB42" i="3" s="1"/>
  <c r="X42" i="3" a="1"/>
  <c r="X42" i="3" s="1"/>
  <c r="AN42" i="3" a="1"/>
  <c r="AN42" i="3" s="1"/>
  <c r="AG42" i="3" a="1"/>
  <c r="AG42" i="3" s="1"/>
  <c r="Z42" i="3" a="1"/>
  <c r="Z42" i="3" s="1"/>
  <c r="AD42" i="3" a="1"/>
  <c r="AD42" i="3" s="1"/>
  <c r="AK42" i="3" a="1"/>
  <c r="AK42" i="3" s="1"/>
  <c r="W42" i="3" a="1"/>
  <c r="W42" i="3" s="1"/>
  <c r="AO42" i="3" a="1"/>
  <c r="AO42" i="3" s="1"/>
  <c r="AH42" i="3" a="1"/>
  <c r="AH42" i="3" s="1"/>
  <c r="V42" i="3" a="1"/>
  <c r="V42" i="3" s="1"/>
  <c r="U42" i="3" a="1"/>
  <c r="U42" i="3" s="1"/>
  <c r="T42" i="3" a="1"/>
  <c r="T42" i="3" s="1"/>
  <c r="AA42" i="3" a="1"/>
  <c r="AA42" i="3" s="1"/>
  <c r="Q42" i="3" a="1"/>
  <c r="Q42" i="3" s="1"/>
  <c r="N42" i="3" a="1"/>
  <c r="N42" i="3" s="1"/>
  <c r="S42" i="3" a="1"/>
  <c r="S42" i="3" s="1"/>
  <c r="O42" i="3" a="1"/>
  <c r="O42" i="3" s="1"/>
  <c r="P42" i="3" a="1"/>
  <c r="P42" i="3" s="1"/>
  <c r="L42" i="3" a="1"/>
  <c r="L42" i="3" s="1"/>
  <c r="AM48" i="3" a="1"/>
  <c r="AM48" i="3" s="1"/>
  <c r="AJ48" i="3" a="1"/>
  <c r="AJ48" i="3" s="1"/>
  <c r="AE48" i="3" a="1"/>
  <c r="AE48" i="3" s="1"/>
  <c r="AB48" i="3" a="1"/>
  <c r="AB48" i="3" s="1"/>
  <c r="W48" i="3" a="1"/>
  <c r="W48" i="3" s="1"/>
  <c r="AN48" i="3" a="1"/>
  <c r="AN48" i="3" s="1"/>
  <c r="AI48" i="3" a="1"/>
  <c r="AI48" i="3" s="1"/>
  <c r="AF48" i="3" a="1"/>
  <c r="AF48" i="3" s="1"/>
  <c r="AA48" i="3" a="1"/>
  <c r="AA48" i="3" s="1"/>
  <c r="X48" i="3" a="1"/>
  <c r="X48" i="3" s="1"/>
  <c r="AL48" i="3" a="1"/>
  <c r="AL48" i="3" s="1"/>
  <c r="AG48" i="3" a="1"/>
  <c r="AG48" i="3" s="1"/>
  <c r="AP48" i="3" a="1"/>
  <c r="AP48" i="3" s="1"/>
  <c r="AK48" i="3" a="1"/>
  <c r="AK48" i="3" s="1"/>
  <c r="Z48" i="3" a="1"/>
  <c r="Z48" i="3" s="1"/>
  <c r="AO48" i="3" a="1"/>
  <c r="AO48" i="3" s="1"/>
  <c r="AD48" i="3" a="1"/>
  <c r="AD48" i="3" s="1"/>
  <c r="Y48" i="3" a="1"/>
  <c r="Y48" i="3" s="1"/>
  <c r="AH48" i="3" a="1"/>
  <c r="AH48" i="3" s="1"/>
  <c r="AC48" i="3" a="1"/>
  <c r="AC48" i="3" s="1"/>
  <c r="R48" i="3" a="1"/>
  <c r="R48" i="3" s="1"/>
  <c r="N48" i="3" a="1"/>
  <c r="N48" i="3" s="1"/>
  <c r="M48" i="3" a="1"/>
  <c r="M48" i="3" s="1"/>
  <c r="T48" i="3" a="1"/>
  <c r="T48" i="3" s="1"/>
  <c r="S48" i="3" a="1"/>
  <c r="S48" i="3" s="1"/>
  <c r="O48" i="3" a="1"/>
  <c r="O48" i="3" s="1"/>
  <c r="U48" i="3" a="1"/>
  <c r="U48" i="3" s="1"/>
  <c r="Q48" i="3" a="1"/>
  <c r="Q48" i="3" s="1"/>
  <c r="L48" i="3" a="1"/>
  <c r="L48" i="3" s="1"/>
  <c r="AO53" i="3" a="1"/>
  <c r="AO53" i="3" s="1"/>
  <c r="AK53" i="3" a="1"/>
  <c r="AK53" i="3" s="1"/>
  <c r="AH53" i="3" a="1"/>
  <c r="AH53" i="3" s="1"/>
  <c r="AD53" i="3" a="1"/>
  <c r="AD53" i="3" s="1"/>
  <c r="AA53" i="3" a="1"/>
  <c r="AA53" i="3" s="1"/>
  <c r="X53" i="3" a="1"/>
  <c r="X53" i="3" s="1"/>
  <c r="AP53" i="3" a="1"/>
  <c r="AP53" i="3" s="1"/>
  <c r="AF53" i="3" a="1"/>
  <c r="AF53" i="3" s="1"/>
  <c r="AB53" i="3" a="1"/>
  <c r="AB53" i="3" s="1"/>
  <c r="W53" i="3" a="1"/>
  <c r="W53" i="3" s="1"/>
  <c r="AN53" i="3" a="1"/>
  <c r="AN53" i="3" s="1"/>
  <c r="AJ53" i="3" a="1"/>
  <c r="AJ53" i="3" s="1"/>
  <c r="AE53" i="3" a="1"/>
  <c r="AE53" i="3" s="1"/>
  <c r="AM53" i="3" a="1"/>
  <c r="AM53" i="3" s="1"/>
  <c r="AI53" i="3" a="1"/>
  <c r="AI53" i="3" s="1"/>
  <c r="AC53" i="3" a="1"/>
  <c r="AC53" i="3" s="1"/>
  <c r="Z53" i="3" a="1"/>
  <c r="Z53" i="3" s="1"/>
  <c r="Y53" i="3" a="1"/>
  <c r="Y53" i="3" s="1"/>
  <c r="AL53" i="3" a="1"/>
  <c r="AL53" i="3" s="1"/>
  <c r="AG53" i="3" a="1"/>
  <c r="AG53" i="3" s="1"/>
  <c r="V53" i="3" a="1"/>
  <c r="V53" i="3" s="1"/>
  <c r="U53" i="3" a="1"/>
  <c r="U53" i="3" s="1"/>
  <c r="T53" i="3" a="1"/>
  <c r="T53" i="3" s="1"/>
  <c r="Q53" i="3" a="1"/>
  <c r="Q53" i="3" s="1"/>
  <c r="P53" i="3" a="1"/>
  <c r="P53" i="3" s="1"/>
  <c r="O53" i="3" a="1"/>
  <c r="O53" i="3" s="1"/>
  <c r="K53" i="3" a="1"/>
  <c r="K53" i="3" s="1"/>
  <c r="M53" i="3" a="1"/>
  <c r="M53" i="3" s="1"/>
  <c r="R53" i="3" a="1"/>
  <c r="R53" i="3" s="1"/>
  <c r="AN58" i="3" a="1"/>
  <c r="AN58" i="3" s="1"/>
  <c r="AK58" i="3" a="1"/>
  <c r="AK58" i="3" s="1"/>
  <c r="AH58" i="3" a="1"/>
  <c r="AH58" i="3" s="1"/>
  <c r="AE58" i="3" a="1"/>
  <c r="AE58" i="3" s="1"/>
  <c r="AB58" i="3" a="1"/>
  <c r="AB58" i="3" s="1"/>
  <c r="Y58" i="3" a="1"/>
  <c r="Y58" i="3" s="1"/>
  <c r="AP58" i="3" a="1"/>
  <c r="AP58" i="3" s="1"/>
  <c r="AO58" i="3" a="1"/>
  <c r="AO58" i="3" s="1"/>
  <c r="AL58" i="3" a="1"/>
  <c r="AL58" i="3" s="1"/>
  <c r="AG58" i="3" a="1"/>
  <c r="AG58" i="3" s="1"/>
  <c r="AD58" i="3" a="1"/>
  <c r="AD58" i="3" s="1"/>
  <c r="Z58" i="3" a="1"/>
  <c r="Z58" i="3" s="1"/>
  <c r="AJ58" i="3" a="1"/>
  <c r="AJ58" i="3" s="1"/>
  <c r="AC58" i="3" a="1"/>
  <c r="AC58" i="3" s="1"/>
  <c r="X58" i="3" a="1"/>
  <c r="X58" i="3" s="1"/>
  <c r="AF58" i="3" a="1"/>
  <c r="AF58" i="3" s="1"/>
  <c r="AA58" i="3" a="1"/>
  <c r="AA58" i="3" s="1"/>
  <c r="AM58" i="3" a="1"/>
  <c r="AM58" i="3" s="1"/>
  <c r="W58" i="3" a="1"/>
  <c r="W58" i="3" s="1"/>
  <c r="AI58" i="3" a="1"/>
  <c r="AI58" i="3" s="1"/>
  <c r="V58" i="3" a="1"/>
  <c r="V58" i="3" s="1"/>
  <c r="U58" i="3" a="1"/>
  <c r="U58" i="3" s="1"/>
  <c r="T58" i="3" a="1"/>
  <c r="T58" i="3" s="1"/>
  <c r="R58" i="3" a="1"/>
  <c r="R58" i="3" s="1"/>
  <c r="N58" i="3" a="1"/>
  <c r="N58" i="3" s="1"/>
  <c r="O58" i="3" a="1"/>
  <c r="O58" i="3" s="1"/>
  <c r="S58" i="3" a="1"/>
  <c r="S58" i="3" s="1"/>
  <c r="Q58" i="3" a="1"/>
  <c r="Q58" i="3" s="1"/>
  <c r="P58" i="3" a="1"/>
  <c r="P58" i="3" s="1"/>
  <c r="L58" i="3" a="1"/>
  <c r="L58" i="3" s="1"/>
  <c r="AP64" i="3" a="1"/>
  <c r="AP64" i="3" s="1"/>
  <c r="AM64" i="3" a="1"/>
  <c r="AM64" i="3" s="1"/>
  <c r="AI64" i="3" a="1"/>
  <c r="AI64" i="3" s="1"/>
  <c r="AC64" i="3" a="1"/>
  <c r="AC64" i="3" s="1"/>
  <c r="Z64" i="3" a="1"/>
  <c r="Z64" i="3" s="1"/>
  <c r="W64" i="3" a="1"/>
  <c r="W64" i="3" s="1"/>
  <c r="AO64" i="3" a="1"/>
  <c r="AO64" i="3" s="1"/>
  <c r="AL64" i="3" a="1"/>
  <c r="AL64" i="3" s="1"/>
  <c r="AF64" i="3" a="1"/>
  <c r="AF64" i="3" s="1"/>
  <c r="AB64" i="3" a="1"/>
  <c r="AB64" i="3" s="1"/>
  <c r="Y64" i="3" a="1"/>
  <c r="Y64" i="3" s="1"/>
  <c r="AH64" i="3" a="1"/>
  <c r="AH64" i="3" s="1"/>
  <c r="AA64" i="3" a="1"/>
  <c r="AA64" i="3" s="1"/>
  <c r="AN64" i="3" a="1"/>
  <c r="AN64" i="3" s="1"/>
  <c r="AG64" i="3" a="1"/>
  <c r="AG64" i="3" s="1"/>
  <c r="AK64" i="3" a="1"/>
  <c r="AK64" i="3" s="1"/>
  <c r="AE64" i="3" a="1"/>
  <c r="AE64" i="3" s="1"/>
  <c r="AJ64" i="3" a="1"/>
  <c r="AJ64" i="3" s="1"/>
  <c r="AD64" i="3" a="1"/>
  <c r="AD64" i="3" s="1"/>
  <c r="X64" i="3" a="1"/>
  <c r="X64" i="3" s="1"/>
  <c r="N64" i="3" a="1"/>
  <c r="N64" i="3" s="1"/>
  <c r="M64" i="3" a="1"/>
  <c r="M64" i="3" s="1"/>
  <c r="T64" i="3" a="1"/>
  <c r="T64" i="3" s="1"/>
  <c r="S64" i="3" a="1"/>
  <c r="S64" i="3" s="1"/>
  <c r="R64" i="3" a="1"/>
  <c r="R64" i="3" s="1"/>
  <c r="O64" i="3" a="1"/>
  <c r="O64" i="3" s="1"/>
  <c r="U64" i="3" a="1"/>
  <c r="U64" i="3" s="1"/>
  <c r="L64" i="3" a="1"/>
  <c r="L64" i="3" s="1"/>
  <c r="F6" i="3" a="1"/>
  <c r="F6" i="3" s="1"/>
  <c r="F10" i="3" a="1"/>
  <c r="F10" i="3" s="1"/>
  <c r="F14" i="3" a="1"/>
  <c r="F14" i="3" s="1"/>
  <c r="F18" i="3" a="1"/>
  <c r="F18" i="3" s="1"/>
  <c r="F22" i="3" a="1"/>
  <c r="F22" i="3" s="1"/>
  <c r="AP23" i="3" a="1"/>
  <c r="AP23" i="3" s="1"/>
  <c r="AI23" i="3" a="1"/>
  <c r="AI23" i="3" s="1"/>
  <c r="AE23" i="3" a="1"/>
  <c r="AE23" i="3" s="1"/>
  <c r="AB23" i="3" a="1"/>
  <c r="AB23" i="3" s="1"/>
  <c r="X23" i="3" a="1"/>
  <c r="X23" i="3" s="1"/>
  <c r="AO23" i="3" a="1"/>
  <c r="AO23" i="3" s="1"/>
  <c r="AL23" i="3" a="1"/>
  <c r="AL23" i="3" s="1"/>
  <c r="AH23" i="3" a="1"/>
  <c r="AH23" i="3" s="1"/>
  <c r="AA23" i="3" a="1"/>
  <c r="AA23" i="3" s="1"/>
  <c r="W23" i="3" a="1"/>
  <c r="W23" i="3" s="1"/>
  <c r="AN23" i="3" a="1"/>
  <c r="AN23" i="3" s="1"/>
  <c r="AK23" i="3" a="1"/>
  <c r="AK23" i="3" s="1"/>
  <c r="AG23" i="3" a="1"/>
  <c r="AG23" i="3" s="1"/>
  <c r="AD23" i="3" a="1"/>
  <c r="AD23" i="3" s="1"/>
  <c r="Z23" i="3" a="1"/>
  <c r="Z23" i="3" s="1"/>
  <c r="AM23" i="3" a="1"/>
  <c r="AM23" i="3" s="1"/>
  <c r="Y23" i="3" a="1"/>
  <c r="Y23" i="3" s="1"/>
  <c r="V23" i="3" a="1"/>
  <c r="V23" i="3" s="1"/>
  <c r="U23" i="3" a="1"/>
  <c r="U23" i="3" s="1"/>
  <c r="T23" i="3" a="1"/>
  <c r="T23" i="3" s="1"/>
  <c r="AJ23" i="3" a="1"/>
  <c r="AJ23" i="3" s="1"/>
  <c r="AF23" i="3" a="1"/>
  <c r="AF23" i="3" s="1"/>
  <c r="S23" i="3" a="1"/>
  <c r="S23" i="3" s="1"/>
  <c r="R23" i="3" a="1"/>
  <c r="R23" i="3" s="1"/>
  <c r="Q23" i="3" a="1"/>
  <c r="Q23" i="3" s="1"/>
  <c r="O23" i="3" a="1"/>
  <c r="O23" i="3" s="1"/>
  <c r="N23" i="3" a="1"/>
  <c r="N23" i="3" s="1"/>
  <c r="AC23" i="3" a="1"/>
  <c r="AC23" i="3" s="1"/>
  <c r="P23" i="3" a="1"/>
  <c r="P23" i="3" s="1"/>
  <c r="L23" i="3" a="1"/>
  <c r="L23" i="3" s="1"/>
  <c r="AP31" i="3" a="1"/>
  <c r="AP31" i="3" s="1"/>
  <c r="AJ31" i="3" a="1"/>
  <c r="AJ31" i="3" s="1"/>
  <c r="AF31" i="3" a="1"/>
  <c r="AF31" i="3" s="1"/>
  <c r="AC31" i="3" a="1"/>
  <c r="AC31" i="3" s="1"/>
  <c r="Z31" i="3" a="1"/>
  <c r="Z31" i="3" s="1"/>
  <c r="AO31" i="3" a="1"/>
  <c r="AO31" i="3" s="1"/>
  <c r="AL31" i="3" a="1"/>
  <c r="AL31" i="3" s="1"/>
  <c r="AI31" i="3" a="1"/>
  <c r="AI31" i="3" s="1"/>
  <c r="AE31" i="3" a="1"/>
  <c r="AE31" i="3" s="1"/>
  <c r="Y31" i="3" a="1"/>
  <c r="Y31" i="3" s="1"/>
  <c r="AN31" i="3" a="1"/>
  <c r="AN31" i="3" s="1"/>
  <c r="AK31" i="3" a="1"/>
  <c r="AK31" i="3" s="1"/>
  <c r="AH31" i="3" a="1"/>
  <c r="AH31" i="3" s="1"/>
  <c r="AB31" i="3" a="1"/>
  <c r="AB31" i="3" s="1"/>
  <c r="X31" i="3" a="1"/>
  <c r="X31" i="3" s="1"/>
  <c r="AM31" i="3" a="1"/>
  <c r="AM31" i="3" s="1"/>
  <c r="AA31" i="3" a="1"/>
  <c r="AA31" i="3" s="1"/>
  <c r="V31" i="3" a="1"/>
  <c r="V31" i="3" s="1"/>
  <c r="U31" i="3" a="1"/>
  <c r="U31" i="3" s="1"/>
  <c r="T31" i="3" a="1"/>
  <c r="T31" i="3" s="1"/>
  <c r="W31" i="3" a="1"/>
  <c r="W31" i="3" s="1"/>
  <c r="AG31" i="3" a="1"/>
  <c r="AG31" i="3" s="1"/>
  <c r="P31" i="3" a="1"/>
  <c r="P31" i="3" s="1"/>
  <c r="L31" i="3" a="1"/>
  <c r="L31" i="3" s="1"/>
  <c r="AD31" i="3" a="1"/>
  <c r="AD31" i="3" s="1"/>
  <c r="M31" i="3" a="1"/>
  <c r="M31" i="3" s="1"/>
  <c r="S31" i="3" a="1"/>
  <c r="S31" i="3" s="1"/>
  <c r="Q31" i="3" a="1"/>
  <c r="Q31" i="3" s="1"/>
  <c r="O31" i="3" a="1"/>
  <c r="O31" i="3" s="1"/>
  <c r="N31" i="3" a="1"/>
  <c r="N31" i="3" s="1"/>
  <c r="AO39" i="3" a="1"/>
  <c r="AO39" i="3" s="1"/>
  <c r="AL39" i="3" a="1"/>
  <c r="AL39" i="3" s="1"/>
  <c r="AH39" i="3" a="1"/>
  <c r="AH39" i="3" s="1"/>
  <c r="AA39" i="3" a="1"/>
  <c r="AA39" i="3" s="1"/>
  <c r="W39" i="3" a="1"/>
  <c r="W39" i="3" s="1"/>
  <c r="AN39" i="3" a="1"/>
  <c r="AN39" i="3" s="1"/>
  <c r="AK39" i="3" a="1"/>
  <c r="AK39" i="3" s="1"/>
  <c r="AG39" i="3" a="1"/>
  <c r="AG39" i="3" s="1"/>
  <c r="AD39" i="3" a="1"/>
  <c r="AD39" i="3" s="1"/>
  <c r="Z39" i="3" a="1"/>
  <c r="Z39" i="3" s="1"/>
  <c r="AE39" i="3" a="1"/>
  <c r="AE39" i="3" s="1"/>
  <c r="X39" i="3" a="1"/>
  <c r="X39" i="3" s="1"/>
  <c r="AJ39" i="3" a="1"/>
  <c r="AJ39" i="3" s="1"/>
  <c r="AC39" i="3" a="1"/>
  <c r="AC39" i="3" s="1"/>
  <c r="AP39" i="3" a="1"/>
  <c r="AP39" i="3" s="1"/>
  <c r="AI39" i="3" a="1"/>
  <c r="AI39" i="3" s="1"/>
  <c r="AB39" i="3" a="1"/>
  <c r="AB39" i="3" s="1"/>
  <c r="V39" i="3" a="1"/>
  <c r="V39" i="3" s="1"/>
  <c r="U39" i="3" a="1"/>
  <c r="U39" i="3" s="1"/>
  <c r="T39" i="3" a="1"/>
  <c r="T39" i="3" s="1"/>
  <c r="AM39" i="3" a="1"/>
  <c r="AM39" i="3" s="1"/>
  <c r="AF39" i="3" a="1"/>
  <c r="AF39" i="3" s="1"/>
  <c r="S39" i="3" a="1"/>
  <c r="S39" i="3" s="1"/>
  <c r="Q39" i="3" a="1"/>
  <c r="Q39" i="3" s="1"/>
  <c r="N39" i="3" a="1"/>
  <c r="N39" i="3" s="1"/>
  <c r="O39" i="3" a="1"/>
  <c r="O39" i="3" s="1"/>
  <c r="Y39" i="3" a="1"/>
  <c r="Y39" i="3" s="1"/>
  <c r="R39" i="3" a="1"/>
  <c r="R39" i="3" s="1"/>
  <c r="P39" i="3" a="1"/>
  <c r="P39" i="3" s="1"/>
  <c r="L39" i="3" a="1"/>
  <c r="L39" i="3" s="1"/>
  <c r="AN47" i="3" a="1"/>
  <c r="AN47" i="3" s="1"/>
  <c r="AI47" i="3" a="1"/>
  <c r="AI47" i="3" s="1"/>
  <c r="AF47" i="3" a="1"/>
  <c r="AF47" i="3" s="1"/>
  <c r="AA47" i="3" a="1"/>
  <c r="AA47" i="3" s="1"/>
  <c r="X47" i="3" a="1"/>
  <c r="X47" i="3" s="1"/>
  <c r="AM47" i="3" a="1"/>
  <c r="AM47" i="3" s="1"/>
  <c r="AP47" i="3" a="1"/>
  <c r="AP47" i="3" s="1"/>
  <c r="AK47" i="3" a="1"/>
  <c r="AK47" i="3" s="1"/>
  <c r="AD47" i="3" a="1"/>
  <c r="AD47" i="3" s="1"/>
  <c r="Z47" i="3" a="1"/>
  <c r="Z47" i="3" s="1"/>
  <c r="W47" i="3" a="1"/>
  <c r="W47" i="3" s="1"/>
  <c r="AO47" i="3" a="1"/>
  <c r="AO47" i="3" s="1"/>
  <c r="AJ47" i="3" a="1"/>
  <c r="AJ47" i="3" s="1"/>
  <c r="AG47" i="3" a="1"/>
  <c r="AG47" i="3" s="1"/>
  <c r="AC47" i="3" a="1"/>
  <c r="AC47" i="3" s="1"/>
  <c r="AB47" i="3" a="1"/>
  <c r="AB47" i="3" s="1"/>
  <c r="Y47" i="3" a="1"/>
  <c r="Y47" i="3" s="1"/>
  <c r="AH47" i="3" a="1"/>
  <c r="AH47" i="3" s="1"/>
  <c r="AE47" i="3" a="1"/>
  <c r="AE47" i="3" s="1"/>
  <c r="V47" i="3" a="1"/>
  <c r="V47" i="3" s="1"/>
  <c r="U47" i="3" a="1"/>
  <c r="U47" i="3" s="1"/>
  <c r="T47" i="3" a="1"/>
  <c r="T47" i="3" s="1"/>
  <c r="AL47" i="3" a="1"/>
  <c r="AL47" i="3" s="1"/>
  <c r="P47" i="3" a="1"/>
  <c r="P47" i="3" s="1"/>
  <c r="L47" i="3" a="1"/>
  <c r="L47" i="3" s="1"/>
  <c r="R47" i="3" a="1"/>
  <c r="R47" i="3" s="1"/>
  <c r="M47" i="3" a="1"/>
  <c r="M47" i="3" s="1"/>
  <c r="S47" i="3" a="1"/>
  <c r="S47" i="3" s="1"/>
  <c r="N47" i="3" a="1"/>
  <c r="N47" i="3" s="1"/>
  <c r="AO55" i="3" a="1"/>
  <c r="AO55" i="3" s="1"/>
  <c r="AK55" i="3" a="1"/>
  <c r="AK55" i="3" s="1"/>
  <c r="AH55" i="3" a="1"/>
  <c r="AH55" i="3" s="1"/>
  <c r="AD55" i="3" a="1"/>
  <c r="AD55" i="3" s="1"/>
  <c r="AA55" i="3" a="1"/>
  <c r="AA55" i="3" s="1"/>
  <c r="X55" i="3" a="1"/>
  <c r="X55" i="3" s="1"/>
  <c r="AP55" i="3" a="1"/>
  <c r="AP55" i="3" s="1"/>
  <c r="AF55" i="3" a="1"/>
  <c r="AF55" i="3" s="1"/>
  <c r="AB55" i="3" a="1"/>
  <c r="AB55" i="3" s="1"/>
  <c r="W55" i="3" a="1"/>
  <c r="W55" i="3" s="1"/>
  <c r="AN55" i="3" a="1"/>
  <c r="AN55" i="3" s="1"/>
  <c r="AJ55" i="3" a="1"/>
  <c r="AJ55" i="3" s="1"/>
  <c r="AE55" i="3" a="1"/>
  <c r="AE55" i="3" s="1"/>
  <c r="AM55" i="3" a="1"/>
  <c r="AM55" i="3" s="1"/>
  <c r="AI55" i="3" a="1"/>
  <c r="AI55" i="3" s="1"/>
  <c r="AC55" i="3" a="1"/>
  <c r="AC55" i="3" s="1"/>
  <c r="Z55" i="3" a="1"/>
  <c r="Z55" i="3" s="1"/>
  <c r="AL55" i="3" a="1"/>
  <c r="AL55" i="3" s="1"/>
  <c r="AG55" i="3" a="1"/>
  <c r="AG55" i="3" s="1"/>
  <c r="Y55" i="3" a="1"/>
  <c r="Y55" i="3" s="1"/>
  <c r="V55" i="3" a="1"/>
  <c r="V55" i="3" s="1"/>
  <c r="U55" i="3" a="1"/>
  <c r="U55" i="3" s="1"/>
  <c r="T55" i="3" a="1"/>
  <c r="T55" i="3" s="1"/>
  <c r="S55" i="3" a="1"/>
  <c r="S55" i="3" s="1"/>
  <c r="R55" i="3" a="1"/>
  <c r="R55" i="3" s="1"/>
  <c r="N55" i="3" a="1"/>
  <c r="N55" i="3" s="1"/>
  <c r="O55" i="3" a="1"/>
  <c r="O55" i="3" s="1"/>
  <c r="Q55" i="3" a="1"/>
  <c r="Q55" i="3" s="1"/>
  <c r="P55" i="3" a="1"/>
  <c r="P55" i="3" s="1"/>
  <c r="L55" i="3" a="1"/>
  <c r="L55" i="3" s="1"/>
  <c r="AM63" i="3" a="1"/>
  <c r="AM63" i="3" s="1"/>
  <c r="AG63" i="3" a="1"/>
  <c r="AG63" i="3" s="1"/>
  <c r="AD63" i="3" a="1"/>
  <c r="AD63" i="3" s="1"/>
  <c r="AA63" i="3" a="1"/>
  <c r="AA63" i="3" s="1"/>
  <c r="X63" i="3" a="1"/>
  <c r="X63" i="3" s="1"/>
  <c r="AP63" i="3" a="1"/>
  <c r="AP63" i="3" s="1"/>
  <c r="AJ63" i="3" a="1"/>
  <c r="AJ63" i="3" s="1"/>
  <c r="AF63" i="3" a="1"/>
  <c r="AF63" i="3" s="1"/>
  <c r="AC63" i="3" a="1"/>
  <c r="AC63" i="3" s="1"/>
  <c r="W63" i="3" a="1"/>
  <c r="W63" i="3" s="1"/>
  <c r="AO63" i="3" a="1"/>
  <c r="AO63" i="3" s="1"/>
  <c r="AI63" i="3" a="1"/>
  <c r="AI63" i="3" s="1"/>
  <c r="AN63" i="3" a="1"/>
  <c r="AN63" i="3" s="1"/>
  <c r="AH63" i="3" a="1"/>
  <c r="AH63" i="3" s="1"/>
  <c r="AB63" i="3" a="1"/>
  <c r="AB63" i="3" s="1"/>
  <c r="AL63" i="3" a="1"/>
  <c r="AL63" i="3" s="1"/>
  <c r="AE63" i="3" a="1"/>
  <c r="AE63" i="3" s="1"/>
  <c r="Z63" i="3" a="1"/>
  <c r="Z63" i="3" s="1"/>
  <c r="Y63" i="3" a="1"/>
  <c r="Y63" i="3" s="1"/>
  <c r="AK63" i="3" a="1"/>
  <c r="AK63" i="3" s="1"/>
  <c r="V63" i="3" a="1"/>
  <c r="V63" i="3" s="1"/>
  <c r="U63" i="3" a="1"/>
  <c r="U63" i="3" s="1"/>
  <c r="T63" i="3" a="1"/>
  <c r="T63" i="3" s="1"/>
  <c r="S63" i="3" a="1"/>
  <c r="S63" i="3" s="1"/>
  <c r="Q63" i="3" a="1"/>
  <c r="Q63" i="3" s="1"/>
  <c r="P63" i="3" a="1"/>
  <c r="P63" i="3" s="1"/>
  <c r="L63" i="3" a="1"/>
  <c r="L63" i="3" s="1"/>
  <c r="M63" i="3" a="1"/>
  <c r="M63" i="3" s="1"/>
  <c r="R63" i="3" a="1"/>
  <c r="R63" i="3" s="1"/>
  <c r="N63" i="3" a="1"/>
  <c r="N63" i="3" s="1"/>
  <c r="E7" i="3" a="1"/>
  <c r="E7" i="3" s="1"/>
  <c r="E11" i="3" a="1"/>
  <c r="E11" i="3" s="1"/>
  <c r="E15" i="3" a="1"/>
  <c r="E15" i="3" s="1"/>
  <c r="E19" i="3" a="1"/>
  <c r="E19" i="3" s="1"/>
  <c r="E23" i="3" a="1"/>
  <c r="E23" i="3" s="1"/>
  <c r="E27" i="3" a="1"/>
  <c r="E27" i="3" s="1"/>
  <c r="E31" i="3" a="1"/>
  <c r="E31" i="3" s="1"/>
  <c r="E35" i="3" a="1"/>
  <c r="E35" i="3" s="1"/>
  <c r="E39" i="3" a="1"/>
  <c r="E39" i="3" s="1"/>
  <c r="E42" i="3" a="1"/>
  <c r="E42" i="3" s="1"/>
  <c r="E45" i="3" a="1"/>
  <c r="E45" i="3" s="1"/>
  <c r="E48" i="3" a="1"/>
  <c r="E48" i="3" s="1"/>
  <c r="E55" i="3" a="1"/>
  <c r="E55" i="3" s="1"/>
  <c r="E58" i="3" a="1"/>
  <c r="E58" i="3" s="1"/>
  <c r="E61" i="3" a="1"/>
  <c r="E61" i="3" s="1"/>
  <c r="E64" i="3" a="1"/>
  <c r="E64" i="3" s="1"/>
  <c r="D11" i="3" a="1"/>
  <c r="D11" i="3" s="1"/>
  <c r="D14" i="3" a="1"/>
  <c r="D14" i="3" s="1"/>
  <c r="D17" i="3" a="1"/>
  <c r="D17" i="3" s="1"/>
  <c r="D20" i="3" a="1"/>
  <c r="D20" i="3" s="1"/>
  <c r="D27" i="3" a="1"/>
  <c r="D27" i="3" s="1"/>
  <c r="D30" i="3" a="1"/>
  <c r="D30" i="3" s="1"/>
  <c r="D33" i="3" a="1"/>
  <c r="D33" i="3" s="1"/>
  <c r="D43" i="3" a="1"/>
  <c r="D43" i="3" s="1"/>
  <c r="D46" i="3" a="1"/>
  <c r="D46" i="3" s="1"/>
  <c r="D49" i="3" a="1"/>
  <c r="D49" i="3" s="1"/>
  <c r="D52" i="3" a="1"/>
  <c r="D52" i="3" s="1"/>
  <c r="D59" i="3" a="1"/>
  <c r="D59" i="3" s="1"/>
  <c r="D62" i="3" a="1"/>
  <c r="D62" i="3" s="1"/>
  <c r="C5" i="3" a="1"/>
  <c r="C5" i="3" s="1"/>
  <c r="C8" i="3" a="1"/>
  <c r="C8" i="3" s="1"/>
  <c r="C15" i="3" a="1"/>
  <c r="C15" i="3" s="1"/>
  <c r="C21" i="3" a="1"/>
  <c r="C21" i="3" s="1"/>
  <c r="C24" i="3" a="1"/>
  <c r="C24" i="3" s="1"/>
  <c r="C31" i="3" a="1"/>
  <c r="C31" i="3" s="1"/>
  <c r="C34" i="3" a="1"/>
  <c r="C34" i="3" s="1"/>
  <c r="C37" i="3" a="1"/>
  <c r="C37" i="3" s="1"/>
  <c r="C40" i="3" a="1"/>
  <c r="C40" i="3" s="1"/>
  <c r="C47" i="3" a="1"/>
  <c r="C47" i="3" s="1"/>
  <c r="C50" i="3" a="1"/>
  <c r="C50" i="3" s="1"/>
  <c r="C53" i="3" a="1"/>
  <c r="C53" i="3" s="1"/>
  <c r="C56" i="3" a="1"/>
  <c r="C56" i="3" s="1"/>
  <c r="C63" i="3" a="1"/>
  <c r="C63" i="3" s="1"/>
  <c r="G9" i="3" a="1"/>
  <c r="G9" i="3" s="1"/>
  <c r="G12" i="3" a="1"/>
  <c r="G12" i="3" s="1"/>
  <c r="G19" i="3" a="1"/>
  <c r="G19" i="3" s="1"/>
  <c r="G28" i="3" a="1"/>
  <c r="G28" i="3" s="1"/>
  <c r="G35" i="3" a="1"/>
  <c r="G35" i="3" s="1"/>
  <c r="G38" i="3" a="1"/>
  <c r="G38" i="3" s="1"/>
  <c r="G41" i="3" a="1"/>
  <c r="G41" i="3" s="1"/>
  <c r="G44" i="3" a="1"/>
  <c r="G44" i="3" s="1"/>
  <c r="G51" i="3" a="1"/>
  <c r="G51" i="3" s="1"/>
  <c r="G54" i="3" a="1"/>
  <c r="G54" i="3" s="1"/>
  <c r="G57" i="3" a="1"/>
  <c r="G57" i="3" s="1"/>
  <c r="H7" i="3" a="1"/>
  <c r="H7" i="3" s="1"/>
  <c r="H10" i="3" a="1"/>
  <c r="H10" i="3" s="1"/>
  <c r="H13" i="3" a="1"/>
  <c r="H13" i="3" s="1"/>
  <c r="H16" i="3" a="1"/>
  <c r="H16" i="3" s="1"/>
  <c r="H23" i="3" a="1"/>
  <c r="H23" i="3" s="1"/>
  <c r="H26" i="3" a="1"/>
  <c r="H26" i="3" s="1"/>
  <c r="H29" i="3" a="1"/>
  <c r="H29" i="3" s="1"/>
  <c r="H32" i="3" a="1"/>
  <c r="H32" i="3" s="1"/>
  <c r="H39" i="3" a="1"/>
  <c r="H39" i="3" s="1"/>
  <c r="H42" i="3" a="1"/>
  <c r="H42" i="3" s="1"/>
  <c r="H45" i="3" a="1"/>
  <c r="H45" i="3" s="1"/>
  <c r="H48" i="3" a="1"/>
  <c r="H48" i="3" s="1"/>
  <c r="H55" i="3" a="1"/>
  <c r="H55" i="3" s="1"/>
  <c r="H58" i="3" a="1"/>
  <c r="H58" i="3" s="1"/>
  <c r="H61" i="3" a="1"/>
  <c r="H61" i="3" s="1"/>
  <c r="H64" i="3" a="1"/>
  <c r="H64" i="3" s="1"/>
  <c r="I11" i="3" a="1"/>
  <c r="I11" i="3" s="1"/>
  <c r="I14" i="3" a="1"/>
  <c r="I14" i="3" s="1"/>
  <c r="I17" i="3" a="1"/>
  <c r="I17" i="3" s="1"/>
  <c r="I21" i="3" a="1"/>
  <c r="I21" i="3" s="1"/>
  <c r="I24" i="3" a="1"/>
  <c r="I24" i="3" s="1"/>
  <c r="I28" i="3" a="1"/>
  <c r="I28" i="3" s="1"/>
  <c r="I35" i="3" a="1"/>
  <c r="I35" i="3" s="1"/>
  <c r="I39" i="3" a="1"/>
  <c r="I39" i="3" s="1"/>
  <c r="I42" i="3" a="1"/>
  <c r="I42" i="3" s="1"/>
  <c r="I46" i="3" a="1"/>
  <c r="I46" i="3" s="1"/>
  <c r="I52" i="3" a="1"/>
  <c r="I52" i="3" s="1"/>
  <c r="I55" i="3" a="1"/>
  <c r="I55" i="3" s="1"/>
  <c r="I58" i="3" a="1"/>
  <c r="I58" i="3" s="1"/>
  <c r="J9" i="3" a="1"/>
  <c r="J9" i="3" s="1"/>
  <c r="J13" i="3" a="1"/>
  <c r="J13" i="3" s="1"/>
  <c r="J16" i="3" a="1"/>
  <c r="J16" i="3" s="1"/>
  <c r="J20" i="3" a="1"/>
  <c r="J20" i="3" s="1"/>
  <c r="J23" i="3" a="1"/>
  <c r="J23" i="3" s="1"/>
  <c r="J27" i="3" a="1"/>
  <c r="J27" i="3" s="1"/>
  <c r="J30" i="3" a="1"/>
  <c r="J30" i="3" s="1"/>
  <c r="J34" i="3" a="1"/>
  <c r="J34" i="3" s="1"/>
  <c r="J40" i="3" a="1"/>
  <c r="J40" i="3" s="1"/>
  <c r="J44" i="3" a="1"/>
  <c r="J44" i="3" s="1"/>
  <c r="J47" i="3" a="1"/>
  <c r="J47" i="3" s="1"/>
  <c r="J51" i="3" a="1"/>
  <c r="J51" i="3" s="1"/>
  <c r="J57" i="3" a="1"/>
  <c r="J57" i="3" s="1"/>
  <c r="J61" i="3" a="1"/>
  <c r="J61" i="3" s="1"/>
  <c r="J64" i="3" a="1"/>
  <c r="J64" i="3" s="1"/>
  <c r="K14" i="3" a="1"/>
  <c r="K14" i="3" s="1"/>
  <c r="K21" i="3" a="1"/>
  <c r="K21" i="3" s="1"/>
  <c r="K24" i="3" a="1"/>
  <c r="K24" i="3" s="1"/>
  <c r="K27" i="3" a="1"/>
  <c r="K27" i="3" s="1"/>
  <c r="K31" i="3" a="1"/>
  <c r="K31" i="3" s="1"/>
  <c r="K34" i="3" a="1"/>
  <c r="K34" i="3" s="1"/>
  <c r="K41" i="3" a="1"/>
  <c r="K41" i="3" s="1"/>
  <c r="K44" i="3" a="1"/>
  <c r="K44" i="3" s="1"/>
  <c r="K48" i="3" a="1"/>
  <c r="K48" i="3" s="1"/>
  <c r="K51" i="3" a="1"/>
  <c r="K51" i="3" s="1"/>
  <c r="K55" i="3" a="1"/>
  <c r="K55" i="3" s="1"/>
  <c r="K58" i="3" a="1"/>
  <c r="K58" i="3" s="1"/>
  <c r="K63" i="3" a="1"/>
  <c r="K63" i="3" s="1"/>
  <c r="L21" i="3" a="1"/>
  <c r="L21" i="3" s="1"/>
  <c r="L27" i="3" a="1"/>
  <c r="L27" i="3" s="1"/>
  <c r="L33" i="3" a="1"/>
  <c r="L33" i="3" s="1"/>
  <c r="L46" i="3" a="1"/>
  <c r="L46" i="3" s="1"/>
  <c r="L53" i="3" a="1"/>
  <c r="L53" i="3" s="1"/>
  <c r="L59" i="3" a="1"/>
  <c r="L59" i="3" s="1"/>
  <c r="M5" i="3" a="1"/>
  <c r="M5" i="3" s="1"/>
  <c r="M17" i="3" a="1"/>
  <c r="M17" i="3" s="1"/>
  <c r="M29" i="3" a="1"/>
  <c r="M29" i="3" s="1"/>
  <c r="M42" i="3" a="1"/>
  <c r="M42" i="3" s="1"/>
  <c r="M55" i="3" a="1"/>
  <c r="M55" i="3" s="1"/>
  <c r="N21" i="3" a="1"/>
  <c r="N21" i="3" s="1"/>
  <c r="N33" i="3" a="1"/>
  <c r="N33" i="3" s="1"/>
  <c r="N59" i="3" a="1"/>
  <c r="N59" i="3" s="1"/>
  <c r="O24" i="3" a="1"/>
  <c r="O24" i="3" s="1"/>
  <c r="O50" i="3" a="1"/>
  <c r="O50" i="3" s="1"/>
  <c r="O63" i="3" a="1"/>
  <c r="O63" i="3" s="1"/>
  <c r="P16" i="3" a="1"/>
  <c r="P16" i="3" s="1"/>
  <c r="P28" i="3" a="1"/>
  <c r="P28" i="3" s="1"/>
  <c r="Q7" i="3" a="1"/>
  <c r="Q7" i="3" s="1"/>
  <c r="Q20" i="3" a="1"/>
  <c r="Q20" i="3" s="1"/>
  <c r="Q47" i="3" a="1"/>
  <c r="Q47" i="3" s="1"/>
  <c r="Q61" i="3" a="1"/>
  <c r="Q61" i="3" s="1"/>
  <c r="R13" i="3" a="1"/>
  <c r="R13" i="3" s="1"/>
  <c r="R42" i="3" a="1"/>
  <c r="R42" i="3" s="1"/>
  <c r="R56" i="3" a="1"/>
  <c r="R56" i="3" s="1"/>
  <c r="S21" i="3" a="1"/>
  <c r="S21" i="3" s="1"/>
  <c r="S34" i="3" a="1"/>
  <c r="S34" i="3" s="1"/>
  <c r="S61" i="3" a="1"/>
  <c r="S61" i="3" s="1"/>
  <c r="T40" i="3" a="1"/>
  <c r="T40" i="3" s="1"/>
  <c r="V48" i="3" a="1"/>
  <c r="V48" i="3" s="1"/>
  <c r="AD7" i="3" a="1"/>
  <c r="AD7" i="3" s="1"/>
  <c r="AM9" i="3" a="1"/>
  <c r="AM9" i="3" s="1"/>
  <c r="AP11" i="3" a="1"/>
  <c r="AP11" i="3" s="1"/>
  <c r="AK24" i="3" a="1"/>
  <c r="AK24" i="3" s="1"/>
  <c r="Z35" i="3" a="1"/>
  <c r="Z35" i="3" s="1"/>
  <c r="AN8" i="3" a="1"/>
  <c r="AN8" i="3" s="1"/>
  <c r="AK8" i="3" a="1"/>
  <c r="AK8" i="3" s="1"/>
  <c r="AF8" i="3" a="1"/>
  <c r="AF8" i="3" s="1"/>
  <c r="AC8" i="3" a="1"/>
  <c r="AC8" i="3" s="1"/>
  <c r="Y8" i="3" a="1"/>
  <c r="Y8" i="3" s="1"/>
  <c r="AP8" i="3" a="1"/>
  <c r="AP8" i="3" s="1"/>
  <c r="AM8" i="3" a="1"/>
  <c r="AM8" i="3" s="1"/>
  <c r="AH8" i="3" a="1"/>
  <c r="AH8" i="3" s="1"/>
  <c r="AE8" i="3" a="1"/>
  <c r="AE8" i="3" s="1"/>
  <c r="AB8" i="3" a="1"/>
  <c r="AB8" i="3" s="1"/>
  <c r="X8" i="3" a="1"/>
  <c r="X8" i="3" s="1"/>
  <c r="AO8" i="3" a="1"/>
  <c r="AO8" i="3" s="1"/>
  <c r="AJ8" i="3" a="1"/>
  <c r="AJ8" i="3" s="1"/>
  <c r="AG8" i="3" a="1"/>
  <c r="AG8" i="3" s="1"/>
  <c r="AA8" i="3" a="1"/>
  <c r="AA8" i="3" s="1"/>
  <c r="W8" i="3" a="1"/>
  <c r="W8" i="3" s="1"/>
  <c r="AI8" i="3" a="1"/>
  <c r="AI8" i="3" s="1"/>
  <c r="U8" i="3" a="1"/>
  <c r="U8" i="3" s="1"/>
  <c r="O8" i="3" a="1"/>
  <c r="O8" i="3" s="1"/>
  <c r="L8" i="3" a="1"/>
  <c r="L8" i="3" s="1"/>
  <c r="V8" i="3" a="1"/>
  <c r="V8" i="3" s="1"/>
  <c r="Q8" i="3" a="1"/>
  <c r="Q8" i="3" s="1"/>
  <c r="P8" i="3" a="1"/>
  <c r="P8" i="3" s="1"/>
  <c r="AD8" i="3" a="1"/>
  <c r="AD8" i="3" s="1"/>
  <c r="R8" i="3" a="1"/>
  <c r="R8" i="3" s="1"/>
  <c r="N8" i="3" a="1"/>
  <c r="N8" i="3" s="1"/>
  <c r="M8" i="3" a="1"/>
  <c r="M8" i="3" s="1"/>
  <c r="AN16" i="3" a="1"/>
  <c r="AN16" i="3" s="1"/>
  <c r="AK16" i="3" a="1"/>
  <c r="AK16" i="3" s="1"/>
  <c r="AF16" i="3" a="1"/>
  <c r="AF16" i="3" s="1"/>
  <c r="AC16" i="3" a="1"/>
  <c r="AC16" i="3" s="1"/>
  <c r="AO16" i="3" a="1"/>
  <c r="AO16" i="3" s="1"/>
  <c r="AJ16" i="3" a="1"/>
  <c r="AJ16" i="3" s="1"/>
  <c r="AG16" i="3" a="1"/>
  <c r="AG16" i="3" s="1"/>
  <c r="AB16" i="3" a="1"/>
  <c r="AB16" i="3" s="1"/>
  <c r="Y16" i="3" a="1"/>
  <c r="Y16" i="3" s="1"/>
  <c r="AM16" i="3" a="1"/>
  <c r="AM16" i="3" s="1"/>
  <c r="AH16" i="3" a="1"/>
  <c r="AH16" i="3" s="1"/>
  <c r="AL16" i="3" a="1"/>
  <c r="AL16" i="3" s="1"/>
  <c r="AA16" i="3" a="1"/>
  <c r="AA16" i="3" s="1"/>
  <c r="X16" i="3" a="1"/>
  <c r="X16" i="3" s="1"/>
  <c r="AP16" i="3" a="1"/>
  <c r="AP16" i="3" s="1"/>
  <c r="AE16" i="3" a="1"/>
  <c r="AE16" i="3" s="1"/>
  <c r="W16" i="3" a="1"/>
  <c r="W16" i="3" s="1"/>
  <c r="Z16" i="3" a="1"/>
  <c r="Z16" i="3" s="1"/>
  <c r="R16" i="3" a="1"/>
  <c r="R16" i="3" s="1"/>
  <c r="N16" i="3" a="1"/>
  <c r="N16" i="3" s="1"/>
  <c r="M16" i="3" a="1"/>
  <c r="M16" i="3" s="1"/>
  <c r="T16" i="3" a="1"/>
  <c r="T16" i="3" s="1"/>
  <c r="S16" i="3" a="1"/>
  <c r="S16" i="3" s="1"/>
  <c r="O16" i="3" a="1"/>
  <c r="O16" i="3" s="1"/>
  <c r="AI16" i="3" a="1"/>
  <c r="AI16" i="3" s="1"/>
  <c r="U16" i="3" a="1"/>
  <c r="U16" i="3" s="1"/>
  <c r="L16" i="3" a="1"/>
  <c r="L16" i="3" s="1"/>
  <c r="AO25" i="3" a="1"/>
  <c r="AO25" i="3" s="1"/>
  <c r="AL25" i="3" a="1"/>
  <c r="AL25" i="3" s="1"/>
  <c r="AH25" i="3" a="1"/>
  <c r="AH25" i="3" s="1"/>
  <c r="AA25" i="3" a="1"/>
  <c r="AA25" i="3" s="1"/>
  <c r="W25" i="3" a="1"/>
  <c r="W25" i="3" s="1"/>
  <c r="AN25" i="3" a="1"/>
  <c r="AN25" i="3" s="1"/>
  <c r="AK25" i="3" a="1"/>
  <c r="AK25" i="3" s="1"/>
  <c r="AG25" i="3" a="1"/>
  <c r="AG25" i="3" s="1"/>
  <c r="AD25" i="3" a="1"/>
  <c r="AD25" i="3" s="1"/>
  <c r="Z25" i="3" a="1"/>
  <c r="Z25" i="3" s="1"/>
  <c r="AM25" i="3" a="1"/>
  <c r="AM25" i="3" s="1"/>
  <c r="AJ25" i="3" a="1"/>
  <c r="AJ25" i="3" s="1"/>
  <c r="AF25" i="3" a="1"/>
  <c r="AF25" i="3" s="1"/>
  <c r="AC25" i="3" a="1"/>
  <c r="AC25" i="3" s="1"/>
  <c r="Y25" i="3" a="1"/>
  <c r="Y25" i="3" s="1"/>
  <c r="AP25" i="3" a="1"/>
  <c r="AP25" i="3" s="1"/>
  <c r="AB25" i="3" a="1"/>
  <c r="AB25" i="3" s="1"/>
  <c r="X25" i="3" a="1"/>
  <c r="X25" i="3" s="1"/>
  <c r="AI25" i="3" a="1"/>
  <c r="AI25" i="3" s="1"/>
  <c r="V25" i="3" a="1"/>
  <c r="V25" i="3" s="1"/>
  <c r="U25" i="3" a="1"/>
  <c r="U25" i="3" s="1"/>
  <c r="T25" i="3" a="1"/>
  <c r="T25" i="3" s="1"/>
  <c r="P25" i="3" a="1"/>
  <c r="P25" i="3" s="1"/>
  <c r="Q25" i="3" a="1"/>
  <c r="Q25" i="3" s="1"/>
  <c r="N25" i="3" a="1"/>
  <c r="N25" i="3" s="1"/>
  <c r="M25" i="3" a="1"/>
  <c r="M25" i="3" s="1"/>
  <c r="AE25" i="3" a="1"/>
  <c r="AE25" i="3" s="1"/>
  <c r="S25" i="3" a="1"/>
  <c r="S25" i="3" s="1"/>
  <c r="R25" i="3" a="1"/>
  <c r="R25" i="3" s="1"/>
  <c r="O25" i="3" a="1"/>
  <c r="O25" i="3" s="1"/>
  <c r="AO36" i="3" a="1"/>
  <c r="AO36" i="3" s="1"/>
  <c r="AK36" i="3" a="1"/>
  <c r="AK36" i="3" s="1"/>
  <c r="AH36" i="3" a="1"/>
  <c r="AH36" i="3" s="1"/>
  <c r="AD36" i="3" a="1"/>
  <c r="AD36" i="3" s="1"/>
  <c r="W36" i="3" a="1"/>
  <c r="W36" i="3" s="1"/>
  <c r="AN36" i="3" a="1"/>
  <c r="AN36" i="3" s="1"/>
  <c r="AJ36" i="3" a="1"/>
  <c r="AJ36" i="3" s="1"/>
  <c r="AG36" i="3" a="1"/>
  <c r="AG36" i="3" s="1"/>
  <c r="AC36" i="3" a="1"/>
  <c r="AC36" i="3" s="1"/>
  <c r="Z36" i="3" a="1"/>
  <c r="Z36" i="3" s="1"/>
  <c r="AM36" i="3" a="1"/>
  <c r="AM36" i="3" s="1"/>
  <c r="AI36" i="3" a="1"/>
  <c r="AI36" i="3" s="1"/>
  <c r="AF36" i="3" a="1"/>
  <c r="AF36" i="3" s="1"/>
  <c r="AB36" i="3" a="1"/>
  <c r="AB36" i="3" s="1"/>
  <c r="Y36" i="3" a="1"/>
  <c r="Y36" i="3" s="1"/>
  <c r="AE36" i="3" a="1"/>
  <c r="AE36" i="3" s="1"/>
  <c r="AP36" i="3" a="1"/>
  <c r="AP36" i="3" s="1"/>
  <c r="AA36" i="3" a="1"/>
  <c r="AA36" i="3" s="1"/>
  <c r="AL36" i="3" a="1"/>
  <c r="AL36" i="3" s="1"/>
  <c r="X36" i="3" a="1"/>
  <c r="X36" i="3" s="1"/>
  <c r="T36" i="3" a="1"/>
  <c r="T36" i="3" s="1"/>
  <c r="Q36" i="3" a="1"/>
  <c r="Q36" i="3" s="1"/>
  <c r="N36" i="3" a="1"/>
  <c r="N36" i="3" s="1"/>
  <c r="U36" i="3" a="1"/>
  <c r="U36" i="3" s="1"/>
  <c r="S36" i="3" a="1"/>
  <c r="S36" i="3" s="1"/>
  <c r="R36" i="3" a="1"/>
  <c r="R36" i="3" s="1"/>
  <c r="P36" i="3" a="1"/>
  <c r="P36" i="3" s="1"/>
  <c r="O36" i="3" a="1"/>
  <c r="O36" i="3" s="1"/>
  <c r="V36" i="3" a="1"/>
  <c r="V36" i="3" s="1"/>
  <c r="M36" i="3" a="1"/>
  <c r="M36" i="3" s="1"/>
  <c r="L36" i="3" a="1"/>
  <c r="L36" i="3" s="1"/>
  <c r="AM46" i="3" a="1"/>
  <c r="AM46" i="3" s="1"/>
  <c r="AJ46" i="3" a="1"/>
  <c r="AJ46" i="3" s="1"/>
  <c r="AG46" i="3" a="1"/>
  <c r="AG46" i="3" s="1"/>
  <c r="AD46" i="3" a="1"/>
  <c r="AD46" i="3" s="1"/>
  <c r="Y46" i="3" a="1"/>
  <c r="Y46" i="3" s="1"/>
  <c r="AP46" i="3" a="1"/>
  <c r="AP46" i="3" s="1"/>
  <c r="AL46" i="3" a="1"/>
  <c r="AL46" i="3" s="1"/>
  <c r="AI46" i="3" a="1"/>
  <c r="AI46" i="3" s="1"/>
  <c r="AF46" i="3" a="1"/>
  <c r="AF46" i="3" s="1"/>
  <c r="AA46" i="3" a="1"/>
  <c r="AA46" i="3" s="1"/>
  <c r="X46" i="3" a="1"/>
  <c r="X46" i="3" s="1"/>
  <c r="AO46" i="3" a="1"/>
  <c r="AO46" i="3" s="1"/>
  <c r="AH46" i="3" a="1"/>
  <c r="AH46" i="3" s="1"/>
  <c r="AC46" i="3" a="1"/>
  <c r="AC46" i="3" s="1"/>
  <c r="Z46" i="3" a="1"/>
  <c r="Z46" i="3" s="1"/>
  <c r="AN46" i="3" a="1"/>
  <c r="AN46" i="3" s="1"/>
  <c r="AB46" i="3" a="1"/>
  <c r="AB46" i="3" s="1"/>
  <c r="AK46" i="3" a="1"/>
  <c r="AK46" i="3" s="1"/>
  <c r="W46" i="3" a="1"/>
  <c r="W46" i="3" s="1"/>
  <c r="AE46" i="3" a="1"/>
  <c r="AE46" i="3" s="1"/>
  <c r="V46" i="3" a="1"/>
  <c r="V46" i="3" s="1"/>
  <c r="U46" i="3" a="1"/>
  <c r="U46" i="3" s="1"/>
  <c r="T46" i="3" a="1"/>
  <c r="T46" i="3" s="1"/>
  <c r="S46" i="3" a="1"/>
  <c r="S46" i="3" s="1"/>
  <c r="Q46" i="3" a="1"/>
  <c r="Q46" i="3" s="1"/>
  <c r="O46" i="3" a="1"/>
  <c r="O46" i="3" s="1"/>
  <c r="P46" i="3" a="1"/>
  <c r="P46" i="3" s="1"/>
  <c r="R46" i="3" a="1"/>
  <c r="R46" i="3" s="1"/>
  <c r="M46" i="3" a="1"/>
  <c r="M46" i="3" s="1"/>
  <c r="AO62" i="3" a="1"/>
  <c r="AO62" i="3" s="1"/>
  <c r="AI62" i="3" a="1"/>
  <c r="AI62" i="3" s="1"/>
  <c r="AD62" i="3" a="1"/>
  <c r="AD62" i="3" s="1"/>
  <c r="X62" i="3" a="1"/>
  <c r="X62" i="3" s="1"/>
  <c r="AL62" i="3" a="1"/>
  <c r="AL62" i="3" s="1"/>
  <c r="AF62" i="3" a="1"/>
  <c r="AF62" i="3" s="1"/>
  <c r="AC62" i="3" a="1"/>
  <c r="AC62" i="3" s="1"/>
  <c r="Z62" i="3" a="1"/>
  <c r="Z62" i="3" s="1"/>
  <c r="W62" i="3" a="1"/>
  <c r="W62" i="3" s="1"/>
  <c r="AK62" i="3" a="1"/>
  <c r="AK62" i="3" s="1"/>
  <c r="AE62" i="3" a="1"/>
  <c r="AE62" i="3" s="1"/>
  <c r="Y62" i="3" a="1"/>
  <c r="Y62" i="3" s="1"/>
  <c r="AP62" i="3" a="1"/>
  <c r="AP62" i="3" s="1"/>
  <c r="AJ62" i="3" a="1"/>
  <c r="AJ62" i="3" s="1"/>
  <c r="AN62" i="3" a="1"/>
  <c r="AN62" i="3" s="1"/>
  <c r="AH62" i="3" a="1"/>
  <c r="AH62" i="3" s="1"/>
  <c r="AB62" i="3" a="1"/>
  <c r="AB62" i="3" s="1"/>
  <c r="AA62" i="3" a="1"/>
  <c r="AA62" i="3" s="1"/>
  <c r="AM62" i="3" a="1"/>
  <c r="AM62" i="3" s="1"/>
  <c r="AG62" i="3" a="1"/>
  <c r="AG62" i="3" s="1"/>
  <c r="V62" i="3" a="1"/>
  <c r="V62" i="3" s="1"/>
  <c r="U62" i="3" a="1"/>
  <c r="U62" i="3" s="1"/>
  <c r="T62" i="3" a="1"/>
  <c r="T62" i="3" s="1"/>
  <c r="S62" i="3" a="1"/>
  <c r="S62" i="3" s="1"/>
  <c r="O62" i="3" a="1"/>
  <c r="O62" i="3" s="1"/>
  <c r="K62" i="3" a="1"/>
  <c r="K62" i="3" s="1"/>
  <c r="P62" i="3" a="1"/>
  <c r="P62" i="3" s="1"/>
  <c r="Q62" i="3" a="1"/>
  <c r="Q62" i="3" s="1"/>
  <c r="M62" i="3" a="1"/>
  <c r="M62" i="3" s="1"/>
  <c r="E10" i="3" a="1"/>
  <c r="E10" i="3" s="1"/>
  <c r="E22" i="3" a="1"/>
  <c r="E22" i="3" s="1"/>
  <c r="E38" i="3" a="1"/>
  <c r="E38" i="3" s="1"/>
  <c r="E41" i="3" a="1"/>
  <c r="E41" i="3" s="1"/>
  <c r="E51" i="3" a="1"/>
  <c r="E51" i="3" s="1"/>
  <c r="E60" i="3" a="1"/>
  <c r="E60" i="3" s="1"/>
  <c r="C36" i="3" a="1"/>
  <c r="C36" i="3" s="1"/>
  <c r="G15" i="3" a="1"/>
  <c r="G15" i="3" s="1"/>
  <c r="G50" i="3" a="1"/>
  <c r="G50" i="3" s="1"/>
  <c r="G56" i="3" a="1"/>
  <c r="G56" i="3" s="1"/>
  <c r="H9" i="3" a="1"/>
  <c r="H9" i="3" s="1"/>
  <c r="H12" i="3" a="1"/>
  <c r="H12" i="3" s="1"/>
  <c r="H19" i="3" a="1"/>
  <c r="H19" i="3" s="1"/>
  <c r="H41" i="3" a="1"/>
  <c r="H41" i="3" s="1"/>
  <c r="H51" i="3" a="1"/>
  <c r="H51" i="3" s="1"/>
  <c r="H57" i="3" a="1"/>
  <c r="H57" i="3" s="1"/>
  <c r="J12" i="3" a="1"/>
  <c r="J12" i="3" s="1"/>
  <c r="J19" i="3" a="1"/>
  <c r="J19" i="3" s="1"/>
  <c r="J56" i="3" a="1"/>
  <c r="J56" i="3" s="1"/>
  <c r="K40" i="3" a="1"/>
  <c r="K40" i="3" s="1"/>
  <c r="K43" i="3" a="1"/>
  <c r="K43" i="3" s="1"/>
  <c r="K50" i="3" a="1"/>
  <c r="K50" i="3" s="1"/>
  <c r="N30" i="3" a="1"/>
  <c r="N30" i="3" s="1"/>
  <c r="N43" i="3" a="1"/>
  <c r="N43" i="3" s="1"/>
  <c r="P12" i="3" a="1"/>
  <c r="P12" i="3" s="1"/>
  <c r="R52" i="3" a="1"/>
  <c r="R52" i="3" s="1"/>
  <c r="AP37" i="3" a="1"/>
  <c r="AP37" i="3" s="1"/>
  <c r="AI37" i="3" a="1"/>
  <c r="AI37" i="3" s="1"/>
  <c r="AE37" i="3" a="1"/>
  <c r="AE37" i="3" s="1"/>
  <c r="AB37" i="3" a="1"/>
  <c r="AB37" i="3" s="1"/>
  <c r="X37" i="3" a="1"/>
  <c r="X37" i="3" s="1"/>
  <c r="AO37" i="3" a="1"/>
  <c r="AO37" i="3" s="1"/>
  <c r="AL37" i="3" a="1"/>
  <c r="AL37" i="3" s="1"/>
  <c r="AH37" i="3" a="1"/>
  <c r="AH37" i="3" s="1"/>
  <c r="AA37" i="3" a="1"/>
  <c r="AA37" i="3" s="1"/>
  <c r="W37" i="3" a="1"/>
  <c r="W37" i="3" s="1"/>
  <c r="AN37" i="3" a="1"/>
  <c r="AN37" i="3" s="1"/>
  <c r="AK37" i="3" a="1"/>
  <c r="AK37" i="3" s="1"/>
  <c r="AG37" i="3" a="1"/>
  <c r="AG37" i="3" s="1"/>
  <c r="AD37" i="3" a="1"/>
  <c r="AD37" i="3" s="1"/>
  <c r="Z37" i="3" a="1"/>
  <c r="Z37" i="3" s="1"/>
  <c r="AM37" i="3" a="1"/>
  <c r="AM37" i="3" s="1"/>
  <c r="Y37" i="3" a="1"/>
  <c r="Y37" i="3" s="1"/>
  <c r="AJ37" i="3" a="1"/>
  <c r="AJ37" i="3" s="1"/>
  <c r="AF37" i="3" a="1"/>
  <c r="AF37" i="3" s="1"/>
  <c r="V37" i="3" a="1"/>
  <c r="V37" i="3" s="1"/>
  <c r="U37" i="3" a="1"/>
  <c r="U37" i="3" s="1"/>
  <c r="T37" i="3" a="1"/>
  <c r="T37" i="3" s="1"/>
  <c r="AC37" i="3" a="1"/>
  <c r="AC37" i="3" s="1"/>
  <c r="R37" i="3" a="1"/>
  <c r="R37" i="3" s="1"/>
  <c r="P37" i="3" a="1"/>
  <c r="P37" i="3" s="1"/>
  <c r="O37" i="3" a="1"/>
  <c r="O37" i="3" s="1"/>
  <c r="M37" i="3" a="1"/>
  <c r="M37" i="3" s="1"/>
  <c r="Q37" i="3" a="1"/>
  <c r="Q37" i="3" s="1"/>
  <c r="AO6" i="3" a="1"/>
  <c r="AO6" i="3" s="1"/>
  <c r="AK6" i="3" a="1"/>
  <c r="AK6" i="3" s="1"/>
  <c r="AG6" i="3" a="1"/>
  <c r="AG6" i="3" s="1"/>
  <c r="AC6" i="3" a="1"/>
  <c r="AC6" i="3" s="1"/>
  <c r="Y6" i="3" a="1"/>
  <c r="Y6" i="3" s="1"/>
  <c r="AN6" i="3" a="1"/>
  <c r="AN6" i="3" s="1"/>
  <c r="AJ6" i="3" a="1"/>
  <c r="AJ6" i="3" s="1"/>
  <c r="AF6" i="3" a="1"/>
  <c r="AF6" i="3" s="1"/>
  <c r="AB6" i="3" a="1"/>
  <c r="AB6" i="3" s="1"/>
  <c r="X6" i="3" a="1"/>
  <c r="X6" i="3" s="1"/>
  <c r="V6" i="3" a="1"/>
  <c r="V6" i="3" s="1"/>
  <c r="U6" i="3" a="1"/>
  <c r="U6" i="3" s="1"/>
  <c r="AM6" i="3" a="1"/>
  <c r="AM6" i="3" s="1"/>
  <c r="AI6" i="3" a="1"/>
  <c r="AI6" i="3" s="1"/>
  <c r="AE6" i="3" a="1"/>
  <c r="AE6" i="3" s="1"/>
  <c r="AA6" i="3" a="1"/>
  <c r="AA6" i="3" s="1"/>
  <c r="W6" i="3" a="1"/>
  <c r="W6" i="3" s="1"/>
  <c r="AD6" i="3" a="1"/>
  <c r="AD6" i="3" s="1"/>
  <c r="T6" i="3" a="1"/>
  <c r="T6" i="3" s="1"/>
  <c r="R6" i="3" a="1"/>
  <c r="R6" i="3" s="1"/>
  <c r="Q6" i="3" a="1"/>
  <c r="Q6" i="3" s="1"/>
  <c r="M6" i="3" a="1"/>
  <c r="M6" i="3" s="1"/>
  <c r="AP6" i="3" a="1"/>
  <c r="AP6" i="3" s="1"/>
  <c r="Z6" i="3" a="1"/>
  <c r="Z6" i="3" s="1"/>
  <c r="N6" i="3" a="1"/>
  <c r="N6" i="3" s="1"/>
  <c r="AL6" i="3" a="1"/>
  <c r="AL6" i="3" s="1"/>
  <c r="S6" i="3" a="1"/>
  <c r="S6" i="3" s="1"/>
  <c r="O6" i="3" a="1"/>
  <c r="O6" i="3" s="1"/>
  <c r="AN10" i="3" a="1"/>
  <c r="AN10" i="3" s="1"/>
  <c r="AK10" i="3" a="1"/>
  <c r="AK10" i="3" s="1"/>
  <c r="AF10" i="3" a="1"/>
  <c r="AF10" i="3" s="1"/>
  <c r="AC10" i="3" a="1"/>
  <c r="AC10" i="3" s="1"/>
  <c r="X10" i="3" a="1"/>
  <c r="X10" i="3" s="1"/>
  <c r="AP10" i="3" a="1"/>
  <c r="AP10" i="3" s="1"/>
  <c r="AM10" i="3" a="1"/>
  <c r="AM10" i="3" s="1"/>
  <c r="AH10" i="3" a="1"/>
  <c r="AH10" i="3" s="1"/>
  <c r="AE10" i="3" a="1"/>
  <c r="AE10" i="3" s="1"/>
  <c r="Z10" i="3" a="1"/>
  <c r="Z10" i="3" s="1"/>
  <c r="W10" i="3" a="1"/>
  <c r="W10" i="3" s="1"/>
  <c r="V10" i="3" a="1"/>
  <c r="V10" i="3" s="1"/>
  <c r="U10" i="3" a="1"/>
  <c r="U10" i="3" s="1"/>
  <c r="AO10" i="3" a="1"/>
  <c r="AO10" i="3" s="1"/>
  <c r="AJ10" i="3" a="1"/>
  <c r="AJ10" i="3" s="1"/>
  <c r="AG10" i="3" a="1"/>
  <c r="AG10" i="3" s="1"/>
  <c r="AB10" i="3" a="1"/>
  <c r="AB10" i="3" s="1"/>
  <c r="Y10" i="3" a="1"/>
  <c r="Y10" i="3" s="1"/>
  <c r="AL10" i="3" a="1"/>
  <c r="AL10" i="3" s="1"/>
  <c r="AA10" i="3" a="1"/>
  <c r="AA10" i="3" s="1"/>
  <c r="N10" i="3" a="1"/>
  <c r="N10" i="3" s="1"/>
  <c r="AI10" i="3" a="1"/>
  <c r="AI10" i="3" s="1"/>
  <c r="T10" i="3" a="1"/>
  <c r="T10" i="3" s="1"/>
  <c r="S10" i="3" a="1"/>
  <c r="S10" i="3" s="1"/>
  <c r="O10" i="3" a="1"/>
  <c r="O10" i="3" s="1"/>
  <c r="P10" i="3" a="1"/>
  <c r="P10" i="3" s="1"/>
  <c r="L10" i="3" a="1"/>
  <c r="L10" i="3" s="1"/>
  <c r="AN14" i="3" a="1"/>
  <c r="AN14" i="3" s="1"/>
  <c r="AK14" i="3" a="1"/>
  <c r="AK14" i="3" s="1"/>
  <c r="AF14" i="3" a="1"/>
  <c r="AF14" i="3" s="1"/>
  <c r="AC14" i="3" a="1"/>
  <c r="AC14" i="3" s="1"/>
  <c r="X14" i="3" a="1"/>
  <c r="X14" i="3" s="1"/>
  <c r="AP14" i="3" a="1"/>
  <c r="AP14" i="3" s="1"/>
  <c r="AM14" i="3" a="1"/>
  <c r="AM14" i="3" s="1"/>
  <c r="AH14" i="3" a="1"/>
  <c r="AH14" i="3" s="1"/>
  <c r="AE14" i="3" a="1"/>
  <c r="AE14" i="3" s="1"/>
  <c r="Z14" i="3" a="1"/>
  <c r="Z14" i="3" s="1"/>
  <c r="W14" i="3" a="1"/>
  <c r="W14" i="3" s="1"/>
  <c r="V14" i="3" a="1"/>
  <c r="V14" i="3" s="1"/>
  <c r="U14" i="3" a="1"/>
  <c r="U14" i="3" s="1"/>
  <c r="AO14" i="3" a="1"/>
  <c r="AO14" i="3" s="1"/>
  <c r="AJ14" i="3" a="1"/>
  <c r="AJ14" i="3" s="1"/>
  <c r="AG14" i="3" a="1"/>
  <c r="AG14" i="3" s="1"/>
  <c r="AB14" i="3" a="1"/>
  <c r="AB14" i="3" s="1"/>
  <c r="Y14" i="3" a="1"/>
  <c r="Y14" i="3" s="1"/>
  <c r="S14" i="3" a="1"/>
  <c r="S14" i="3" s="1"/>
  <c r="AD14" i="3" a="1"/>
  <c r="AD14" i="3" s="1"/>
  <c r="P14" i="3" a="1"/>
  <c r="P14" i="3" s="1"/>
  <c r="AL14" i="3" a="1"/>
  <c r="AL14" i="3" s="1"/>
  <c r="AA14" i="3" a="1"/>
  <c r="AA14" i="3" s="1"/>
  <c r="T14" i="3" a="1"/>
  <c r="T14" i="3" s="1"/>
  <c r="R14" i="3" a="1"/>
  <c r="R14" i="3" s="1"/>
  <c r="Q14" i="3" a="1"/>
  <c r="Q14" i="3" s="1"/>
  <c r="M14" i="3" a="1"/>
  <c r="M14" i="3" s="1"/>
  <c r="AM18" i="3" a="1"/>
  <c r="AM18" i="3" s="1"/>
  <c r="AJ18" i="3" a="1"/>
  <c r="AJ18" i="3" s="1"/>
  <c r="AP18" i="3" a="1"/>
  <c r="AP18" i="3" s="1"/>
  <c r="AI18" i="3" a="1"/>
  <c r="AI18" i="3" s="1"/>
  <c r="AG18" i="3" a="1"/>
  <c r="AG18" i="3" s="1"/>
  <c r="AE18" i="3" a="1"/>
  <c r="AE18" i="3" s="1"/>
  <c r="AC18" i="3" a="1"/>
  <c r="AC18" i="3" s="1"/>
  <c r="AA18" i="3" a="1"/>
  <c r="AA18" i="3" s="1"/>
  <c r="Y18" i="3" a="1"/>
  <c r="Y18" i="3" s="1"/>
  <c r="W18" i="3" a="1"/>
  <c r="W18" i="3" s="1"/>
  <c r="AO18" i="3" a="1"/>
  <c r="AO18" i="3" s="1"/>
  <c r="AL18" i="3" a="1"/>
  <c r="AL18" i="3" s="1"/>
  <c r="AH18" i="3" a="1"/>
  <c r="AH18" i="3" s="1"/>
  <c r="Z18" i="3" a="1"/>
  <c r="Z18" i="3" s="1"/>
  <c r="AF18" i="3" a="1"/>
  <c r="AF18" i="3" s="1"/>
  <c r="X18" i="3" a="1"/>
  <c r="X18" i="3" s="1"/>
  <c r="V18" i="3" a="1"/>
  <c r="V18" i="3" s="1"/>
  <c r="U18" i="3" a="1"/>
  <c r="U18" i="3" s="1"/>
  <c r="T18" i="3" a="1"/>
  <c r="T18" i="3" s="1"/>
  <c r="AN18" i="3" a="1"/>
  <c r="AN18" i="3" s="1"/>
  <c r="AD18" i="3" a="1"/>
  <c r="AD18" i="3" s="1"/>
  <c r="AK18" i="3" a="1"/>
  <c r="AK18" i="3" s="1"/>
  <c r="P18" i="3" a="1"/>
  <c r="P18" i="3" s="1"/>
  <c r="L18" i="3" a="1"/>
  <c r="L18" i="3" s="1"/>
  <c r="AB18" i="3" a="1"/>
  <c r="AB18" i="3" s="1"/>
  <c r="Q18" i="3" a="1"/>
  <c r="Q18" i="3" s="1"/>
  <c r="M18" i="3" a="1"/>
  <c r="M18" i="3" s="1"/>
  <c r="R18" i="3" a="1"/>
  <c r="R18" i="3" s="1"/>
  <c r="O18" i="3" a="1"/>
  <c r="O18" i="3" s="1"/>
  <c r="N18" i="3" a="1"/>
  <c r="N18" i="3" s="1"/>
  <c r="AO22" i="3" a="1"/>
  <c r="AO22" i="3" s="1"/>
  <c r="AK22" i="3" a="1"/>
  <c r="AK22" i="3" s="1"/>
  <c r="AH22" i="3" a="1"/>
  <c r="AH22" i="3" s="1"/>
  <c r="AD22" i="3" a="1"/>
  <c r="AD22" i="3" s="1"/>
  <c r="W22" i="3" a="1"/>
  <c r="W22" i="3" s="1"/>
  <c r="AN22" i="3" a="1"/>
  <c r="AN22" i="3" s="1"/>
  <c r="AJ22" i="3" a="1"/>
  <c r="AJ22" i="3" s="1"/>
  <c r="AG22" i="3" a="1"/>
  <c r="AG22" i="3" s="1"/>
  <c r="AC22" i="3" a="1"/>
  <c r="AC22" i="3" s="1"/>
  <c r="Z22" i="3" a="1"/>
  <c r="Z22" i="3" s="1"/>
  <c r="AM22" i="3" a="1"/>
  <c r="AM22" i="3" s="1"/>
  <c r="AI22" i="3" a="1"/>
  <c r="AI22" i="3" s="1"/>
  <c r="AF22" i="3" a="1"/>
  <c r="AF22" i="3" s="1"/>
  <c r="AB22" i="3" a="1"/>
  <c r="AB22" i="3" s="1"/>
  <c r="Y22" i="3" a="1"/>
  <c r="Y22" i="3" s="1"/>
  <c r="AE22" i="3" a="1"/>
  <c r="AE22" i="3" s="1"/>
  <c r="AP22" i="3" a="1"/>
  <c r="AP22" i="3" s="1"/>
  <c r="AA22" i="3" a="1"/>
  <c r="AA22" i="3" s="1"/>
  <c r="V22" i="3" a="1"/>
  <c r="V22" i="3" s="1"/>
  <c r="U22" i="3" a="1"/>
  <c r="U22" i="3" s="1"/>
  <c r="T22" i="3" a="1"/>
  <c r="T22" i="3" s="1"/>
  <c r="AL22" i="3" a="1"/>
  <c r="AL22" i="3" s="1"/>
  <c r="X22" i="3" a="1"/>
  <c r="X22" i="3" s="1"/>
  <c r="M22" i="3" a="1"/>
  <c r="M22" i="3" s="1"/>
  <c r="R22" i="3" a="1"/>
  <c r="R22" i="3" s="1"/>
  <c r="Q22" i="3" a="1"/>
  <c r="Q22" i="3" s="1"/>
  <c r="O22" i="3" a="1"/>
  <c r="O22" i="3" s="1"/>
  <c r="N22" i="3" a="1"/>
  <c r="N22" i="3" s="1"/>
  <c r="S22" i="3" a="1"/>
  <c r="S22" i="3" s="1"/>
  <c r="AK28" i="3" a="1"/>
  <c r="AK28" i="3" s="1"/>
  <c r="AH28" i="3" a="1"/>
  <c r="AH28" i="3" s="1"/>
  <c r="AE28" i="3" a="1"/>
  <c r="AE28" i="3" s="1"/>
  <c r="AA28" i="3" a="1"/>
  <c r="AA28" i="3" s="1"/>
  <c r="AN28" i="3" a="1"/>
  <c r="AN28" i="3" s="1"/>
  <c r="AJ28" i="3" a="1"/>
  <c r="AJ28" i="3" s="1"/>
  <c r="AG28" i="3" a="1"/>
  <c r="AG28" i="3" s="1"/>
  <c r="AD28" i="3" a="1"/>
  <c r="AD28" i="3" s="1"/>
  <c r="X28" i="3" a="1"/>
  <c r="X28" i="3" s="1"/>
  <c r="AP28" i="3" a="1"/>
  <c r="AP28" i="3" s="1"/>
  <c r="AM28" i="3" a="1"/>
  <c r="AM28" i="3" s="1"/>
  <c r="AI28" i="3" a="1"/>
  <c r="AI28" i="3" s="1"/>
  <c r="AC28" i="3" a="1"/>
  <c r="AC28" i="3" s="1"/>
  <c r="Z28" i="3" a="1"/>
  <c r="Z28" i="3" s="1"/>
  <c r="W28" i="3" a="1"/>
  <c r="W28" i="3" s="1"/>
  <c r="AF28" i="3" a="1"/>
  <c r="AF28" i="3" s="1"/>
  <c r="AO28" i="3" a="1"/>
  <c r="AO28" i="3" s="1"/>
  <c r="AB28" i="3" a="1"/>
  <c r="AB28" i="3" s="1"/>
  <c r="V28" i="3" a="1"/>
  <c r="V28" i="3" s="1"/>
  <c r="M28" i="3" a="1"/>
  <c r="M28" i="3" s="1"/>
  <c r="L28" i="3" a="1"/>
  <c r="L28" i="3" s="1"/>
  <c r="AL28" i="3" a="1"/>
  <c r="AL28" i="3" s="1"/>
  <c r="Y28" i="3" a="1"/>
  <c r="Y28" i="3" s="1"/>
  <c r="T28" i="3" a="1"/>
  <c r="T28" i="3" s="1"/>
  <c r="Q28" i="3" a="1"/>
  <c r="Q28" i="3" s="1"/>
  <c r="O28" i="3" a="1"/>
  <c r="O28" i="3" s="1"/>
  <c r="N28" i="3" a="1"/>
  <c r="N28" i="3" s="1"/>
  <c r="AO33" i="3" a="1"/>
  <c r="AO33" i="3" s="1"/>
  <c r="AL33" i="3" a="1"/>
  <c r="AL33" i="3" s="1"/>
  <c r="AH33" i="3" a="1"/>
  <c r="AH33" i="3" s="1"/>
  <c r="AB33" i="3" a="1"/>
  <c r="AB33" i="3" s="1"/>
  <c r="Y33" i="3" a="1"/>
  <c r="Y33" i="3" s="1"/>
  <c r="AN33" i="3" a="1"/>
  <c r="AN33" i="3" s="1"/>
  <c r="AK33" i="3" a="1"/>
  <c r="AK33" i="3" s="1"/>
  <c r="AG33" i="3" a="1"/>
  <c r="AG33" i="3" s="1"/>
  <c r="AD33" i="3" a="1"/>
  <c r="AD33" i="3" s="1"/>
  <c r="AA33" i="3" a="1"/>
  <c r="AA33" i="3" s="1"/>
  <c r="AM33" i="3" a="1"/>
  <c r="AM33" i="3" s="1"/>
  <c r="AJ33" i="3" a="1"/>
  <c r="AJ33" i="3" s="1"/>
  <c r="AF33" i="3" a="1"/>
  <c r="AF33" i="3" s="1"/>
  <c r="AC33" i="3" a="1"/>
  <c r="AC33" i="3" s="1"/>
  <c r="X33" i="3" a="1"/>
  <c r="X33" i="3" s="1"/>
  <c r="AI33" i="3" a="1"/>
  <c r="AI33" i="3" s="1"/>
  <c r="W33" i="3" a="1"/>
  <c r="W33" i="3" s="1"/>
  <c r="AE33" i="3" a="1"/>
  <c r="AE33" i="3" s="1"/>
  <c r="AP33" i="3" a="1"/>
  <c r="AP33" i="3" s="1"/>
  <c r="V33" i="3" a="1"/>
  <c r="V33" i="3" s="1"/>
  <c r="U33" i="3" a="1"/>
  <c r="U33" i="3" s="1"/>
  <c r="T33" i="3" a="1"/>
  <c r="T33" i="3" s="1"/>
  <c r="S33" i="3" a="1"/>
  <c r="S33" i="3" s="1"/>
  <c r="O33" i="3" a="1"/>
  <c r="O33" i="3" s="1"/>
  <c r="R33" i="3" a="1"/>
  <c r="R33" i="3" s="1"/>
  <c r="Z33" i="3" a="1"/>
  <c r="Z33" i="3" s="1"/>
  <c r="P33" i="3" a="1"/>
  <c r="P33" i="3" s="1"/>
  <c r="AN38" i="3" a="1"/>
  <c r="AN38" i="3" s="1"/>
  <c r="AJ38" i="3" a="1"/>
  <c r="AJ38" i="3" s="1"/>
  <c r="AG38" i="3" a="1"/>
  <c r="AG38" i="3" s="1"/>
  <c r="AC38" i="3" a="1"/>
  <c r="AC38" i="3" s="1"/>
  <c r="AM38" i="3" a="1"/>
  <c r="AM38" i="3" s="1"/>
  <c r="AI38" i="3" a="1"/>
  <c r="AI38" i="3" s="1"/>
  <c r="AF38" i="3" a="1"/>
  <c r="AF38" i="3" s="1"/>
  <c r="AK38" i="3" a="1"/>
  <c r="AK38" i="3" s="1"/>
  <c r="AD38" i="3" a="1"/>
  <c r="AD38" i="3" s="1"/>
  <c r="Z38" i="3" a="1"/>
  <c r="Z38" i="3" s="1"/>
  <c r="AP38" i="3" a="1"/>
  <c r="AP38" i="3" s="1"/>
  <c r="AB38" i="3" a="1"/>
  <c r="AB38" i="3" s="1"/>
  <c r="Y38" i="3" a="1"/>
  <c r="Y38" i="3" s="1"/>
  <c r="AO38" i="3" a="1"/>
  <c r="AO38" i="3" s="1"/>
  <c r="AH38" i="3" a="1"/>
  <c r="AH38" i="3" s="1"/>
  <c r="AA38" i="3" a="1"/>
  <c r="AA38" i="3" s="1"/>
  <c r="X38" i="3" a="1"/>
  <c r="X38" i="3" s="1"/>
  <c r="AL38" i="3" a="1"/>
  <c r="AL38" i="3" s="1"/>
  <c r="AE38" i="3" a="1"/>
  <c r="AE38" i="3" s="1"/>
  <c r="V38" i="3" a="1"/>
  <c r="V38" i="3" s="1"/>
  <c r="U38" i="3" a="1"/>
  <c r="U38" i="3" s="1"/>
  <c r="T38" i="3" a="1"/>
  <c r="T38" i="3" s="1"/>
  <c r="M38" i="3" a="1"/>
  <c r="M38" i="3" s="1"/>
  <c r="Q38" i="3" a="1"/>
  <c r="Q38" i="3" s="1"/>
  <c r="N38" i="3" a="1"/>
  <c r="N38" i="3" s="1"/>
  <c r="S38" i="3" a="1"/>
  <c r="S38" i="3" s="1"/>
  <c r="O38" i="3" a="1"/>
  <c r="O38" i="3" s="1"/>
  <c r="AO44" i="3" a="1"/>
  <c r="AO44" i="3" s="1"/>
  <c r="AL44" i="3" a="1"/>
  <c r="AL44" i="3" s="1"/>
  <c r="AI44" i="3" a="1"/>
  <c r="AI44" i="3" s="1"/>
  <c r="AC44" i="3" a="1"/>
  <c r="AC44" i="3" s="1"/>
  <c r="Y44" i="3" a="1"/>
  <c r="Y44" i="3" s="1"/>
  <c r="AN44" i="3" a="1"/>
  <c r="AN44" i="3" s="1"/>
  <c r="AH44" i="3" a="1"/>
  <c r="AH44" i="3" s="1"/>
  <c r="AE44" i="3" a="1"/>
  <c r="AE44" i="3" s="1"/>
  <c r="AB44" i="3" a="1"/>
  <c r="AB44" i="3" s="1"/>
  <c r="X44" i="3" a="1"/>
  <c r="X44" i="3" s="1"/>
  <c r="AK44" i="3" a="1"/>
  <c r="AK44" i="3" s="1"/>
  <c r="AG44" i="3" a="1"/>
  <c r="AG44" i="3" s="1"/>
  <c r="AF44" i="3" a="1"/>
  <c r="AF44" i="3" s="1"/>
  <c r="Z44" i="3" a="1"/>
  <c r="Z44" i="3" s="1"/>
  <c r="AP44" i="3" a="1"/>
  <c r="AP44" i="3" s="1"/>
  <c r="AD44" i="3" a="1"/>
  <c r="AD44" i="3" s="1"/>
  <c r="AM44" i="3" a="1"/>
  <c r="AM44" i="3" s="1"/>
  <c r="W44" i="3" a="1"/>
  <c r="W44" i="3" s="1"/>
  <c r="AA44" i="3" a="1"/>
  <c r="AA44" i="3" s="1"/>
  <c r="V44" i="3" a="1"/>
  <c r="V44" i="3" s="1"/>
  <c r="R44" i="3" a="1"/>
  <c r="R44" i="3" s="1"/>
  <c r="M44" i="3" a="1"/>
  <c r="M44" i="3" s="1"/>
  <c r="L44" i="3" a="1"/>
  <c r="L44" i="3" s="1"/>
  <c r="AJ44" i="3" a="1"/>
  <c r="AJ44" i="3" s="1"/>
  <c r="T44" i="3" a="1"/>
  <c r="T44" i="3" s="1"/>
  <c r="Q44" i="3" a="1"/>
  <c r="Q44" i="3" s="1"/>
  <c r="N44" i="3" a="1"/>
  <c r="N44" i="3" s="1"/>
  <c r="X49" i="3" a="1"/>
  <c r="X49" i="3" s="1"/>
  <c r="W49" i="3" a="1"/>
  <c r="W49" i="3" s="1"/>
  <c r="AN49" i="3" a="1"/>
  <c r="AN49" i="3" s="1"/>
  <c r="AJ49" i="3" a="1"/>
  <c r="AJ49" i="3" s="1"/>
  <c r="AF49" i="3" a="1"/>
  <c r="AF49" i="3" s="1"/>
  <c r="AB49" i="3" a="1"/>
  <c r="AB49" i="3" s="1"/>
  <c r="AM49" i="3" a="1"/>
  <c r="AM49" i="3" s="1"/>
  <c r="AI49" i="3" a="1"/>
  <c r="AI49" i="3" s="1"/>
  <c r="AE49" i="3" a="1"/>
  <c r="AE49" i="3" s="1"/>
  <c r="AA49" i="3" a="1"/>
  <c r="AA49" i="3" s="1"/>
  <c r="AP49" i="3" a="1"/>
  <c r="AP49" i="3" s="1"/>
  <c r="AL49" i="3" a="1"/>
  <c r="AL49" i="3" s="1"/>
  <c r="AH49" i="3" a="1"/>
  <c r="AH49" i="3" s="1"/>
  <c r="AD49" i="3" a="1"/>
  <c r="AD49" i="3" s="1"/>
  <c r="Z49" i="3" a="1"/>
  <c r="Z49" i="3" s="1"/>
  <c r="AG49" i="3" a="1"/>
  <c r="AG49" i="3" s="1"/>
  <c r="AC49" i="3" a="1"/>
  <c r="AC49" i="3" s="1"/>
  <c r="AO49" i="3" a="1"/>
  <c r="AO49" i="3" s="1"/>
  <c r="Y49" i="3" a="1"/>
  <c r="Y49" i="3" s="1"/>
  <c r="AK49" i="3" a="1"/>
  <c r="AK49" i="3" s="1"/>
  <c r="V49" i="3" a="1"/>
  <c r="V49" i="3" s="1"/>
  <c r="U49" i="3" a="1"/>
  <c r="U49" i="3" s="1"/>
  <c r="T49" i="3" a="1"/>
  <c r="T49" i="3" s="1"/>
  <c r="S49" i="3" a="1"/>
  <c r="S49" i="3" s="1"/>
  <c r="Q49" i="3" a="1"/>
  <c r="Q49" i="3" s="1"/>
  <c r="O49" i="3" a="1"/>
  <c r="O49" i="3" s="1"/>
  <c r="P49" i="3" a="1"/>
  <c r="P49" i="3" s="1"/>
  <c r="AK54" i="3" a="1"/>
  <c r="AK54" i="3" s="1"/>
  <c r="AG54" i="3" a="1"/>
  <c r="AG54" i="3" s="1"/>
  <c r="AA54" i="3" a="1"/>
  <c r="AA54" i="3" s="1"/>
  <c r="X54" i="3" a="1"/>
  <c r="X54" i="3" s="1"/>
  <c r="AM54" i="3" a="1"/>
  <c r="AM54" i="3" s="1"/>
  <c r="AH54" i="3" a="1"/>
  <c r="AH54" i="3" s="1"/>
  <c r="AD54" i="3" a="1"/>
  <c r="AD54" i="3" s="1"/>
  <c r="Y54" i="3" a="1"/>
  <c r="Y54" i="3" s="1"/>
  <c r="AP54" i="3" a="1"/>
  <c r="AP54" i="3" s="1"/>
  <c r="AL54" i="3" a="1"/>
  <c r="AL54" i="3" s="1"/>
  <c r="AC54" i="3" a="1"/>
  <c r="AC54" i="3" s="1"/>
  <c r="AO54" i="3" a="1"/>
  <c r="AO54" i="3" s="1"/>
  <c r="AJ54" i="3" a="1"/>
  <c r="AJ54" i="3" s="1"/>
  <c r="AF54" i="3" a="1"/>
  <c r="AF54" i="3" s="1"/>
  <c r="AB54" i="3" a="1"/>
  <c r="AB54" i="3" s="1"/>
  <c r="W54" i="3" a="1"/>
  <c r="W54" i="3" s="1"/>
  <c r="AN54" i="3" a="1"/>
  <c r="AN54" i="3" s="1"/>
  <c r="AI54" i="3" a="1"/>
  <c r="AI54" i="3" s="1"/>
  <c r="AE54" i="3" a="1"/>
  <c r="AE54" i="3" s="1"/>
  <c r="Z54" i="3" a="1"/>
  <c r="Z54" i="3" s="1"/>
  <c r="V54" i="3" a="1"/>
  <c r="V54" i="3" s="1"/>
  <c r="U54" i="3" a="1"/>
  <c r="U54" i="3" s="1"/>
  <c r="T54" i="3" a="1"/>
  <c r="T54" i="3" s="1"/>
  <c r="M54" i="3" a="1"/>
  <c r="M54" i="3" s="1"/>
  <c r="R54" i="3" a="1"/>
  <c r="R54" i="3" s="1"/>
  <c r="N54" i="3" a="1"/>
  <c r="N54" i="3" s="1"/>
  <c r="S54" i="3" a="1"/>
  <c r="S54" i="3" s="1"/>
  <c r="O54" i="3" a="1"/>
  <c r="O54" i="3" s="1"/>
  <c r="AL60" i="3" a="1"/>
  <c r="AL60" i="3" s="1"/>
  <c r="AF60" i="3" a="1"/>
  <c r="AF60" i="3" s="1"/>
  <c r="AC60" i="3" a="1"/>
  <c r="AC60" i="3" s="1"/>
  <c r="Z60" i="3" a="1"/>
  <c r="Z60" i="3" s="1"/>
  <c r="W60" i="3" a="1"/>
  <c r="W60" i="3" s="1"/>
  <c r="AN60" i="3" a="1"/>
  <c r="AN60" i="3" s="1"/>
  <c r="AK60" i="3" a="1"/>
  <c r="AK60" i="3" s="1"/>
  <c r="AH60" i="3" a="1"/>
  <c r="AH60" i="3" s="1"/>
  <c r="AE60" i="3" a="1"/>
  <c r="AE60" i="3" s="1"/>
  <c r="AB60" i="3" a="1"/>
  <c r="AB60" i="3" s="1"/>
  <c r="AP60" i="3" a="1"/>
  <c r="AP60" i="3" s="1"/>
  <c r="AJ60" i="3" a="1"/>
  <c r="AJ60" i="3" s="1"/>
  <c r="Y60" i="3" a="1"/>
  <c r="Y60" i="3" s="1"/>
  <c r="AO60" i="3" a="1"/>
  <c r="AO60" i="3" s="1"/>
  <c r="AI60" i="3" a="1"/>
  <c r="AI60" i="3" s="1"/>
  <c r="AD60" i="3" a="1"/>
  <c r="AD60" i="3" s="1"/>
  <c r="AM60" i="3" a="1"/>
  <c r="AM60" i="3" s="1"/>
  <c r="AG60" i="3" a="1"/>
  <c r="AG60" i="3" s="1"/>
  <c r="AA60" i="3" a="1"/>
  <c r="AA60" i="3" s="1"/>
  <c r="X60" i="3" a="1"/>
  <c r="X60" i="3" s="1"/>
  <c r="V60" i="3" a="1"/>
  <c r="V60" i="3" s="1"/>
  <c r="S60" i="3" a="1"/>
  <c r="S60" i="3" s="1"/>
  <c r="Q60" i="3" a="1"/>
  <c r="Q60" i="3" s="1"/>
  <c r="M60" i="3" a="1"/>
  <c r="M60" i="3" s="1"/>
  <c r="L60" i="3" a="1"/>
  <c r="L60" i="3" s="1"/>
  <c r="R60" i="3" a="1"/>
  <c r="R60" i="3" s="1"/>
  <c r="T60" i="3" a="1"/>
  <c r="T60" i="3" s="1"/>
  <c r="N60" i="3" a="1"/>
  <c r="N60" i="3" s="1"/>
  <c r="F7" i="3" a="1"/>
  <c r="F7" i="3" s="1"/>
  <c r="F11" i="3" a="1"/>
  <c r="F11" i="3" s="1"/>
  <c r="F15" i="3" a="1"/>
  <c r="F15" i="3" s="1"/>
  <c r="F19" i="3" a="1"/>
  <c r="F19" i="3" s="1"/>
  <c r="F32" i="3" a="1"/>
  <c r="F32" i="3" s="1"/>
  <c r="E8" i="3" a="1"/>
  <c r="E8" i="3" s="1"/>
  <c r="E12" i="3" a="1"/>
  <c r="E12" i="3" s="1"/>
  <c r="E16" i="3" a="1"/>
  <c r="E16" i="3" s="1"/>
  <c r="E20" i="3" a="1"/>
  <c r="E20" i="3" s="1"/>
  <c r="E24" i="3" a="1"/>
  <c r="E24" i="3" s="1"/>
  <c r="E28" i="3" a="1"/>
  <c r="E28" i="3" s="1"/>
  <c r="E32" i="3" a="1"/>
  <c r="E32" i="3" s="1"/>
  <c r="E36" i="3" a="1"/>
  <c r="E36" i="3" s="1"/>
  <c r="E43" i="3" a="1"/>
  <c r="E43" i="3" s="1"/>
  <c r="E46" i="3" a="1"/>
  <c r="E46" i="3" s="1"/>
  <c r="E49" i="3" a="1"/>
  <c r="E49" i="3" s="1"/>
  <c r="E52" i="3" a="1"/>
  <c r="E52" i="3" s="1"/>
  <c r="E59" i="3" a="1"/>
  <c r="E59" i="3" s="1"/>
  <c r="E62" i="3" a="1"/>
  <c r="E62" i="3" s="1"/>
  <c r="D5" i="3" a="1"/>
  <c r="D5" i="3" s="1"/>
  <c r="D8" i="3" a="1"/>
  <c r="D8" i="3" s="1"/>
  <c r="D15" i="3" a="1"/>
  <c r="D15" i="3" s="1"/>
  <c r="D18" i="3" a="1"/>
  <c r="D18" i="3" s="1"/>
  <c r="D21" i="3" a="1"/>
  <c r="D21" i="3" s="1"/>
  <c r="D24" i="3" a="1"/>
  <c r="D24" i="3" s="1"/>
  <c r="D31" i="3" a="1"/>
  <c r="D31" i="3" s="1"/>
  <c r="D37" i="3" a="1"/>
  <c r="D37" i="3" s="1"/>
  <c r="D40" i="3" a="1"/>
  <c r="D40" i="3" s="1"/>
  <c r="D47" i="3" a="1"/>
  <c r="D47" i="3" s="1"/>
  <c r="D50" i="3" a="1"/>
  <c r="D50" i="3" s="1"/>
  <c r="D53" i="3" a="1"/>
  <c r="D53" i="3" s="1"/>
  <c r="D56" i="3" a="1"/>
  <c r="D56" i="3" s="1"/>
  <c r="D63" i="3" a="1"/>
  <c r="D63" i="3" s="1"/>
  <c r="C6" i="3" a="1"/>
  <c r="C6" i="3" s="1"/>
  <c r="C9" i="3" a="1"/>
  <c r="C9" i="3" s="1"/>
  <c r="C12" i="3" a="1"/>
  <c r="C12" i="3" s="1"/>
  <c r="C19" i="3" a="1"/>
  <c r="C19" i="3" s="1"/>
  <c r="C22" i="3" a="1"/>
  <c r="C22" i="3" s="1"/>
  <c r="C25" i="3" a="1"/>
  <c r="C25" i="3" s="1"/>
  <c r="C28" i="3" a="1"/>
  <c r="C28" i="3" s="1"/>
  <c r="C35" i="3" a="1"/>
  <c r="C35" i="3" s="1"/>
  <c r="C38" i="3" a="1"/>
  <c r="C38" i="3" s="1"/>
  <c r="C41" i="3" a="1"/>
  <c r="C41" i="3" s="1"/>
  <c r="C44" i="3" a="1"/>
  <c r="C44" i="3" s="1"/>
  <c r="C54" i="3" a="1"/>
  <c r="C54" i="3" s="1"/>
  <c r="C60" i="3" a="1"/>
  <c r="C60" i="3" s="1"/>
  <c r="G7" i="3" a="1"/>
  <c r="G7" i="3" s="1"/>
  <c r="G10" i="3" a="1"/>
  <c r="G10" i="3" s="1"/>
  <c r="G13" i="3" a="1"/>
  <c r="G13" i="3" s="1"/>
  <c r="G16" i="3" a="1"/>
  <c r="G16" i="3" s="1"/>
  <c r="G23" i="3" a="1"/>
  <c r="G23" i="3" s="1"/>
  <c r="G26" i="3" a="1"/>
  <c r="G26" i="3" s="1"/>
  <c r="G29" i="3" a="1"/>
  <c r="G29" i="3" s="1"/>
  <c r="G32" i="3" a="1"/>
  <c r="G32" i="3" s="1"/>
  <c r="G39" i="3" a="1"/>
  <c r="G39" i="3" s="1"/>
  <c r="G42" i="3" a="1"/>
  <c r="G42" i="3" s="1"/>
  <c r="G45" i="3" a="1"/>
  <c r="G45" i="3" s="1"/>
  <c r="G48" i="3" a="1"/>
  <c r="G48" i="3" s="1"/>
  <c r="G55" i="3" a="1"/>
  <c r="G55" i="3" s="1"/>
  <c r="G58" i="3" a="1"/>
  <c r="G58" i="3" s="1"/>
  <c r="G61" i="3" a="1"/>
  <c r="G61" i="3" s="1"/>
  <c r="G64" i="3" a="1"/>
  <c r="G64" i="3" s="1"/>
  <c r="H11" i="3" a="1"/>
  <c r="H11" i="3" s="1"/>
  <c r="H14" i="3" a="1"/>
  <c r="H14" i="3" s="1"/>
  <c r="H17" i="3" a="1"/>
  <c r="H17" i="3" s="1"/>
  <c r="H27" i="3" a="1"/>
  <c r="H27" i="3" s="1"/>
  <c r="H33" i="3" a="1"/>
  <c r="H33" i="3" s="1"/>
  <c r="H36" i="3" a="1"/>
  <c r="H36" i="3" s="1"/>
  <c r="H43" i="3" a="1"/>
  <c r="H43" i="3" s="1"/>
  <c r="H46" i="3" a="1"/>
  <c r="H46" i="3" s="1"/>
  <c r="H49" i="3" a="1"/>
  <c r="H49" i="3" s="1"/>
  <c r="H59" i="3" a="1"/>
  <c r="H59" i="3" s="1"/>
  <c r="H62" i="3" a="1"/>
  <c r="H62" i="3" s="1"/>
  <c r="I5" i="3" a="1"/>
  <c r="I5" i="3" s="1"/>
  <c r="I8" i="3" a="1"/>
  <c r="I8" i="3" s="1"/>
  <c r="I15" i="3" a="1"/>
  <c r="I15" i="3" s="1"/>
  <c r="I18" i="3" a="1"/>
  <c r="I18" i="3" s="1"/>
  <c r="I22" i="3" a="1"/>
  <c r="I22" i="3" s="1"/>
  <c r="I25" i="3" a="1"/>
  <c r="I25" i="3" s="1"/>
  <c r="I29" i="3" a="1"/>
  <c r="I29" i="3" s="1"/>
  <c r="I32" i="3" a="1"/>
  <c r="I32" i="3" s="1"/>
  <c r="I36" i="3" a="1"/>
  <c r="I36" i="3" s="1"/>
  <c r="I47" i="3" a="1"/>
  <c r="I47" i="3" s="1"/>
  <c r="I53" i="3" a="1"/>
  <c r="I53" i="3" s="1"/>
  <c r="I56" i="3" a="1"/>
  <c r="I56" i="3" s="1"/>
  <c r="I63" i="3" a="1"/>
  <c r="I63" i="3" s="1"/>
  <c r="J6" i="3" a="1"/>
  <c r="J6" i="3" s="1"/>
  <c r="J10" i="3" a="1"/>
  <c r="J10" i="3" s="1"/>
  <c r="J17" i="3" a="1"/>
  <c r="J17" i="3" s="1"/>
  <c r="J21" i="3" a="1"/>
  <c r="J21" i="3" s="1"/>
  <c r="J24" i="3" a="1"/>
  <c r="J24" i="3" s="1"/>
  <c r="J28" i="3" a="1"/>
  <c r="J28" i="3" s="1"/>
  <c r="J31" i="3" a="1"/>
  <c r="J31" i="3" s="1"/>
  <c r="J35" i="3" a="1"/>
  <c r="J35" i="3" s="1"/>
  <c r="J41" i="3" a="1"/>
  <c r="J41" i="3" s="1"/>
  <c r="J45" i="3" a="1"/>
  <c r="J45" i="3" s="1"/>
  <c r="J48" i="3" a="1"/>
  <c r="J48" i="3" s="1"/>
  <c r="J54" i="3" a="1"/>
  <c r="J54" i="3" s="1"/>
  <c r="J58" i="3" a="1"/>
  <c r="J58" i="3" s="1"/>
  <c r="K5" i="3" a="1"/>
  <c r="K5" i="3" s="1"/>
  <c r="K8" i="3" a="1"/>
  <c r="K8" i="3" s="1"/>
  <c r="K11" i="3" a="1"/>
  <c r="K11" i="3" s="1"/>
  <c r="K18" i="3" a="1"/>
  <c r="K18" i="3" s="1"/>
  <c r="K22" i="3" a="1"/>
  <c r="K22" i="3" s="1"/>
  <c r="K25" i="3" a="1"/>
  <c r="K25" i="3" s="1"/>
  <c r="K28" i="3" a="1"/>
  <c r="K28" i="3" s="1"/>
  <c r="K32" i="3" a="1"/>
  <c r="K32" i="3" s="1"/>
  <c r="K35" i="3" a="1"/>
  <c r="K35" i="3" s="1"/>
  <c r="K39" i="3" a="1"/>
  <c r="K39" i="3" s="1"/>
  <c r="K45" i="3" a="1"/>
  <c r="K45" i="3" s="1"/>
  <c r="K49" i="3" a="1"/>
  <c r="K49" i="3" s="1"/>
  <c r="K64" i="3" a="1"/>
  <c r="K64" i="3" s="1"/>
  <c r="L9" i="3" a="1"/>
  <c r="L9" i="3" s="1"/>
  <c r="L22" i="3" a="1"/>
  <c r="L22" i="3" s="1"/>
  <c r="L54" i="3" a="1"/>
  <c r="L54" i="3" s="1"/>
  <c r="M33" i="3" a="1"/>
  <c r="M33" i="3" s="1"/>
  <c r="M45" i="3" a="1"/>
  <c r="M45" i="3" s="1"/>
  <c r="M58" i="3" a="1"/>
  <c r="M58" i="3" s="1"/>
  <c r="N37" i="3" a="1"/>
  <c r="N37" i="3" s="1"/>
  <c r="N49" i="3" a="1"/>
  <c r="N49" i="3" s="1"/>
  <c r="N62" i="3" a="1"/>
  <c r="N62" i="3" s="1"/>
  <c r="O14" i="3" a="1"/>
  <c r="O14" i="3" s="1"/>
  <c r="P6" i="3" a="1"/>
  <c r="P6" i="3" s="1"/>
  <c r="P32" i="3" a="1"/>
  <c r="P32" i="3" s="1"/>
  <c r="P44" i="3" a="1"/>
  <c r="P44" i="3" s="1"/>
  <c r="Q10" i="3" a="1"/>
  <c r="Q10" i="3" s="1"/>
  <c r="Q24" i="3" a="1"/>
  <c r="Q24" i="3" s="1"/>
  <c r="Q50" i="3" a="1"/>
  <c r="Q50" i="3" s="1"/>
  <c r="Q64" i="3" a="1"/>
  <c r="Q64" i="3" s="1"/>
  <c r="R17" i="3" a="1"/>
  <c r="R17" i="3" s="1"/>
  <c r="R31" i="3" a="1"/>
  <c r="R31" i="3" s="1"/>
  <c r="S37" i="3" a="1"/>
  <c r="S37" i="3" s="1"/>
  <c r="T8" i="3" a="1"/>
  <c r="T8" i="3" s="1"/>
  <c r="U60" i="3" a="1"/>
  <c r="U60" i="3" s="1"/>
  <c r="V64" i="3" a="1"/>
  <c r="V64" i="3" s="1"/>
  <c r="Z8" i="3" a="1"/>
  <c r="Z8" i="3" s="1"/>
  <c r="AD10" i="3" a="1"/>
  <c r="AD10" i="3" s="1"/>
  <c r="AI14" i="3" a="1"/>
  <c r="AI14" i="3" s="1"/>
  <c r="AE17" i="3" a="1"/>
  <c r="AE17" i="3" s="1"/>
  <c r="W38" i="3" a="1"/>
  <c r="W38" i="3" s="1"/>
  <c r="AN12" i="3" a="1"/>
  <c r="AN12" i="3" s="1"/>
  <c r="AK12" i="3" a="1"/>
  <c r="AK12" i="3" s="1"/>
  <c r="AF12" i="3" a="1"/>
  <c r="AF12" i="3" s="1"/>
  <c r="AC12" i="3" a="1"/>
  <c r="AC12" i="3" s="1"/>
  <c r="X12" i="3" a="1"/>
  <c r="X12" i="3" s="1"/>
  <c r="AP12" i="3" a="1"/>
  <c r="AP12" i="3" s="1"/>
  <c r="AM12" i="3" a="1"/>
  <c r="AM12" i="3" s="1"/>
  <c r="AH12" i="3" a="1"/>
  <c r="AH12" i="3" s="1"/>
  <c r="AE12" i="3" a="1"/>
  <c r="AE12" i="3" s="1"/>
  <c r="Z12" i="3" a="1"/>
  <c r="Z12" i="3" s="1"/>
  <c r="W12" i="3" a="1"/>
  <c r="W12" i="3" s="1"/>
  <c r="AO12" i="3" a="1"/>
  <c r="AO12" i="3" s="1"/>
  <c r="AJ12" i="3" a="1"/>
  <c r="AJ12" i="3" s="1"/>
  <c r="AG12" i="3" a="1"/>
  <c r="AG12" i="3" s="1"/>
  <c r="AB12" i="3" a="1"/>
  <c r="AB12" i="3" s="1"/>
  <c r="Y12" i="3" a="1"/>
  <c r="Y12" i="3" s="1"/>
  <c r="AD12" i="3" a="1"/>
  <c r="AD12" i="3" s="1"/>
  <c r="V12" i="3" a="1"/>
  <c r="V12" i="3" s="1"/>
  <c r="M12" i="3" a="1"/>
  <c r="M12" i="3" s="1"/>
  <c r="L12" i="3" a="1"/>
  <c r="L12" i="3" s="1"/>
  <c r="AL12" i="3" a="1"/>
  <c r="AL12" i="3" s="1"/>
  <c r="AA12" i="3" a="1"/>
  <c r="AA12" i="3" s="1"/>
  <c r="R12" i="3" a="1"/>
  <c r="R12" i="3" s="1"/>
  <c r="Q12" i="3" a="1"/>
  <c r="Q12" i="3" s="1"/>
  <c r="AI12" i="3" a="1"/>
  <c r="AI12" i="3" s="1"/>
  <c r="O12" i="3" a="1"/>
  <c r="O12" i="3" s="1"/>
  <c r="N12" i="3" a="1"/>
  <c r="N12" i="3" s="1"/>
  <c r="AO20" i="3" a="1"/>
  <c r="AO20" i="3" s="1"/>
  <c r="AL20" i="3" a="1"/>
  <c r="AL20" i="3" s="1"/>
  <c r="AE20" i="3" a="1"/>
  <c r="AE20" i="3" s="1"/>
  <c r="AB20" i="3" a="1"/>
  <c r="AB20" i="3" s="1"/>
  <c r="Y20" i="3" a="1"/>
  <c r="Y20" i="3" s="1"/>
  <c r="AN20" i="3" a="1"/>
  <c r="AN20" i="3" s="1"/>
  <c r="AK20" i="3" a="1"/>
  <c r="AK20" i="3" s="1"/>
  <c r="AH20" i="3" a="1"/>
  <c r="AH20" i="3" s="1"/>
  <c r="AA20" i="3" a="1"/>
  <c r="AA20" i="3" s="1"/>
  <c r="X20" i="3" a="1"/>
  <c r="X20" i="3" s="1"/>
  <c r="AM20" i="3" a="1"/>
  <c r="AM20" i="3" s="1"/>
  <c r="AJ20" i="3" a="1"/>
  <c r="AJ20" i="3" s="1"/>
  <c r="AG20" i="3" a="1"/>
  <c r="AG20" i="3" s="1"/>
  <c r="AD20" i="3" a="1"/>
  <c r="AD20" i="3" s="1"/>
  <c r="W20" i="3" a="1"/>
  <c r="W20" i="3" s="1"/>
  <c r="AF20" i="3" a="1"/>
  <c r="AF20" i="3" s="1"/>
  <c r="AP20" i="3" a="1"/>
  <c r="AP20" i="3" s="1"/>
  <c r="AC20" i="3" a="1"/>
  <c r="AC20" i="3" s="1"/>
  <c r="Z20" i="3" a="1"/>
  <c r="Z20" i="3" s="1"/>
  <c r="T20" i="3" a="1"/>
  <c r="T20" i="3" s="1"/>
  <c r="R20" i="3" a="1"/>
  <c r="R20" i="3" s="1"/>
  <c r="O20" i="3" a="1"/>
  <c r="O20" i="3" s="1"/>
  <c r="N20" i="3" a="1"/>
  <c r="N20" i="3" s="1"/>
  <c r="AI20" i="3" a="1"/>
  <c r="AI20" i="3" s="1"/>
  <c r="U20" i="3" a="1"/>
  <c r="U20" i="3" s="1"/>
  <c r="S20" i="3" a="1"/>
  <c r="S20" i="3" s="1"/>
  <c r="P20" i="3" a="1"/>
  <c r="P20" i="3" s="1"/>
  <c r="V20" i="3" a="1"/>
  <c r="V20" i="3" s="1"/>
  <c r="M20" i="3" a="1"/>
  <c r="M20" i="3" s="1"/>
  <c r="L20" i="3" a="1"/>
  <c r="L20" i="3" s="1"/>
  <c r="AN30" i="3" a="1"/>
  <c r="AN30" i="3" s="1"/>
  <c r="AJ30" i="3" a="1"/>
  <c r="AJ30" i="3" s="1"/>
  <c r="AG30" i="3" a="1"/>
  <c r="AG30" i="3" s="1"/>
  <c r="AD30" i="3" a="1"/>
  <c r="AD30" i="3" s="1"/>
  <c r="X30" i="3" a="1"/>
  <c r="X30" i="3" s="1"/>
  <c r="AP30" i="3" a="1"/>
  <c r="AP30" i="3" s="1"/>
  <c r="AM30" i="3" a="1"/>
  <c r="AM30" i="3" s="1"/>
  <c r="AI30" i="3" a="1"/>
  <c r="AI30" i="3" s="1"/>
  <c r="AC30" i="3" a="1"/>
  <c r="AC30" i="3" s="1"/>
  <c r="Z30" i="3" a="1"/>
  <c r="Z30" i="3" s="1"/>
  <c r="W30" i="3" a="1"/>
  <c r="W30" i="3" s="1"/>
  <c r="AO30" i="3" a="1"/>
  <c r="AO30" i="3" s="1"/>
  <c r="AL30" i="3" a="1"/>
  <c r="AL30" i="3" s="1"/>
  <c r="AF30" i="3" a="1"/>
  <c r="AF30" i="3" s="1"/>
  <c r="AB30" i="3" a="1"/>
  <c r="AB30" i="3" s="1"/>
  <c r="Y30" i="3" a="1"/>
  <c r="Y30" i="3" s="1"/>
  <c r="AH30" i="3" a="1"/>
  <c r="AH30" i="3" s="1"/>
  <c r="AE30" i="3" a="1"/>
  <c r="AE30" i="3" s="1"/>
  <c r="V30" i="3" a="1"/>
  <c r="V30" i="3" s="1"/>
  <c r="U30" i="3" a="1"/>
  <c r="U30" i="3" s="1"/>
  <c r="T30" i="3" a="1"/>
  <c r="T30" i="3" s="1"/>
  <c r="AA30" i="3" a="1"/>
  <c r="AA30" i="3" s="1"/>
  <c r="S30" i="3" a="1"/>
  <c r="S30" i="3" s="1"/>
  <c r="R30" i="3" a="1"/>
  <c r="R30" i="3" s="1"/>
  <c r="Q30" i="3" a="1"/>
  <c r="Q30" i="3" s="1"/>
  <c r="P30" i="3" a="1"/>
  <c r="P30" i="3" s="1"/>
  <c r="AK30" i="3" a="1"/>
  <c r="AK30" i="3" s="1"/>
  <c r="M30" i="3" a="1"/>
  <c r="M30" i="3" s="1"/>
  <c r="AP41" i="3" a="1"/>
  <c r="AP41" i="3" s="1"/>
  <c r="AM41" i="3" a="1"/>
  <c r="AM41" i="3" s="1"/>
  <c r="AJ41" i="3" a="1"/>
  <c r="AJ41" i="3" s="1"/>
  <c r="AG41" i="3" a="1"/>
  <c r="AG41" i="3" s="1"/>
  <c r="AC41" i="3" a="1"/>
  <c r="AC41" i="3" s="1"/>
  <c r="AL41" i="3" a="1"/>
  <c r="AL41" i="3" s="1"/>
  <c r="AI41" i="3" a="1"/>
  <c r="AI41" i="3" s="1"/>
  <c r="AF41" i="3" a="1"/>
  <c r="AF41" i="3" s="1"/>
  <c r="AB41" i="3" a="1"/>
  <c r="AB41" i="3" s="1"/>
  <c r="Y41" i="3" a="1"/>
  <c r="Y41" i="3" s="1"/>
  <c r="AN41" i="3" a="1"/>
  <c r="AN41" i="3" s="1"/>
  <c r="Z41" i="3" a="1"/>
  <c r="Z41" i="3" s="1"/>
  <c r="AE41" i="3" a="1"/>
  <c r="AE41" i="3" s="1"/>
  <c r="X41" i="3" a="1"/>
  <c r="X41" i="3" s="1"/>
  <c r="AK41" i="3" a="1"/>
  <c r="AK41" i="3" s="1"/>
  <c r="AD41" i="3" a="1"/>
  <c r="AD41" i="3" s="1"/>
  <c r="W41" i="3" a="1"/>
  <c r="W41" i="3" s="1"/>
  <c r="AH41" i="3" a="1"/>
  <c r="AH41" i="3" s="1"/>
  <c r="AA41" i="3" a="1"/>
  <c r="AA41" i="3" s="1"/>
  <c r="V41" i="3" a="1"/>
  <c r="V41" i="3" s="1"/>
  <c r="U41" i="3" a="1"/>
  <c r="U41" i="3" s="1"/>
  <c r="T41" i="3" a="1"/>
  <c r="T41" i="3" s="1"/>
  <c r="AO41" i="3" a="1"/>
  <c r="AO41" i="3" s="1"/>
  <c r="R41" i="3" a="1"/>
  <c r="R41" i="3" s="1"/>
  <c r="P41" i="3" a="1"/>
  <c r="P41" i="3" s="1"/>
  <c r="Q41" i="3" a="1"/>
  <c r="Q41" i="3" s="1"/>
  <c r="N41" i="3" a="1"/>
  <c r="N41" i="3" s="1"/>
  <c r="M41" i="3" a="1"/>
  <c r="M41" i="3" s="1"/>
  <c r="S41" i="3" a="1"/>
  <c r="S41" i="3" s="1"/>
  <c r="O41" i="3" a="1"/>
  <c r="O41" i="3" s="1"/>
  <c r="AK52" i="3" a="1"/>
  <c r="AK52" i="3" s="1"/>
  <c r="AG52" i="3" a="1"/>
  <c r="AG52" i="3" s="1"/>
  <c r="AA52" i="3" a="1"/>
  <c r="AA52" i="3" s="1"/>
  <c r="X52" i="3" a="1"/>
  <c r="X52" i="3" s="1"/>
  <c r="AM52" i="3" a="1"/>
  <c r="AM52" i="3" s="1"/>
  <c r="AH52" i="3" a="1"/>
  <c r="AH52" i="3" s="1"/>
  <c r="AD52" i="3" a="1"/>
  <c r="AD52" i="3" s="1"/>
  <c r="Y52" i="3" a="1"/>
  <c r="Y52" i="3" s="1"/>
  <c r="AP52" i="3" a="1"/>
  <c r="AP52" i="3" s="1"/>
  <c r="AL52" i="3" a="1"/>
  <c r="AL52" i="3" s="1"/>
  <c r="AC52" i="3" a="1"/>
  <c r="AC52" i="3" s="1"/>
  <c r="AO52" i="3" a="1"/>
  <c r="AO52" i="3" s="1"/>
  <c r="AJ52" i="3" a="1"/>
  <c r="AJ52" i="3" s="1"/>
  <c r="AF52" i="3" a="1"/>
  <c r="AF52" i="3" s="1"/>
  <c r="AB52" i="3" a="1"/>
  <c r="AB52" i="3" s="1"/>
  <c r="W52" i="3" a="1"/>
  <c r="W52" i="3" s="1"/>
  <c r="Z52" i="3" a="1"/>
  <c r="Z52" i="3" s="1"/>
  <c r="AN52" i="3" a="1"/>
  <c r="AN52" i="3" s="1"/>
  <c r="AI52" i="3" a="1"/>
  <c r="AI52" i="3" s="1"/>
  <c r="AE52" i="3" a="1"/>
  <c r="AE52" i="3" s="1"/>
  <c r="T52" i="3" a="1"/>
  <c r="T52" i="3" s="1"/>
  <c r="N52" i="3" a="1"/>
  <c r="N52" i="3" s="1"/>
  <c r="U52" i="3" a="1"/>
  <c r="U52" i="3" s="1"/>
  <c r="S52" i="3" a="1"/>
  <c r="S52" i="3" s="1"/>
  <c r="Q52" i="3" a="1"/>
  <c r="Q52" i="3" s="1"/>
  <c r="P52" i="3" a="1"/>
  <c r="P52" i="3" s="1"/>
  <c r="O52" i="3" a="1"/>
  <c r="O52" i="3" s="1"/>
  <c r="V52" i="3" a="1"/>
  <c r="V52" i="3" s="1"/>
  <c r="M52" i="3" a="1"/>
  <c r="M52" i="3" s="1"/>
  <c r="L52" i="3" a="1"/>
  <c r="L52" i="3" s="1"/>
  <c r="AP57" i="3" a="1"/>
  <c r="AP57" i="3" s="1"/>
  <c r="AI57" i="3" a="1"/>
  <c r="AI57" i="3" s="1"/>
  <c r="AF57" i="3" a="1"/>
  <c r="AF57" i="3" s="1"/>
  <c r="AC57" i="3" a="1"/>
  <c r="AC57" i="3" s="1"/>
  <c r="Z57" i="3" a="1"/>
  <c r="Z57" i="3" s="1"/>
  <c r="AL57" i="3" a="1"/>
  <c r="AL57" i="3" s="1"/>
  <c r="AH57" i="3" a="1"/>
  <c r="AH57" i="3" s="1"/>
  <c r="AD57" i="3" a="1"/>
  <c r="AD57" i="3" s="1"/>
  <c r="Y57" i="3" a="1"/>
  <c r="Y57" i="3" s="1"/>
  <c r="AO57" i="3" a="1"/>
  <c r="AO57" i="3" s="1"/>
  <c r="AK57" i="3" a="1"/>
  <c r="AK57" i="3" s="1"/>
  <c r="AG57" i="3" a="1"/>
  <c r="AG57" i="3" s="1"/>
  <c r="AB57" i="3" a="1"/>
  <c r="AB57" i="3" s="1"/>
  <c r="X57" i="3" a="1"/>
  <c r="X57" i="3" s="1"/>
  <c r="AN57" i="3" a="1"/>
  <c r="AN57" i="3" s="1"/>
  <c r="AJ57" i="3" a="1"/>
  <c r="AJ57" i="3" s="1"/>
  <c r="AE57" i="3" a="1"/>
  <c r="AE57" i="3" s="1"/>
  <c r="AA57" i="3" a="1"/>
  <c r="AA57" i="3" s="1"/>
  <c r="W57" i="3" a="1"/>
  <c r="W57" i="3" s="1"/>
  <c r="AM57" i="3" a="1"/>
  <c r="AM57" i="3" s="1"/>
  <c r="S57" i="3" a="1"/>
  <c r="S57" i="3" s="1"/>
  <c r="V57" i="3" a="1"/>
  <c r="V57" i="3" s="1"/>
  <c r="U57" i="3" a="1"/>
  <c r="U57" i="3" s="1"/>
  <c r="T57" i="3" a="1"/>
  <c r="T57" i="3" s="1"/>
  <c r="P57" i="3" a="1"/>
  <c r="P57" i="3" s="1"/>
  <c r="R57" i="3" a="1"/>
  <c r="R57" i="3" s="1"/>
  <c r="N57" i="3" a="1"/>
  <c r="N57" i="3" s="1"/>
  <c r="M57" i="3" a="1"/>
  <c r="M57" i="3" s="1"/>
  <c r="O57" i="3" a="1"/>
  <c r="O57" i="3" s="1"/>
  <c r="E6" i="3" a="1"/>
  <c r="E6" i="3" s="1"/>
  <c r="E18" i="3" a="1"/>
  <c r="E18" i="3" s="1"/>
  <c r="E34" i="3" a="1"/>
  <c r="E34" i="3" s="1"/>
  <c r="C20" i="3" a="1"/>
  <c r="C20" i="3" s="1"/>
  <c r="C52" i="3" a="1"/>
  <c r="C52" i="3" s="1"/>
  <c r="AO7" i="3" a="1"/>
  <c r="AO7" i="3" s="1"/>
  <c r="AK7" i="3" a="1"/>
  <c r="AK7" i="3" s="1"/>
  <c r="AG7" i="3" a="1"/>
  <c r="AG7" i="3" s="1"/>
  <c r="AC7" i="3" a="1"/>
  <c r="AC7" i="3" s="1"/>
  <c r="Y7" i="3" a="1"/>
  <c r="Y7" i="3" s="1"/>
  <c r="V7" i="3" a="1"/>
  <c r="V7" i="3" s="1"/>
  <c r="U7" i="3" a="1"/>
  <c r="U7" i="3" s="1"/>
  <c r="T7" i="3" a="1"/>
  <c r="T7" i="3" s="1"/>
  <c r="AN7" i="3" a="1"/>
  <c r="AN7" i="3" s="1"/>
  <c r="AJ7" i="3" a="1"/>
  <c r="AJ7" i="3" s="1"/>
  <c r="AF7" i="3" a="1"/>
  <c r="AF7" i="3" s="1"/>
  <c r="AB7" i="3" a="1"/>
  <c r="AB7" i="3" s="1"/>
  <c r="X7" i="3" a="1"/>
  <c r="X7" i="3" s="1"/>
  <c r="AM7" i="3" a="1"/>
  <c r="AM7" i="3" s="1"/>
  <c r="AI7" i="3" a="1"/>
  <c r="AI7" i="3" s="1"/>
  <c r="AE7" i="3" a="1"/>
  <c r="AE7" i="3" s="1"/>
  <c r="AA7" i="3" a="1"/>
  <c r="AA7" i="3" s="1"/>
  <c r="W7" i="3" a="1"/>
  <c r="W7" i="3" s="1"/>
  <c r="AP7" i="3" a="1"/>
  <c r="AP7" i="3" s="1"/>
  <c r="Z7" i="3" a="1"/>
  <c r="Z7" i="3" s="1"/>
  <c r="S7" i="3" a="1"/>
  <c r="S7" i="3" s="1"/>
  <c r="N7" i="3" a="1"/>
  <c r="N7" i="3" s="1"/>
  <c r="AL7" i="3" a="1"/>
  <c r="AL7" i="3" s="1"/>
  <c r="O7" i="3" a="1"/>
  <c r="O7" i="3" s="1"/>
  <c r="AH7" i="3" a="1"/>
  <c r="AH7" i="3" s="1"/>
  <c r="P7" i="3" a="1"/>
  <c r="P7" i="3" s="1"/>
  <c r="L7" i="3" a="1"/>
  <c r="L7" i="3" s="1"/>
  <c r="AO11" i="3" a="1"/>
  <c r="AO11" i="3" s="1"/>
  <c r="AJ11" i="3" a="1"/>
  <c r="AJ11" i="3" s="1"/>
  <c r="AG11" i="3" a="1"/>
  <c r="AG11" i="3" s="1"/>
  <c r="AB11" i="3" a="1"/>
  <c r="AB11" i="3" s="1"/>
  <c r="Y11" i="3" a="1"/>
  <c r="Y11" i="3" s="1"/>
  <c r="V11" i="3" a="1"/>
  <c r="V11" i="3" s="1"/>
  <c r="U11" i="3" a="1"/>
  <c r="U11" i="3" s="1"/>
  <c r="AL11" i="3" a="1"/>
  <c r="AL11" i="3" s="1"/>
  <c r="AI11" i="3" a="1"/>
  <c r="AI11" i="3" s="1"/>
  <c r="AD11" i="3" a="1"/>
  <c r="AD11" i="3" s="1"/>
  <c r="AA11" i="3" a="1"/>
  <c r="AA11" i="3" s="1"/>
  <c r="AN11" i="3" a="1"/>
  <c r="AN11" i="3" s="1"/>
  <c r="AK11" i="3" a="1"/>
  <c r="AK11" i="3" s="1"/>
  <c r="AF11" i="3" a="1"/>
  <c r="AF11" i="3" s="1"/>
  <c r="AC11" i="3" a="1"/>
  <c r="AC11" i="3" s="1"/>
  <c r="X11" i="3" a="1"/>
  <c r="X11" i="3" s="1"/>
  <c r="AM11" i="3" a="1"/>
  <c r="AM11" i="3" s="1"/>
  <c r="T11" i="3" a="1"/>
  <c r="T11" i="3" s="1"/>
  <c r="S11" i="3" a="1"/>
  <c r="S11" i="3" s="1"/>
  <c r="O11" i="3" a="1"/>
  <c r="O11" i="3" s="1"/>
  <c r="Z11" i="3" a="1"/>
  <c r="Z11" i="3" s="1"/>
  <c r="P11" i="3" a="1"/>
  <c r="P11" i="3" s="1"/>
  <c r="AH11" i="3" a="1"/>
  <c r="AH11" i="3" s="1"/>
  <c r="W11" i="3" a="1"/>
  <c r="W11" i="3" s="1"/>
  <c r="R11" i="3" a="1"/>
  <c r="R11" i="3" s="1"/>
  <c r="Q11" i="3" a="1"/>
  <c r="Q11" i="3" s="1"/>
  <c r="M11" i="3" a="1"/>
  <c r="M11" i="3" s="1"/>
  <c r="AO15" i="3" a="1"/>
  <c r="AO15" i="3" s="1"/>
  <c r="AJ15" i="3" a="1"/>
  <c r="AJ15" i="3" s="1"/>
  <c r="AG15" i="3" a="1"/>
  <c r="AG15" i="3" s="1"/>
  <c r="AB15" i="3" a="1"/>
  <c r="AB15" i="3" s="1"/>
  <c r="Y15" i="3" a="1"/>
  <c r="Y15" i="3" s="1"/>
  <c r="V15" i="3" a="1"/>
  <c r="V15" i="3" s="1"/>
  <c r="U15" i="3" a="1"/>
  <c r="U15" i="3" s="1"/>
  <c r="AL15" i="3" a="1"/>
  <c r="AL15" i="3" s="1"/>
  <c r="AI15" i="3" a="1"/>
  <c r="AI15" i="3" s="1"/>
  <c r="AD15" i="3" a="1"/>
  <c r="AD15" i="3" s="1"/>
  <c r="AA15" i="3" a="1"/>
  <c r="AA15" i="3" s="1"/>
  <c r="T15" i="3" a="1"/>
  <c r="T15" i="3" s="1"/>
  <c r="AN15" i="3" a="1"/>
  <c r="AN15" i="3" s="1"/>
  <c r="AK15" i="3" a="1"/>
  <c r="AK15" i="3" s="1"/>
  <c r="AF15" i="3" a="1"/>
  <c r="AF15" i="3" s="1"/>
  <c r="AC15" i="3" a="1"/>
  <c r="AC15" i="3" s="1"/>
  <c r="X15" i="3" a="1"/>
  <c r="X15" i="3" s="1"/>
  <c r="AH15" i="3" a="1"/>
  <c r="AH15" i="3" s="1"/>
  <c r="W15" i="3" a="1"/>
  <c r="W15" i="3" s="1"/>
  <c r="P15" i="3" a="1"/>
  <c r="P15" i="3" s="1"/>
  <c r="L15" i="3" a="1"/>
  <c r="L15" i="3" s="1"/>
  <c r="AP15" i="3" a="1"/>
  <c r="AP15" i="3" s="1"/>
  <c r="AE15" i="3" a="1"/>
  <c r="AE15" i="3" s="1"/>
  <c r="R15" i="3" a="1"/>
  <c r="R15" i="3" s="1"/>
  <c r="Q15" i="3" a="1"/>
  <c r="Q15" i="3" s="1"/>
  <c r="M15" i="3" a="1"/>
  <c r="M15" i="3" s="1"/>
  <c r="AM15" i="3" a="1"/>
  <c r="AM15" i="3" s="1"/>
  <c r="S15" i="3" a="1"/>
  <c r="S15" i="3" s="1"/>
  <c r="O15" i="3" a="1"/>
  <c r="O15" i="3" s="1"/>
  <c r="N15" i="3" a="1"/>
  <c r="N15" i="3" s="1"/>
  <c r="AP19" i="3" a="1"/>
  <c r="AP19" i="3" s="1"/>
  <c r="AI19" i="3" a="1"/>
  <c r="AI19" i="3" s="1"/>
  <c r="AF19" i="3" a="1"/>
  <c r="AF19" i="3" s="1"/>
  <c r="AC19" i="3" a="1"/>
  <c r="AC19" i="3" s="1"/>
  <c r="Z19" i="3" a="1"/>
  <c r="Z19" i="3" s="1"/>
  <c r="AO19" i="3" a="1"/>
  <c r="AO19" i="3" s="1"/>
  <c r="AL19" i="3" a="1"/>
  <c r="AL19" i="3" s="1"/>
  <c r="AE19" i="3" a="1"/>
  <c r="AE19" i="3" s="1"/>
  <c r="AB19" i="3" a="1"/>
  <c r="AB19" i="3" s="1"/>
  <c r="Y19" i="3" a="1"/>
  <c r="Y19" i="3" s="1"/>
  <c r="AN19" i="3" a="1"/>
  <c r="AN19" i="3" s="1"/>
  <c r="AK19" i="3" a="1"/>
  <c r="AK19" i="3" s="1"/>
  <c r="AH19" i="3" a="1"/>
  <c r="AH19" i="3" s="1"/>
  <c r="AA19" i="3" a="1"/>
  <c r="AA19" i="3" s="1"/>
  <c r="X19" i="3" a="1"/>
  <c r="X19" i="3" s="1"/>
  <c r="AM19" i="3" a="1"/>
  <c r="AM19" i="3" s="1"/>
  <c r="V19" i="3" a="1"/>
  <c r="V19" i="3" s="1"/>
  <c r="U19" i="3" a="1"/>
  <c r="U19" i="3" s="1"/>
  <c r="T19" i="3" a="1"/>
  <c r="T19" i="3" s="1"/>
  <c r="AJ19" i="3" a="1"/>
  <c r="AJ19" i="3" s="1"/>
  <c r="W19" i="3" a="1"/>
  <c r="W19" i="3" s="1"/>
  <c r="AG19" i="3" a="1"/>
  <c r="AG19" i="3" s="1"/>
  <c r="Q19" i="3" a="1"/>
  <c r="Q19" i="3" s="1"/>
  <c r="M19" i="3" a="1"/>
  <c r="M19" i="3" s="1"/>
  <c r="R19" i="3" a="1"/>
  <c r="R19" i="3" s="1"/>
  <c r="O19" i="3" a="1"/>
  <c r="O19" i="3" s="1"/>
  <c r="N19" i="3" a="1"/>
  <c r="N19" i="3" s="1"/>
  <c r="S19" i="3" a="1"/>
  <c r="S19" i="3" s="1"/>
  <c r="AN24" i="3" a="1"/>
  <c r="AN24" i="3" s="1"/>
  <c r="AJ24" i="3" a="1"/>
  <c r="AJ24" i="3" s="1"/>
  <c r="AG24" i="3" a="1"/>
  <c r="AG24" i="3" s="1"/>
  <c r="AC24" i="3" a="1"/>
  <c r="AC24" i="3" s="1"/>
  <c r="Z24" i="3" a="1"/>
  <c r="Z24" i="3" s="1"/>
  <c r="AM24" i="3" a="1"/>
  <c r="AM24" i="3" s="1"/>
  <c r="AI24" i="3" a="1"/>
  <c r="AI24" i="3" s="1"/>
  <c r="AF24" i="3" a="1"/>
  <c r="AF24" i="3" s="1"/>
  <c r="AB24" i="3" a="1"/>
  <c r="AB24" i="3" s="1"/>
  <c r="Y24" i="3" a="1"/>
  <c r="Y24" i="3" s="1"/>
  <c r="AP24" i="3" a="1"/>
  <c r="AP24" i="3" s="1"/>
  <c r="AL24" i="3" a="1"/>
  <c r="AL24" i="3" s="1"/>
  <c r="AE24" i="3" a="1"/>
  <c r="AE24" i="3" s="1"/>
  <c r="AA24" i="3" a="1"/>
  <c r="AA24" i="3" s="1"/>
  <c r="X24" i="3" a="1"/>
  <c r="X24" i="3" s="1"/>
  <c r="AH24" i="3" a="1"/>
  <c r="AH24" i="3" s="1"/>
  <c r="AD24" i="3" a="1"/>
  <c r="AD24" i="3" s="1"/>
  <c r="AO24" i="3" a="1"/>
  <c r="AO24" i="3" s="1"/>
  <c r="W24" i="3" a="1"/>
  <c r="W24" i="3" s="1"/>
  <c r="U24" i="3" a="1"/>
  <c r="U24" i="3" s="1"/>
  <c r="L24" i="3" a="1"/>
  <c r="L24" i="3" s="1"/>
  <c r="V24" i="3" a="1"/>
  <c r="V24" i="3" s="1"/>
  <c r="P24" i="3" a="1"/>
  <c r="P24" i="3" s="1"/>
  <c r="N24" i="3" a="1"/>
  <c r="N24" i="3" s="1"/>
  <c r="M24" i="3" a="1"/>
  <c r="M24" i="3" s="1"/>
  <c r="AN29" i="3" a="1"/>
  <c r="AN29" i="3" s="1"/>
  <c r="AK29" i="3" a="1"/>
  <c r="AK29" i="3" s="1"/>
  <c r="AG29" i="3" a="1"/>
  <c r="AG29" i="3" s="1"/>
  <c r="AD29" i="3" a="1"/>
  <c r="AD29" i="3" s="1"/>
  <c r="AA29" i="3" a="1"/>
  <c r="AA29" i="3" s="1"/>
  <c r="W29" i="3" a="1"/>
  <c r="W29" i="3" s="1"/>
  <c r="AM29" i="3" a="1"/>
  <c r="AM29" i="3" s="1"/>
  <c r="AJ29" i="3" a="1"/>
  <c r="AJ29" i="3" s="1"/>
  <c r="AF29" i="3" a="1"/>
  <c r="AF29" i="3" s="1"/>
  <c r="AC29" i="3" a="1"/>
  <c r="AC29" i="3" s="1"/>
  <c r="Z29" i="3" a="1"/>
  <c r="Z29" i="3" s="1"/>
  <c r="AP29" i="3" a="1"/>
  <c r="AP29" i="3" s="1"/>
  <c r="AI29" i="3" a="1"/>
  <c r="AI29" i="3" s="1"/>
  <c r="AE29" i="3" a="1"/>
  <c r="AE29" i="3" s="1"/>
  <c r="Y29" i="3" a="1"/>
  <c r="Y29" i="3" s="1"/>
  <c r="AO29" i="3" a="1"/>
  <c r="AO29" i="3" s="1"/>
  <c r="AB29" i="3" a="1"/>
  <c r="AB29" i="3" s="1"/>
  <c r="AL29" i="3" a="1"/>
  <c r="AL29" i="3" s="1"/>
  <c r="X29" i="3" a="1"/>
  <c r="X29" i="3" s="1"/>
  <c r="AH29" i="3" a="1"/>
  <c r="AH29" i="3" s="1"/>
  <c r="V29" i="3" a="1"/>
  <c r="V29" i="3" s="1"/>
  <c r="U29" i="3" a="1"/>
  <c r="U29" i="3" s="1"/>
  <c r="T29" i="3" a="1"/>
  <c r="T29" i="3" s="1"/>
  <c r="S29" i="3" a="1"/>
  <c r="S29" i="3" s="1"/>
  <c r="R29" i="3" a="1"/>
  <c r="R29" i="3" s="1"/>
  <c r="Q29" i="3" a="1"/>
  <c r="Q29" i="3" s="1"/>
  <c r="O29" i="3" a="1"/>
  <c r="O29" i="3" s="1"/>
  <c r="N29" i="3" a="1"/>
  <c r="N29" i="3" s="1"/>
  <c r="P29" i="3" a="1"/>
  <c r="P29" i="3" s="1"/>
  <c r="AP34" i="3" a="1"/>
  <c r="AP34" i="3" s="1"/>
  <c r="AL34" i="3" a="1"/>
  <c r="AL34" i="3" s="1"/>
  <c r="AI34" i="3" a="1"/>
  <c r="AI34" i="3" s="1"/>
  <c r="AF34" i="3" a="1"/>
  <c r="AF34" i="3" s="1"/>
  <c r="AB34" i="3" a="1"/>
  <c r="AB34" i="3" s="1"/>
  <c r="Y34" i="3" a="1"/>
  <c r="Y34" i="3" s="1"/>
  <c r="AO34" i="3" a="1"/>
  <c r="AO34" i="3" s="1"/>
  <c r="AK34" i="3" a="1"/>
  <c r="AK34" i="3" s="1"/>
  <c r="AE34" i="3" a="1"/>
  <c r="AE34" i="3" s="1"/>
  <c r="AA34" i="3" a="1"/>
  <c r="AA34" i="3" s="1"/>
  <c r="X34" i="3" a="1"/>
  <c r="X34" i="3" s="1"/>
  <c r="AN34" i="3" a="1"/>
  <c r="AN34" i="3" s="1"/>
  <c r="AH34" i="3" a="1"/>
  <c r="AH34" i="3" s="1"/>
  <c r="AD34" i="3" a="1"/>
  <c r="AD34" i="3" s="1"/>
  <c r="W34" i="3" a="1"/>
  <c r="W34" i="3" s="1"/>
  <c r="AC34" i="3" a="1"/>
  <c r="AC34" i="3" s="1"/>
  <c r="AM34" i="3" a="1"/>
  <c r="AM34" i="3" s="1"/>
  <c r="Z34" i="3" a="1"/>
  <c r="Z34" i="3" s="1"/>
  <c r="V34" i="3" a="1"/>
  <c r="V34" i="3" s="1"/>
  <c r="U34" i="3" a="1"/>
  <c r="U34" i="3" s="1"/>
  <c r="T34" i="3" a="1"/>
  <c r="T34" i="3" s="1"/>
  <c r="AJ34" i="3" a="1"/>
  <c r="AJ34" i="3" s="1"/>
  <c r="AG34" i="3" a="1"/>
  <c r="AG34" i="3" s="1"/>
  <c r="R34" i="3" a="1"/>
  <c r="R34" i="3" s="1"/>
  <c r="P34" i="3" a="1"/>
  <c r="P34" i="3" s="1"/>
  <c r="L34" i="3" a="1"/>
  <c r="L34" i="3" s="1"/>
  <c r="M34" i="3" a="1"/>
  <c r="M34" i="3" s="1"/>
  <c r="Q34" i="3" a="1"/>
  <c r="Q34" i="3" s="1"/>
  <c r="N34" i="3" a="1"/>
  <c r="N34" i="3" s="1"/>
  <c r="AP40" i="3" a="1"/>
  <c r="AP40" i="3" s="1"/>
  <c r="AL40" i="3" a="1"/>
  <c r="AL40" i="3" s="1"/>
  <c r="AI40" i="3" a="1"/>
  <c r="AI40" i="3" s="1"/>
  <c r="AF40" i="3" a="1"/>
  <c r="AF40" i="3" s="1"/>
  <c r="AB40" i="3" a="1"/>
  <c r="AB40" i="3" s="1"/>
  <c r="Y40" i="3" a="1"/>
  <c r="Y40" i="3" s="1"/>
  <c r="AO40" i="3" a="1"/>
  <c r="AO40" i="3" s="1"/>
  <c r="AE40" i="3" a="1"/>
  <c r="AE40" i="3" s="1"/>
  <c r="AA40" i="3" a="1"/>
  <c r="AA40" i="3" s="1"/>
  <c r="X40" i="3" a="1"/>
  <c r="X40" i="3" s="1"/>
  <c r="AM40" i="3" a="1"/>
  <c r="AM40" i="3" s="1"/>
  <c r="AG40" i="3" a="1"/>
  <c r="AG40" i="3" s="1"/>
  <c r="Z40" i="3" a="1"/>
  <c r="Z40" i="3" s="1"/>
  <c r="AK40" i="3" a="1"/>
  <c r="AK40" i="3" s="1"/>
  <c r="AD40" i="3" a="1"/>
  <c r="AD40" i="3" s="1"/>
  <c r="W40" i="3" a="1"/>
  <c r="W40" i="3" s="1"/>
  <c r="AJ40" i="3" a="1"/>
  <c r="AJ40" i="3" s="1"/>
  <c r="AC40" i="3" a="1"/>
  <c r="AC40" i="3" s="1"/>
  <c r="AN40" i="3" a="1"/>
  <c r="AN40" i="3" s="1"/>
  <c r="U40" i="3" a="1"/>
  <c r="U40" i="3" s="1"/>
  <c r="L40" i="3" a="1"/>
  <c r="L40" i="3" s="1"/>
  <c r="AH40" i="3" a="1"/>
  <c r="AH40" i="3" s="1"/>
  <c r="V40" i="3" a="1"/>
  <c r="V40" i="3" s="1"/>
  <c r="R40" i="3" a="1"/>
  <c r="R40" i="3" s="1"/>
  <c r="P40" i="3" a="1"/>
  <c r="P40" i="3" s="1"/>
  <c r="N40" i="3" a="1"/>
  <c r="N40" i="3" s="1"/>
  <c r="M40" i="3" a="1"/>
  <c r="M40" i="3" s="1"/>
  <c r="AP45" i="3" a="1"/>
  <c r="AP45" i="3" s="1"/>
  <c r="AK45" i="3" a="1"/>
  <c r="AK45" i="3" s="1"/>
  <c r="AH45" i="3" a="1"/>
  <c r="AH45" i="3" s="1"/>
  <c r="AE45" i="3" a="1"/>
  <c r="AE45" i="3" s="1"/>
  <c r="Y45" i="3" a="1"/>
  <c r="Y45" i="3" s="1"/>
  <c r="AM45" i="3" a="1"/>
  <c r="AM45" i="3" s="1"/>
  <c r="AJ45" i="3" a="1"/>
  <c r="AJ45" i="3" s="1"/>
  <c r="AD45" i="3" a="1"/>
  <c r="AD45" i="3" s="1"/>
  <c r="AA45" i="3" a="1"/>
  <c r="AA45" i="3" s="1"/>
  <c r="X45" i="3" a="1"/>
  <c r="X45" i="3" s="1"/>
  <c r="AO45" i="3" a="1"/>
  <c r="AO45" i="3" s="1"/>
  <c r="AL45" i="3" a="1"/>
  <c r="AL45" i="3" s="1"/>
  <c r="AG45" i="3" a="1"/>
  <c r="AG45" i="3" s="1"/>
  <c r="AC45" i="3" a="1"/>
  <c r="AC45" i="3" s="1"/>
  <c r="Z45" i="3" a="1"/>
  <c r="Z45" i="3" s="1"/>
  <c r="W45" i="3" a="1"/>
  <c r="W45" i="3" s="1"/>
  <c r="AI45" i="3" a="1"/>
  <c r="AI45" i="3" s="1"/>
  <c r="AF45" i="3" a="1"/>
  <c r="AF45" i="3" s="1"/>
  <c r="AN45" i="3" a="1"/>
  <c r="AN45" i="3" s="1"/>
  <c r="AB45" i="3" a="1"/>
  <c r="AB45" i="3" s="1"/>
  <c r="V45" i="3" a="1"/>
  <c r="V45" i="3" s="1"/>
  <c r="U45" i="3" a="1"/>
  <c r="U45" i="3" s="1"/>
  <c r="T45" i="3" a="1"/>
  <c r="T45" i="3" s="1"/>
  <c r="S45" i="3" a="1"/>
  <c r="S45" i="3" s="1"/>
  <c r="Q45" i="3" a="1"/>
  <c r="Q45" i="3" s="1"/>
  <c r="N45" i="3" a="1"/>
  <c r="N45" i="3" s="1"/>
  <c r="P45" i="3" a="1"/>
  <c r="P45" i="3" s="1"/>
  <c r="O45" i="3" a="1"/>
  <c r="O45" i="3" s="1"/>
  <c r="AK50" i="3" a="1"/>
  <c r="AK50" i="3" s="1"/>
  <c r="AH50" i="3" a="1"/>
  <c r="AH50" i="3" s="1"/>
  <c r="AE50" i="3" a="1"/>
  <c r="AE50" i="3" s="1"/>
  <c r="AB50" i="3" a="1"/>
  <c r="AB50" i="3" s="1"/>
  <c r="AP50" i="3" a="1"/>
  <c r="AP50" i="3" s="1"/>
  <c r="AM50" i="3" a="1"/>
  <c r="AM50" i="3" s="1"/>
  <c r="AJ50" i="3" a="1"/>
  <c r="AJ50" i="3" s="1"/>
  <c r="AC50" i="3" a="1"/>
  <c r="AC50" i="3" s="1"/>
  <c r="Z50" i="3" a="1"/>
  <c r="Z50" i="3" s="1"/>
  <c r="AD50" i="3" a="1"/>
  <c r="AD50" i="3" s="1"/>
  <c r="X50" i="3" a="1"/>
  <c r="X50" i="3" s="1"/>
  <c r="AO50" i="3" a="1"/>
  <c r="AO50" i="3" s="1"/>
  <c r="AI50" i="3" a="1"/>
  <c r="AI50" i="3" s="1"/>
  <c r="W50" i="3" a="1"/>
  <c r="W50" i="3" s="1"/>
  <c r="AN50" i="3" a="1"/>
  <c r="AN50" i="3" s="1"/>
  <c r="AG50" i="3" a="1"/>
  <c r="AG50" i="3" s="1"/>
  <c r="AA50" i="3" a="1"/>
  <c r="AA50" i="3" s="1"/>
  <c r="AF50" i="3" a="1"/>
  <c r="AF50" i="3" s="1"/>
  <c r="Y50" i="3" a="1"/>
  <c r="Y50" i="3" s="1"/>
  <c r="V50" i="3" a="1"/>
  <c r="V50" i="3" s="1"/>
  <c r="U50" i="3" a="1"/>
  <c r="U50" i="3" s="1"/>
  <c r="T50" i="3" a="1"/>
  <c r="T50" i="3" s="1"/>
  <c r="AL50" i="3" a="1"/>
  <c r="AL50" i="3" s="1"/>
  <c r="P50" i="3" a="1"/>
  <c r="P50" i="3" s="1"/>
  <c r="L50" i="3" a="1"/>
  <c r="L50" i="3" s="1"/>
  <c r="M50" i="3" a="1"/>
  <c r="M50" i="3" s="1"/>
  <c r="R50" i="3" a="1"/>
  <c r="R50" i="3" s="1"/>
  <c r="N50" i="3" a="1"/>
  <c r="N50" i="3" s="1"/>
  <c r="AP56" i="3" a="1"/>
  <c r="AP56" i="3" s="1"/>
  <c r="AI56" i="3" a="1"/>
  <c r="AI56" i="3" s="1"/>
  <c r="AF56" i="3" a="1"/>
  <c r="AF56" i="3" s="1"/>
  <c r="AB56" i="3" a="1"/>
  <c r="AB56" i="3" s="1"/>
  <c r="AN56" i="3" a="1"/>
  <c r="AN56" i="3" s="1"/>
  <c r="AJ56" i="3" a="1"/>
  <c r="AJ56" i="3" s="1"/>
  <c r="AE56" i="3" a="1"/>
  <c r="AE56" i="3" s="1"/>
  <c r="Z56" i="3" a="1"/>
  <c r="Z56" i="3" s="1"/>
  <c r="AM56" i="3" a="1"/>
  <c r="AM56" i="3" s="1"/>
  <c r="AH56" i="3" a="1"/>
  <c r="AH56" i="3" s="1"/>
  <c r="AD56" i="3" a="1"/>
  <c r="AD56" i="3" s="1"/>
  <c r="Y56" i="3" a="1"/>
  <c r="Y56" i="3" s="1"/>
  <c r="AL56" i="3" a="1"/>
  <c r="AL56" i="3" s="1"/>
  <c r="AG56" i="3" a="1"/>
  <c r="AG56" i="3" s="1"/>
  <c r="AC56" i="3" a="1"/>
  <c r="AC56" i="3" s="1"/>
  <c r="X56" i="3" a="1"/>
  <c r="X56" i="3" s="1"/>
  <c r="AK56" i="3" a="1"/>
  <c r="AK56" i="3" s="1"/>
  <c r="AA56" i="3" a="1"/>
  <c r="AA56" i="3" s="1"/>
  <c r="W56" i="3" a="1"/>
  <c r="W56" i="3" s="1"/>
  <c r="AO56" i="3" a="1"/>
  <c r="AO56" i="3" s="1"/>
  <c r="U56" i="3" a="1"/>
  <c r="U56" i="3" s="1"/>
  <c r="L56" i="3" a="1"/>
  <c r="L56" i="3" s="1"/>
  <c r="K56" i="3" a="1"/>
  <c r="K56" i="3" s="1"/>
  <c r="V56" i="3" a="1"/>
  <c r="V56" i="3" s="1"/>
  <c r="Q56" i="3" a="1"/>
  <c r="Q56" i="3" s="1"/>
  <c r="P56" i="3" a="1"/>
  <c r="P56" i="3" s="1"/>
  <c r="N56" i="3" a="1"/>
  <c r="N56" i="3" s="1"/>
  <c r="M56" i="3" a="1"/>
  <c r="M56" i="3" s="1"/>
  <c r="AO61" i="3" a="1"/>
  <c r="AO61" i="3" s="1"/>
  <c r="AL61" i="3" a="1"/>
  <c r="AL61" i="3" s="1"/>
  <c r="AI61" i="3" a="1"/>
  <c r="AI61" i="3" s="1"/>
  <c r="AF61" i="3" a="1"/>
  <c r="AF61" i="3" s="1"/>
  <c r="AC61" i="3" a="1"/>
  <c r="AC61" i="3" s="1"/>
  <c r="W61" i="3" a="1"/>
  <c r="W61" i="3" s="1"/>
  <c r="AN61" i="3" a="1"/>
  <c r="AN61" i="3" s="1"/>
  <c r="AK61" i="3" a="1"/>
  <c r="AK61" i="3" s="1"/>
  <c r="AE61" i="3" a="1"/>
  <c r="AE61" i="3" s="1"/>
  <c r="Z61" i="3" a="1"/>
  <c r="Z61" i="3" s="1"/>
  <c r="AM61" i="3" a="1"/>
  <c r="AM61" i="3" s="1"/>
  <c r="AH61" i="3" a="1"/>
  <c r="AH61" i="3" s="1"/>
  <c r="AB61" i="3" a="1"/>
  <c r="AB61" i="3" s="1"/>
  <c r="AG61" i="3" a="1"/>
  <c r="AG61" i="3" s="1"/>
  <c r="AA61" i="3" a="1"/>
  <c r="AA61" i="3" s="1"/>
  <c r="Y61" i="3" a="1"/>
  <c r="Y61" i="3" s="1"/>
  <c r="X61" i="3" a="1"/>
  <c r="X61" i="3" s="1"/>
  <c r="AP61" i="3" a="1"/>
  <c r="AP61" i="3" s="1"/>
  <c r="AJ61" i="3" a="1"/>
  <c r="AJ61" i="3" s="1"/>
  <c r="AD61" i="3" a="1"/>
  <c r="AD61" i="3" s="1"/>
  <c r="V61" i="3" a="1"/>
  <c r="V61" i="3" s="1"/>
  <c r="U61" i="3" a="1"/>
  <c r="U61" i="3" s="1"/>
  <c r="T61" i="3" a="1"/>
  <c r="T61" i="3" s="1"/>
  <c r="R61" i="3" a="1"/>
  <c r="R61" i="3" s="1"/>
  <c r="N61" i="3" a="1"/>
  <c r="N61" i="3" s="1"/>
  <c r="P61" i="3" a="1"/>
  <c r="P61" i="3" s="1"/>
  <c r="O61" i="3" a="1"/>
  <c r="O61" i="3" s="1"/>
  <c r="F8" i="3" a="1"/>
  <c r="F8" i="3" s="1"/>
  <c r="F12" i="3" a="1"/>
  <c r="F12" i="3" s="1"/>
  <c r="F16" i="3" a="1"/>
  <c r="F16" i="3" s="1"/>
  <c r="F20" i="3" a="1"/>
  <c r="F20" i="3" s="1"/>
  <c r="AO27" i="3" a="1"/>
  <c r="AO27" i="3" s="1"/>
  <c r="AL27" i="3" a="1"/>
  <c r="AL27" i="3" s="1"/>
  <c r="AH27" i="3" a="1"/>
  <c r="AH27" i="3" s="1"/>
  <c r="AB27" i="3" a="1"/>
  <c r="AB27" i="3" s="1"/>
  <c r="X27" i="3" a="1"/>
  <c r="X27" i="3" s="1"/>
  <c r="AN27" i="3" a="1"/>
  <c r="AN27" i="3" s="1"/>
  <c r="AK27" i="3" a="1"/>
  <c r="AK27" i="3" s="1"/>
  <c r="AG27" i="3" a="1"/>
  <c r="AG27" i="3" s="1"/>
  <c r="AD27" i="3" a="1"/>
  <c r="AD27" i="3" s="1"/>
  <c r="AA27" i="3" a="1"/>
  <c r="AA27" i="3" s="1"/>
  <c r="W27" i="3" a="1"/>
  <c r="W27" i="3" s="1"/>
  <c r="AM27" i="3" a="1"/>
  <c r="AM27" i="3" s="1"/>
  <c r="AJ27" i="3" a="1"/>
  <c r="AJ27" i="3" s="1"/>
  <c r="AF27" i="3" a="1"/>
  <c r="AF27" i="3" s="1"/>
  <c r="AC27" i="3" a="1"/>
  <c r="AC27" i="3" s="1"/>
  <c r="Z27" i="3" a="1"/>
  <c r="Z27" i="3" s="1"/>
  <c r="AP27" i="3" a="1"/>
  <c r="AP27" i="3" s="1"/>
  <c r="V27" i="3" a="1"/>
  <c r="V27" i="3" s="1"/>
  <c r="U27" i="3" a="1"/>
  <c r="U27" i="3" s="1"/>
  <c r="T27" i="3" a="1"/>
  <c r="T27" i="3" s="1"/>
  <c r="Y27" i="3" a="1"/>
  <c r="Y27" i="3" s="1"/>
  <c r="AI27" i="3" a="1"/>
  <c r="AI27" i="3" s="1"/>
  <c r="S27" i="3" a="1"/>
  <c r="S27" i="3" s="1"/>
  <c r="R27" i="3" a="1"/>
  <c r="R27" i="3" s="1"/>
  <c r="O27" i="3" a="1"/>
  <c r="O27" i="3" s="1"/>
  <c r="P27" i="3" a="1"/>
  <c r="P27" i="3" s="1"/>
  <c r="M27" i="3" a="1"/>
  <c r="M27" i="3" s="1"/>
  <c r="AM35" i="3" a="1"/>
  <c r="AM35" i="3" s="1"/>
  <c r="AJ35" i="3" a="1"/>
  <c r="AJ35" i="3" s="1"/>
  <c r="AF35" i="3" a="1"/>
  <c r="AF35" i="3" s="1"/>
  <c r="AC35" i="3" a="1"/>
  <c r="AC35" i="3" s="1"/>
  <c r="Y35" i="3" a="1"/>
  <c r="Y35" i="3" s="1"/>
  <c r="AP35" i="3" a="1"/>
  <c r="AP35" i="3" s="1"/>
  <c r="AI35" i="3" a="1"/>
  <c r="AI35" i="3" s="1"/>
  <c r="AE35" i="3" a="1"/>
  <c r="AE35" i="3" s="1"/>
  <c r="AB35" i="3" a="1"/>
  <c r="AB35" i="3" s="1"/>
  <c r="X35" i="3" a="1"/>
  <c r="X35" i="3" s="1"/>
  <c r="AO35" i="3" a="1"/>
  <c r="AO35" i="3" s="1"/>
  <c r="AL35" i="3" a="1"/>
  <c r="AL35" i="3" s="1"/>
  <c r="AH35" i="3" a="1"/>
  <c r="AH35" i="3" s="1"/>
  <c r="AA35" i="3" a="1"/>
  <c r="AA35" i="3" s="1"/>
  <c r="W35" i="3" a="1"/>
  <c r="W35" i="3" s="1"/>
  <c r="AK35" i="3" a="1"/>
  <c r="AK35" i="3" s="1"/>
  <c r="V35" i="3" a="1"/>
  <c r="V35" i="3" s="1"/>
  <c r="U35" i="3" a="1"/>
  <c r="U35" i="3" s="1"/>
  <c r="T35" i="3" a="1"/>
  <c r="T35" i="3" s="1"/>
  <c r="AG35" i="3" a="1"/>
  <c r="AG35" i="3" s="1"/>
  <c r="AD35" i="3" a="1"/>
  <c r="AD35" i="3" s="1"/>
  <c r="M35" i="3" a="1"/>
  <c r="M35" i="3" s="1"/>
  <c r="Q35" i="3" a="1"/>
  <c r="Q35" i="3" s="1"/>
  <c r="N35" i="3" a="1"/>
  <c r="N35" i="3" s="1"/>
  <c r="AN35" i="3" a="1"/>
  <c r="AN35" i="3" s="1"/>
  <c r="S35" i="3" a="1"/>
  <c r="S35" i="3" s="1"/>
  <c r="R35" i="3" a="1"/>
  <c r="R35" i="3" s="1"/>
  <c r="O35" i="3" a="1"/>
  <c r="O35" i="3" s="1"/>
  <c r="AP43" i="3" a="1"/>
  <c r="AP43" i="3" s="1"/>
  <c r="AM43" i="3" a="1"/>
  <c r="AM43" i="3" s="1"/>
  <c r="AG43" i="3" a="1"/>
  <c r="AG43" i="3" s="1"/>
  <c r="Z43" i="3" a="1"/>
  <c r="Z43" i="3" s="1"/>
  <c r="W43" i="3" a="1"/>
  <c r="W43" i="3" s="1"/>
  <c r="AL43" i="3" a="1"/>
  <c r="AL43" i="3" s="1"/>
  <c r="AI43" i="3" a="1"/>
  <c r="AI43" i="3" s="1"/>
  <c r="AF43" i="3" a="1"/>
  <c r="AF43" i="3" s="1"/>
  <c r="AC43" i="3" a="1"/>
  <c r="AC43" i="3" s="1"/>
  <c r="AN43" i="3" a="1"/>
  <c r="AN43" i="3" s="1"/>
  <c r="AA43" i="3" a="1"/>
  <c r="AA43" i="3" s="1"/>
  <c r="AK43" i="3" a="1"/>
  <c r="AK43" i="3" s="1"/>
  <c r="AE43" i="3" a="1"/>
  <c r="AE43" i="3" s="1"/>
  <c r="Y43" i="3" a="1"/>
  <c r="Y43" i="3" s="1"/>
  <c r="AJ43" i="3" a="1"/>
  <c r="AJ43" i="3" s="1"/>
  <c r="AD43" i="3" a="1"/>
  <c r="AD43" i="3" s="1"/>
  <c r="X43" i="3" a="1"/>
  <c r="X43" i="3" s="1"/>
  <c r="V43" i="3" a="1"/>
  <c r="V43" i="3" s="1"/>
  <c r="U43" i="3" a="1"/>
  <c r="U43" i="3" s="1"/>
  <c r="T43" i="3" a="1"/>
  <c r="T43" i="3" s="1"/>
  <c r="AO43" i="3" a="1"/>
  <c r="AO43" i="3" s="1"/>
  <c r="AH43" i="3" a="1"/>
  <c r="AH43" i="3" s="1"/>
  <c r="S43" i="3" a="1"/>
  <c r="S43" i="3" s="1"/>
  <c r="O43" i="3" a="1"/>
  <c r="O43" i="3" s="1"/>
  <c r="R43" i="3" a="1"/>
  <c r="R43" i="3" s="1"/>
  <c r="P43" i="3" a="1"/>
  <c r="P43" i="3" s="1"/>
  <c r="M43" i="3" a="1"/>
  <c r="M43" i="3" s="1"/>
  <c r="AO51" i="3" a="1"/>
  <c r="AO51" i="3" s="1"/>
  <c r="AK51" i="3" a="1"/>
  <c r="AK51" i="3" s="1"/>
  <c r="AP51" i="3" a="1"/>
  <c r="AP51" i="3" s="1"/>
  <c r="AG51" i="3" a="1"/>
  <c r="AG51" i="3" s="1"/>
  <c r="AD51" i="3" a="1"/>
  <c r="AD51" i="3" s="1"/>
  <c r="AA51" i="3" a="1"/>
  <c r="AA51" i="3" s="1"/>
  <c r="X51" i="3" a="1"/>
  <c r="X51" i="3" s="1"/>
  <c r="AN51" i="3" a="1"/>
  <c r="AN51" i="3" s="1"/>
  <c r="AJ51" i="3" a="1"/>
  <c r="AJ51" i="3" s="1"/>
  <c r="AC51" i="3" a="1"/>
  <c r="AC51" i="3" s="1"/>
  <c r="AM51" i="3" a="1"/>
  <c r="AM51" i="3" s="1"/>
  <c r="AI51" i="3" a="1"/>
  <c r="AI51" i="3" s="1"/>
  <c r="AF51" i="3" a="1"/>
  <c r="AF51" i="3" s="1"/>
  <c r="Y51" i="3" a="1"/>
  <c r="Y51" i="3" s="1"/>
  <c r="AE51" i="3" a="1"/>
  <c r="AE51" i="3" s="1"/>
  <c r="W51" i="3" a="1"/>
  <c r="W51" i="3" s="1"/>
  <c r="AB51" i="3" a="1"/>
  <c r="AB51" i="3" s="1"/>
  <c r="AL51" i="3" a="1"/>
  <c r="AL51" i="3" s="1"/>
  <c r="Z51" i="3" a="1"/>
  <c r="Z51" i="3" s="1"/>
  <c r="AH51" i="3" a="1"/>
  <c r="AH51" i="3" s="1"/>
  <c r="V51" i="3" a="1"/>
  <c r="V51" i="3" s="1"/>
  <c r="U51" i="3" a="1"/>
  <c r="U51" i="3" s="1"/>
  <c r="T51" i="3" a="1"/>
  <c r="T51" i="3" s="1"/>
  <c r="R51" i="3" a="1"/>
  <c r="R51" i="3" s="1"/>
  <c r="M51" i="3" a="1"/>
  <c r="M51" i="3" s="1"/>
  <c r="N51" i="3" a="1"/>
  <c r="N51" i="3" s="1"/>
  <c r="S51" i="3" a="1"/>
  <c r="S51" i="3" s="1"/>
  <c r="Q51" i="3" a="1"/>
  <c r="Q51" i="3" s="1"/>
  <c r="O51" i="3" a="1"/>
  <c r="O51" i="3" s="1"/>
  <c r="AN59" i="3" a="1"/>
  <c r="AN59" i="3" s="1"/>
  <c r="AK59" i="3" a="1"/>
  <c r="AK59" i="3" s="1"/>
  <c r="AE59" i="3" a="1"/>
  <c r="AE59" i="3" s="1"/>
  <c r="Z59" i="3" a="1"/>
  <c r="Z59" i="3" s="1"/>
  <c r="AP59" i="3" a="1"/>
  <c r="AP59" i="3" s="1"/>
  <c r="AL59" i="3" a="1"/>
  <c r="AL59" i="3" s="1"/>
  <c r="AH59" i="3" a="1"/>
  <c r="AH59" i="3" s="1"/>
  <c r="AD59" i="3" a="1"/>
  <c r="AD59" i="3" s="1"/>
  <c r="AO59" i="3" a="1"/>
  <c r="AO59" i="3" s="1"/>
  <c r="AG59" i="3" a="1"/>
  <c r="AG59" i="3" s="1"/>
  <c r="AC59" i="3" a="1"/>
  <c r="AC59" i="3" s="1"/>
  <c r="Y59" i="3" a="1"/>
  <c r="Y59" i="3" s="1"/>
  <c r="AM59" i="3" a="1"/>
  <c r="AM59" i="3" s="1"/>
  <c r="AJ59" i="3" a="1"/>
  <c r="AJ59" i="3" s="1"/>
  <c r="AF59" i="3" a="1"/>
  <c r="AF59" i="3" s="1"/>
  <c r="AB59" i="3" a="1"/>
  <c r="AB59" i="3" s="1"/>
  <c r="X59" i="3" a="1"/>
  <c r="X59" i="3" s="1"/>
  <c r="AA59" i="3" a="1"/>
  <c r="AA59" i="3" s="1"/>
  <c r="W59" i="3" a="1"/>
  <c r="W59" i="3" s="1"/>
  <c r="AI59" i="3" a="1"/>
  <c r="AI59" i="3" s="1"/>
  <c r="V59" i="3" a="1"/>
  <c r="V59" i="3" s="1"/>
  <c r="U59" i="3" a="1"/>
  <c r="U59" i="3" s="1"/>
  <c r="T59" i="3" a="1"/>
  <c r="T59" i="3" s="1"/>
  <c r="O59" i="3" a="1"/>
  <c r="O59" i="3" s="1"/>
  <c r="K59" i="3" a="1"/>
  <c r="K59" i="3" s="1"/>
  <c r="S59" i="3" a="1"/>
  <c r="S59" i="3" s="1"/>
  <c r="Q59" i="3" a="1"/>
  <c r="Q59" i="3" s="1"/>
  <c r="P59" i="3" a="1"/>
  <c r="P59" i="3" s="1"/>
  <c r="R59" i="3" a="1"/>
  <c r="R59" i="3" s="1"/>
  <c r="M59" i="3" a="1"/>
  <c r="M59" i="3" s="1"/>
  <c r="E5" i="3" a="1"/>
  <c r="E5" i="3" s="1"/>
  <c r="E9" i="3" a="1"/>
  <c r="E9" i="3" s="1"/>
  <c r="E13" i="3" a="1"/>
  <c r="E13" i="3" s="1"/>
  <c r="B13" i="3" s="1"/>
  <c r="E17" i="3" a="1"/>
  <c r="E17" i="3" s="1"/>
  <c r="E21" i="3" a="1"/>
  <c r="E21" i="3" s="1"/>
  <c r="E25" i="3" a="1"/>
  <c r="E25" i="3" s="1"/>
  <c r="E29" i="3" a="1"/>
  <c r="E29" i="3" s="1"/>
  <c r="E33" i="3" a="1"/>
  <c r="E33" i="3" s="1"/>
  <c r="E37" i="3" a="1"/>
  <c r="E37" i="3" s="1"/>
  <c r="E40" i="3" a="1"/>
  <c r="E40" i="3" s="1"/>
  <c r="E47" i="3" a="1"/>
  <c r="E47" i="3" s="1"/>
  <c r="E50" i="3" a="1"/>
  <c r="E50" i="3" s="1"/>
  <c r="E53" i="3" a="1"/>
  <c r="E53" i="3" s="1"/>
  <c r="E56" i="3" a="1"/>
  <c r="E56" i="3" s="1"/>
  <c r="D6" i="3" a="1"/>
  <c r="D6" i="3" s="1"/>
  <c r="D9" i="3" a="1"/>
  <c r="D9" i="3" s="1"/>
  <c r="D12" i="3" a="1"/>
  <c r="D12" i="3" s="1"/>
  <c r="D19" i="3" a="1"/>
  <c r="D19" i="3" s="1"/>
  <c r="D22" i="3" a="1"/>
  <c r="D22" i="3" s="1"/>
  <c r="D25" i="3" a="1"/>
  <c r="D25" i="3" s="1"/>
  <c r="D28" i="3" a="1"/>
  <c r="D28" i="3" s="1"/>
  <c r="D35" i="3" a="1"/>
  <c r="D35" i="3" s="1"/>
  <c r="D38" i="3" a="1"/>
  <c r="D38" i="3" s="1"/>
  <c r="D41" i="3" a="1"/>
  <c r="D41" i="3" s="1"/>
  <c r="D44" i="3" a="1"/>
  <c r="D44" i="3" s="1"/>
  <c r="D51" i="3" a="1"/>
  <c r="D51" i="3" s="1"/>
  <c r="D54" i="3" a="1"/>
  <c r="D54" i="3" s="1"/>
  <c r="D57" i="3" a="1"/>
  <c r="D57" i="3" s="1"/>
  <c r="C7" i="3" a="1"/>
  <c r="C7" i="3" s="1"/>
  <c r="C16" i="3" a="1"/>
  <c r="C16" i="3" s="1"/>
  <c r="C29" i="3" a="1"/>
  <c r="C29" i="3" s="1"/>
  <c r="C45" i="3" a="1"/>
  <c r="C45" i="3" s="1"/>
  <c r="C58" i="3" a="1"/>
  <c r="C58" i="3" s="1"/>
  <c r="C61" i="3" a="1"/>
  <c r="C61" i="3" s="1"/>
  <c r="C64" i="3" a="1"/>
  <c r="C64" i="3" s="1"/>
  <c r="G11" i="3" a="1"/>
  <c r="G11" i="3" s="1"/>
  <c r="G14" i="3" a="1"/>
  <c r="G14" i="3" s="1"/>
  <c r="G17" i="3" a="1"/>
  <c r="G17" i="3" s="1"/>
  <c r="G20" i="3" a="1"/>
  <c r="G20" i="3" s="1"/>
  <c r="G27" i="3" a="1"/>
  <c r="G27" i="3" s="1"/>
  <c r="G30" i="3" a="1"/>
  <c r="G30" i="3" s="1"/>
  <c r="G33" i="3" a="1"/>
  <c r="G33" i="3" s="1"/>
  <c r="G36" i="3" a="1"/>
  <c r="G36" i="3" s="1"/>
  <c r="G43" i="3" a="1"/>
  <c r="G43" i="3" s="1"/>
  <c r="G46" i="3" a="1"/>
  <c r="G46" i="3" s="1"/>
  <c r="G49" i="3" a="1"/>
  <c r="G49" i="3" s="1"/>
  <c r="G52" i="3" a="1"/>
  <c r="G52" i="3" s="1"/>
  <c r="G59" i="3" a="1"/>
  <c r="G59" i="3" s="1"/>
  <c r="G62" i="3" a="1"/>
  <c r="G62" i="3" s="1"/>
  <c r="H5" i="3" a="1"/>
  <c r="H5" i="3" s="1"/>
  <c r="H8" i="3" a="1"/>
  <c r="H8" i="3" s="1"/>
  <c r="H15" i="3" a="1"/>
  <c r="H15" i="3" s="1"/>
  <c r="H18" i="3" a="1"/>
  <c r="H18" i="3" s="1"/>
  <c r="H21" i="3" a="1"/>
  <c r="H21" i="3" s="1"/>
  <c r="H24" i="3" a="1"/>
  <c r="H24" i="3" s="1"/>
  <c r="H31" i="3" a="1"/>
  <c r="H31" i="3" s="1"/>
  <c r="H34" i="3" a="1"/>
  <c r="H34" i="3" s="1"/>
  <c r="H37" i="3" a="1"/>
  <c r="H37" i="3" s="1"/>
  <c r="H40" i="3" a="1"/>
  <c r="H40" i="3" s="1"/>
  <c r="H47" i="3" a="1"/>
  <c r="H47" i="3" s="1"/>
  <c r="H50" i="3" a="1"/>
  <c r="H50" i="3" s="1"/>
  <c r="H53" i="3" a="1"/>
  <c r="H53" i="3" s="1"/>
  <c r="H56" i="3" a="1"/>
  <c r="H56" i="3" s="1"/>
  <c r="H63" i="3" a="1"/>
  <c r="H63" i="3" s="1"/>
  <c r="I6" i="3" a="1"/>
  <c r="I6" i="3" s="1"/>
  <c r="I9" i="3" a="1"/>
  <c r="I9" i="3" s="1"/>
  <c r="I12" i="3" a="1"/>
  <c r="I12" i="3" s="1"/>
  <c r="I19" i="3" a="1"/>
  <c r="I19" i="3" s="1"/>
  <c r="I23" i="3" a="1"/>
  <c r="I23" i="3" s="1"/>
  <c r="I26" i="3" a="1"/>
  <c r="I26" i="3" s="1"/>
  <c r="I30" i="3" a="1"/>
  <c r="I30" i="3" s="1"/>
  <c r="I33" i="3" a="1"/>
  <c r="I33" i="3" s="1"/>
  <c r="I37" i="3" a="1"/>
  <c r="I37" i="3" s="1"/>
  <c r="I40" i="3" a="1"/>
  <c r="I40" i="3" s="1"/>
  <c r="I44" i="3" a="1"/>
  <c r="I44" i="3" s="1"/>
  <c r="I50" i="3" a="1"/>
  <c r="I50" i="3" s="1"/>
  <c r="I57" i="3" a="1"/>
  <c r="I57" i="3" s="1"/>
  <c r="I60" i="3" a="1"/>
  <c r="I60" i="3" s="1"/>
  <c r="I64" i="3" a="1"/>
  <c r="I64" i="3" s="1"/>
  <c r="J7" i="3" a="1"/>
  <c r="J7" i="3" s="1"/>
  <c r="J11" i="3" a="1"/>
  <c r="J11" i="3" s="1"/>
  <c r="J14" i="3" a="1"/>
  <c r="J14" i="3" s="1"/>
  <c r="J18" i="3" a="1"/>
  <c r="J18" i="3" s="1"/>
  <c r="J25" i="3" a="1"/>
  <c r="J25" i="3" s="1"/>
  <c r="J29" i="3" a="1"/>
  <c r="J29" i="3" s="1"/>
  <c r="J32" i="3" a="1"/>
  <c r="J32" i="3" s="1"/>
  <c r="B32" i="3" s="1"/>
  <c r="J38" i="3" a="1"/>
  <c r="J38" i="3" s="1"/>
  <c r="J42" i="3" a="1"/>
  <c r="J42" i="3" s="1"/>
  <c r="J49" i="3" a="1"/>
  <c r="J49" i="3" s="1"/>
  <c r="J52" i="3" a="1"/>
  <c r="J52" i="3" s="1"/>
  <c r="J55" i="3" a="1"/>
  <c r="J55" i="3" s="1"/>
  <c r="J59" i="3" a="1"/>
  <c r="J59" i="3" s="1"/>
  <c r="J62" i="3" a="1"/>
  <c r="J62" i="3" s="1"/>
  <c r="K6" i="3" a="1"/>
  <c r="K6" i="3" s="1"/>
  <c r="K9" i="3" a="1"/>
  <c r="K9" i="3" s="1"/>
  <c r="K12" i="3" a="1"/>
  <c r="K12" i="3" s="1"/>
  <c r="K16" i="3" a="1"/>
  <c r="K16" i="3" s="1"/>
  <c r="K19" i="3" a="1"/>
  <c r="K19" i="3" s="1"/>
  <c r="K23" i="3" a="1"/>
  <c r="K23" i="3" s="1"/>
  <c r="K29" i="3" a="1"/>
  <c r="K29" i="3" s="1"/>
  <c r="K33" i="3" a="1"/>
  <c r="K33" i="3" s="1"/>
  <c r="K36" i="3" a="1"/>
  <c r="K36" i="3" s="1"/>
  <c r="K42" i="3" a="1"/>
  <c r="K42" i="3" s="1"/>
  <c r="K46" i="3" a="1"/>
  <c r="K46" i="3" s="1"/>
  <c r="K52" i="3" a="1"/>
  <c r="K52" i="3" s="1"/>
  <c r="K57" i="3" a="1"/>
  <c r="K57" i="3" s="1"/>
  <c r="K60" i="3" a="1"/>
  <c r="K60" i="3" s="1"/>
  <c r="L5" i="3" a="1"/>
  <c r="L5" i="3" s="1"/>
  <c r="L11" i="3" a="1"/>
  <c r="L11" i="3" s="1"/>
  <c r="L17" i="3" a="1"/>
  <c r="L17" i="3" s="1"/>
  <c r="L30" i="3" a="1"/>
  <c r="L30" i="3" s="1"/>
  <c r="L37" i="3" a="1"/>
  <c r="L37" i="3" s="1"/>
  <c r="L43" i="3" a="1"/>
  <c r="L43" i="3" s="1"/>
  <c r="L49" i="3" a="1"/>
  <c r="L49" i="3" s="1"/>
  <c r="L62" i="3" a="1"/>
  <c r="L62" i="3" s="1"/>
  <c r="M10" i="3" a="1"/>
  <c r="M10" i="3" s="1"/>
  <c r="B10" i="3" s="1"/>
  <c r="M23" i="3" a="1"/>
  <c r="M23" i="3" s="1"/>
  <c r="M49" i="3" a="1"/>
  <c r="M49" i="3" s="1"/>
  <c r="M61" i="3" a="1"/>
  <c r="M61" i="3" s="1"/>
  <c r="N14" i="3" a="1"/>
  <c r="N14" i="3" s="1"/>
  <c r="N27" i="3" a="1"/>
  <c r="N27" i="3" s="1"/>
  <c r="N53" i="3" a="1"/>
  <c r="N53" i="3" s="1"/>
  <c r="O5" i="3" a="1"/>
  <c r="O5" i="3" s="1"/>
  <c r="O30" i="3" a="1"/>
  <c r="O30" i="3" s="1"/>
  <c r="O44" i="3" a="1"/>
  <c r="O44" i="3" s="1"/>
  <c r="O56" i="3" a="1"/>
  <c r="O56" i="3" s="1"/>
  <c r="P22" i="3" a="1"/>
  <c r="P22" i="3" s="1"/>
  <c r="P35" i="3" a="1"/>
  <c r="P35" i="3" s="1"/>
  <c r="P48" i="3" a="1"/>
  <c r="P48" i="3" s="1"/>
  <c r="B48" i="3" s="1"/>
  <c r="P60" i="3" a="1"/>
  <c r="P60" i="3" s="1"/>
  <c r="Q27" i="3" a="1"/>
  <c r="Q27" i="3" s="1"/>
  <c r="Q40" i="3" a="1"/>
  <c r="Q40" i="3" s="1"/>
  <c r="Q54" i="3" a="1"/>
  <c r="Q54" i="3" s="1"/>
  <c r="R7" i="3" a="1"/>
  <c r="R7" i="3" s="1"/>
  <c r="R49" i="3" a="1"/>
  <c r="R49" i="3" s="1"/>
  <c r="R62" i="3" a="1"/>
  <c r="R62" i="3" s="1"/>
  <c r="S28" i="3" a="1"/>
  <c r="S28" i="3" s="1"/>
  <c r="S40" i="3" a="1"/>
  <c r="S40" i="3" s="1"/>
  <c r="S53" i="3" a="1"/>
  <c r="S53" i="3" s="1"/>
  <c r="T12" i="3" a="1"/>
  <c r="T12" i="3" s="1"/>
  <c r="U12" i="3" a="1"/>
  <c r="U12" i="3" s="1"/>
  <c r="V16" i="3" a="1"/>
  <c r="V16" i="3" s="1"/>
  <c r="AL5" i="3" a="1"/>
  <c r="AL5" i="3" s="1"/>
  <c r="AL8" i="3" a="1"/>
  <c r="AL8" i="3" s="1"/>
  <c r="W13" i="3" a="1"/>
  <c r="W13" i="3" s="1"/>
  <c r="Z15" i="3" a="1"/>
  <c r="Z15" i="3" s="1"/>
  <c r="AD19" i="3" a="1"/>
  <c r="AD19" i="3" s="1"/>
  <c r="AB43" i="3" a="1"/>
  <c r="AB43" i="3" s="1"/>
  <c r="F24" i="3" a="1"/>
  <c r="F24" i="3" s="1"/>
  <c r="F40" i="3" a="1"/>
  <c r="F40" i="3" s="1"/>
  <c r="F56" i="3" a="1"/>
  <c r="F56" i="3" s="1"/>
  <c r="F36" i="3" a="1"/>
  <c r="F36" i="3" s="1"/>
  <c r="F52" i="3" a="1"/>
  <c r="F52" i="3" s="1"/>
  <c r="F28" i="3" a="1"/>
  <c r="F28" i="3" s="1"/>
  <c r="F44" i="3" a="1"/>
  <c r="F44" i="3" s="1"/>
  <c r="F60" i="3" a="1"/>
  <c r="F60" i="3" s="1"/>
  <c r="F23" i="3" a="1"/>
  <c r="F23" i="3" s="1"/>
  <c r="F27" i="3" a="1"/>
  <c r="F27" i="3" s="1"/>
  <c r="F31" i="3" a="1"/>
  <c r="F31" i="3" s="1"/>
  <c r="F35" i="3" a="1"/>
  <c r="F35" i="3" s="1"/>
  <c r="F39" i="3" a="1"/>
  <c r="F39" i="3" s="1"/>
  <c r="F43" i="3" a="1"/>
  <c r="F43" i="3" s="1"/>
  <c r="F47" i="3" a="1"/>
  <c r="F47" i="3" s="1"/>
  <c r="F51" i="3" a="1"/>
  <c r="F51" i="3" s="1"/>
  <c r="F55" i="3" a="1"/>
  <c r="F55" i="3" s="1"/>
  <c r="F59" i="3" a="1"/>
  <c r="F59" i="3" s="1"/>
  <c r="F63" i="3" a="1"/>
  <c r="F63" i="3" s="1"/>
  <c r="F25" i="3" a="1"/>
  <c r="F25" i="3" s="1"/>
  <c r="F29" i="3" a="1"/>
  <c r="F29" i="3" s="1"/>
  <c r="F33" i="3" a="1"/>
  <c r="F33" i="3" s="1"/>
  <c r="F37" i="3" a="1"/>
  <c r="F37" i="3" s="1"/>
  <c r="F41" i="3" a="1"/>
  <c r="F41" i="3" s="1"/>
  <c r="F45" i="3" a="1"/>
  <c r="F45" i="3" s="1"/>
  <c r="F49" i="3" a="1"/>
  <c r="F49" i="3" s="1"/>
  <c r="F53" i="3" a="1"/>
  <c r="F53" i="3" s="1"/>
  <c r="F57" i="3" a="1"/>
  <c r="F57" i="3" s="1"/>
  <c r="F61" i="3" a="1"/>
  <c r="F61" i="3" s="1"/>
  <c r="F26" i="3" a="1"/>
  <c r="F26" i="3" s="1"/>
  <c r="F30" i="3" a="1"/>
  <c r="F30" i="3" s="1"/>
  <c r="F34" i="3" a="1"/>
  <c r="F34" i="3" s="1"/>
  <c r="F38" i="3" a="1"/>
  <c r="F38" i="3" s="1"/>
  <c r="F42" i="3" a="1"/>
  <c r="F42" i="3" s="1"/>
  <c r="F46" i="3" a="1"/>
  <c r="F46" i="3" s="1"/>
  <c r="F50" i="3" a="1"/>
  <c r="F50" i="3" s="1"/>
  <c r="F54" i="3" a="1"/>
  <c r="F54" i="3" s="1"/>
  <c r="F58" i="3" a="1"/>
  <c r="F58" i="3" s="1"/>
  <c r="F62" i="3" a="1"/>
  <c r="F62" i="3" s="1"/>
  <c r="C543" i="1"/>
  <c r="B543" i="1"/>
  <c r="C542" i="1"/>
  <c r="B542" i="1"/>
  <c r="C541" i="1"/>
  <c r="B541" i="1"/>
  <c r="C540" i="1"/>
  <c r="B540" i="1"/>
  <c r="C539" i="1"/>
  <c r="B539" i="1"/>
  <c r="C538" i="1"/>
  <c r="B538" i="1"/>
  <c r="C537" i="1"/>
  <c r="B537" i="1"/>
  <c r="C536" i="1"/>
  <c r="B536" i="1"/>
  <c r="C535" i="1"/>
  <c r="B535" i="1"/>
  <c r="C534" i="1"/>
  <c r="B534" i="1"/>
  <c r="C533" i="1"/>
  <c r="B533" i="1"/>
  <c r="C532" i="1"/>
  <c r="B532" i="1"/>
  <c r="C531" i="1"/>
  <c r="B531" i="1"/>
  <c r="C530" i="1"/>
  <c r="B530" i="1"/>
  <c r="C529" i="1"/>
  <c r="B529" i="1"/>
  <c r="C528" i="1"/>
  <c r="B528" i="1"/>
  <c r="C527" i="1"/>
  <c r="B527" i="1"/>
  <c r="C526" i="1"/>
  <c r="B526" i="1"/>
  <c r="C525" i="1"/>
  <c r="B525" i="1"/>
  <c r="C524" i="1"/>
  <c r="B524" i="1"/>
  <c r="C523" i="1"/>
  <c r="B523" i="1"/>
  <c r="C522" i="1"/>
  <c r="B522" i="1"/>
  <c r="C521" i="1"/>
  <c r="B521" i="1"/>
  <c r="C520" i="1"/>
  <c r="B520" i="1"/>
  <c r="C519" i="1"/>
  <c r="B519" i="1"/>
  <c r="C518" i="1"/>
  <c r="B518" i="1"/>
  <c r="C517" i="1"/>
  <c r="B517" i="1"/>
  <c r="C516" i="1"/>
  <c r="B516" i="1"/>
  <c r="C515" i="1"/>
  <c r="B515" i="1"/>
  <c r="C514" i="1"/>
  <c r="B514" i="1"/>
  <c r="C513" i="1"/>
  <c r="B513" i="1"/>
  <c r="C512" i="1"/>
  <c r="B512" i="1"/>
  <c r="C511" i="1"/>
  <c r="B511" i="1"/>
  <c r="C510" i="1"/>
  <c r="B510" i="1"/>
  <c r="C509" i="1"/>
  <c r="B509" i="1"/>
  <c r="C508" i="1"/>
  <c r="B508" i="1"/>
  <c r="C507" i="1"/>
  <c r="B507" i="1"/>
  <c r="C506" i="1"/>
  <c r="B506" i="1"/>
  <c r="C505" i="1"/>
  <c r="B505" i="1"/>
  <c r="C504" i="1"/>
  <c r="B504" i="1"/>
  <c r="C503" i="1"/>
  <c r="B503" i="1"/>
  <c r="C502" i="1"/>
  <c r="B502" i="1"/>
  <c r="C501" i="1"/>
  <c r="B501" i="1"/>
  <c r="C500" i="1"/>
  <c r="B500" i="1"/>
  <c r="C499" i="1"/>
  <c r="B499" i="1"/>
  <c r="C498" i="1"/>
  <c r="B498" i="1"/>
  <c r="C497" i="1"/>
  <c r="B497" i="1"/>
  <c r="C496" i="1"/>
  <c r="B496" i="1"/>
  <c r="C495" i="1"/>
  <c r="B495" i="1"/>
  <c r="C494" i="1"/>
  <c r="B494" i="1"/>
  <c r="C493" i="1"/>
  <c r="B493" i="1"/>
  <c r="C492" i="1"/>
  <c r="B492" i="1"/>
  <c r="C491" i="1"/>
  <c r="B491" i="1"/>
  <c r="C490" i="1"/>
  <c r="B490" i="1"/>
  <c r="C489" i="1"/>
  <c r="B489" i="1"/>
  <c r="C488" i="1"/>
  <c r="B488" i="1"/>
  <c r="C487" i="1"/>
  <c r="B487" i="1"/>
  <c r="C486" i="1"/>
  <c r="B486" i="1"/>
  <c r="C485" i="1"/>
  <c r="B485" i="1"/>
  <c r="C484" i="1"/>
  <c r="B484" i="1"/>
  <c r="C483" i="1"/>
  <c r="B483" i="1"/>
  <c r="C482" i="1"/>
  <c r="B482" i="1"/>
  <c r="C481" i="1"/>
  <c r="B481" i="1"/>
  <c r="C480" i="1"/>
  <c r="B480" i="1"/>
  <c r="C479" i="1"/>
  <c r="B479" i="1"/>
  <c r="C478" i="1"/>
  <c r="B478" i="1"/>
  <c r="C477" i="1"/>
  <c r="B477" i="1"/>
  <c r="C476" i="1"/>
  <c r="B476" i="1"/>
  <c r="C475" i="1"/>
  <c r="B475" i="1"/>
  <c r="C474" i="1"/>
  <c r="B474" i="1"/>
  <c r="C473" i="1"/>
  <c r="B473" i="1"/>
  <c r="C472" i="1"/>
  <c r="B472" i="1"/>
  <c r="C471" i="1"/>
  <c r="B471" i="1"/>
  <c r="C470" i="1"/>
  <c r="B470" i="1"/>
  <c r="C469" i="1"/>
  <c r="B469" i="1"/>
  <c r="C468" i="1"/>
  <c r="B468" i="1"/>
  <c r="C467" i="1"/>
  <c r="B467" i="1"/>
  <c r="C466" i="1"/>
  <c r="B466" i="1"/>
  <c r="C465" i="1"/>
  <c r="B465" i="1"/>
  <c r="C464" i="1"/>
  <c r="B464" i="1"/>
  <c r="C463" i="1"/>
  <c r="B463" i="1"/>
  <c r="C462" i="1"/>
  <c r="B462" i="1"/>
  <c r="C461" i="1"/>
  <c r="B461" i="1"/>
  <c r="C460" i="1"/>
  <c r="B460" i="1"/>
  <c r="C459" i="1"/>
  <c r="B459" i="1"/>
  <c r="C458" i="1"/>
  <c r="B458" i="1"/>
  <c r="C457" i="1"/>
  <c r="B457" i="1"/>
  <c r="C456" i="1"/>
  <c r="B456" i="1"/>
  <c r="C455" i="1"/>
  <c r="B455" i="1"/>
  <c r="C454" i="1"/>
  <c r="B454" i="1"/>
  <c r="C453" i="1"/>
  <c r="B453" i="1"/>
  <c r="C452" i="1"/>
  <c r="B452" i="1"/>
  <c r="C451" i="1"/>
  <c r="B451" i="1"/>
  <c r="C450" i="1"/>
  <c r="B450" i="1"/>
  <c r="C449" i="1"/>
  <c r="B449" i="1"/>
  <c r="C448" i="1"/>
  <c r="B448" i="1"/>
  <c r="C447" i="1"/>
  <c r="B447" i="1"/>
  <c r="C446" i="1"/>
  <c r="B446" i="1"/>
  <c r="C445" i="1"/>
  <c r="B445" i="1"/>
  <c r="C444" i="1"/>
  <c r="B444" i="1"/>
  <c r="C443" i="1"/>
  <c r="B443" i="1"/>
  <c r="C442" i="1"/>
  <c r="B442" i="1"/>
  <c r="C441" i="1"/>
  <c r="B441" i="1"/>
  <c r="C440" i="1"/>
  <c r="B440" i="1"/>
  <c r="C439" i="1"/>
  <c r="B439" i="1"/>
  <c r="C438" i="1"/>
  <c r="B438" i="1"/>
  <c r="C437" i="1"/>
  <c r="B437" i="1"/>
  <c r="C436" i="1"/>
  <c r="B436" i="1"/>
  <c r="C435" i="1"/>
  <c r="B435" i="1"/>
  <c r="C434" i="1"/>
  <c r="B434" i="1"/>
  <c r="C433" i="1"/>
  <c r="B433" i="1"/>
  <c r="C432" i="1"/>
  <c r="B432" i="1"/>
  <c r="C431" i="1"/>
  <c r="B431" i="1"/>
  <c r="C430" i="1"/>
  <c r="B430" i="1"/>
  <c r="C429" i="1"/>
  <c r="B429" i="1"/>
  <c r="C428" i="1"/>
  <c r="B428" i="1"/>
  <c r="C427" i="1"/>
  <c r="B427" i="1"/>
  <c r="C426" i="1"/>
  <c r="B426" i="1"/>
  <c r="C425" i="1"/>
  <c r="B425" i="1"/>
  <c r="C424" i="1"/>
  <c r="B424" i="1"/>
  <c r="C423" i="1"/>
  <c r="B423" i="1"/>
  <c r="C422" i="1"/>
  <c r="B422" i="1"/>
  <c r="C421" i="1"/>
  <c r="B421" i="1"/>
  <c r="C420" i="1"/>
  <c r="B420" i="1"/>
  <c r="C419" i="1"/>
  <c r="B419" i="1"/>
  <c r="C418" i="1"/>
  <c r="B418" i="1"/>
  <c r="C417" i="1"/>
  <c r="B417" i="1"/>
  <c r="C416" i="1"/>
  <c r="B416" i="1"/>
  <c r="C415" i="1"/>
  <c r="B415" i="1"/>
  <c r="C414" i="1"/>
  <c r="B414" i="1"/>
  <c r="C413" i="1"/>
  <c r="B413" i="1"/>
  <c r="C412" i="1"/>
  <c r="B412" i="1"/>
  <c r="C411" i="1"/>
  <c r="B411" i="1"/>
  <c r="C410" i="1"/>
  <c r="B410" i="1"/>
  <c r="C409" i="1"/>
  <c r="B409" i="1"/>
  <c r="C408" i="1"/>
  <c r="B408" i="1"/>
  <c r="C407" i="1"/>
  <c r="B407" i="1"/>
  <c r="C406" i="1"/>
  <c r="B406" i="1"/>
  <c r="C405" i="1"/>
  <c r="B405" i="1"/>
  <c r="C404" i="1"/>
  <c r="B404" i="1"/>
  <c r="C403" i="1"/>
  <c r="B403" i="1"/>
  <c r="C402" i="1"/>
  <c r="B402" i="1"/>
  <c r="C401" i="1"/>
  <c r="B401" i="1"/>
  <c r="C400" i="1"/>
  <c r="B400" i="1"/>
  <c r="C399" i="1"/>
  <c r="B399" i="1"/>
  <c r="C398" i="1"/>
  <c r="B398" i="1"/>
  <c r="C397" i="1"/>
  <c r="B397" i="1"/>
  <c r="C396" i="1"/>
  <c r="B396" i="1"/>
  <c r="C395" i="1"/>
  <c r="B395" i="1"/>
  <c r="C394" i="1"/>
  <c r="B394" i="1"/>
  <c r="C393" i="1"/>
  <c r="B393" i="1"/>
  <c r="C392" i="1"/>
  <c r="B392" i="1"/>
  <c r="C391" i="1"/>
  <c r="B391" i="1"/>
  <c r="C390" i="1"/>
  <c r="B390" i="1"/>
  <c r="C389" i="1"/>
  <c r="B389" i="1"/>
  <c r="C388" i="1"/>
  <c r="B388" i="1"/>
  <c r="C387" i="1"/>
  <c r="B387" i="1"/>
  <c r="C386" i="1"/>
  <c r="B386" i="1"/>
  <c r="C385" i="1"/>
  <c r="B385" i="1"/>
  <c r="C384" i="1"/>
  <c r="B384" i="1"/>
  <c r="C383" i="1"/>
  <c r="B383" i="1"/>
  <c r="C382" i="1"/>
  <c r="B382" i="1"/>
  <c r="C381" i="1"/>
  <c r="B381" i="1"/>
  <c r="C380" i="1"/>
  <c r="B380" i="1"/>
  <c r="C379" i="1"/>
  <c r="B379" i="1"/>
  <c r="C378" i="1"/>
  <c r="B378" i="1"/>
  <c r="C377" i="1"/>
  <c r="B377" i="1"/>
  <c r="C376" i="1"/>
  <c r="B376" i="1"/>
  <c r="C375" i="1"/>
  <c r="B375" i="1"/>
  <c r="C374" i="1"/>
  <c r="B374" i="1"/>
  <c r="C373" i="1"/>
  <c r="B373" i="1"/>
  <c r="C372" i="1"/>
  <c r="B372" i="1"/>
  <c r="C371" i="1"/>
  <c r="B371" i="1"/>
  <c r="C370" i="1"/>
  <c r="B370" i="1"/>
  <c r="C369" i="1"/>
  <c r="B369" i="1"/>
  <c r="C368" i="1"/>
  <c r="B368" i="1"/>
  <c r="C367" i="1"/>
  <c r="B367" i="1"/>
  <c r="C366" i="1"/>
  <c r="B366" i="1"/>
  <c r="C365" i="1"/>
  <c r="B365" i="1"/>
  <c r="C364" i="1"/>
  <c r="B364" i="1"/>
  <c r="C363" i="1"/>
  <c r="B363" i="1"/>
  <c r="C362" i="1"/>
  <c r="B362" i="1"/>
  <c r="C361" i="1"/>
  <c r="B361" i="1"/>
  <c r="C360" i="1"/>
  <c r="B360" i="1"/>
  <c r="C359" i="1"/>
  <c r="B359" i="1"/>
  <c r="C358" i="1"/>
  <c r="B358" i="1"/>
  <c r="C357" i="1"/>
  <c r="B357" i="1"/>
  <c r="C356" i="1"/>
  <c r="B356" i="1"/>
  <c r="C355" i="1"/>
  <c r="B355" i="1"/>
  <c r="C354" i="1"/>
  <c r="B354" i="1"/>
  <c r="C353" i="1"/>
  <c r="B353" i="1"/>
  <c r="C352" i="1"/>
  <c r="B352" i="1"/>
  <c r="C351" i="1"/>
  <c r="B351" i="1"/>
  <c r="C350" i="1"/>
  <c r="B350" i="1"/>
  <c r="C349" i="1"/>
  <c r="B349" i="1"/>
  <c r="C348" i="1"/>
  <c r="B348" i="1"/>
  <c r="C347" i="1"/>
  <c r="B347" i="1"/>
  <c r="C346" i="1"/>
  <c r="B346" i="1"/>
  <c r="C345" i="1"/>
  <c r="B345" i="1"/>
  <c r="C344" i="1"/>
  <c r="B344" i="1"/>
  <c r="C343" i="1"/>
  <c r="B343" i="1"/>
  <c r="C342" i="1"/>
  <c r="B342" i="1"/>
  <c r="C341" i="1"/>
  <c r="B341" i="1"/>
  <c r="C340" i="1"/>
  <c r="B340" i="1"/>
  <c r="C339" i="1"/>
  <c r="B339" i="1"/>
  <c r="C338" i="1"/>
  <c r="B338" i="1"/>
  <c r="C337" i="1"/>
  <c r="B337" i="1"/>
  <c r="C336" i="1"/>
  <c r="B336" i="1"/>
  <c r="C335" i="1"/>
  <c r="B335" i="1"/>
  <c r="C334" i="1"/>
  <c r="B334" i="1"/>
  <c r="C333" i="1"/>
  <c r="B333" i="1"/>
  <c r="C332" i="1"/>
  <c r="B332" i="1"/>
  <c r="C331" i="1"/>
  <c r="B331" i="1"/>
  <c r="C330" i="1"/>
  <c r="B330" i="1"/>
  <c r="C329" i="1"/>
  <c r="B329" i="1"/>
  <c r="C328" i="1"/>
  <c r="B328" i="1"/>
  <c r="C327" i="1"/>
  <c r="B327" i="1"/>
  <c r="C326" i="1"/>
  <c r="B326" i="1"/>
  <c r="C325" i="1"/>
  <c r="B325" i="1"/>
  <c r="C324" i="1"/>
  <c r="B324" i="1"/>
  <c r="C323" i="1"/>
  <c r="B323" i="1"/>
  <c r="C322" i="1"/>
  <c r="B322" i="1"/>
  <c r="C321" i="1"/>
  <c r="B321" i="1"/>
  <c r="C320" i="1"/>
  <c r="B320" i="1"/>
  <c r="C319" i="1"/>
  <c r="B319" i="1"/>
  <c r="C318" i="1"/>
  <c r="B318" i="1"/>
  <c r="C317" i="1"/>
  <c r="B317" i="1"/>
  <c r="C316" i="1"/>
  <c r="B316" i="1"/>
  <c r="C315" i="1"/>
  <c r="B315" i="1"/>
  <c r="C314" i="1"/>
  <c r="B314" i="1"/>
  <c r="C313" i="1"/>
  <c r="B313" i="1"/>
  <c r="C312" i="1"/>
  <c r="B312" i="1"/>
  <c r="C311" i="1"/>
  <c r="B311" i="1"/>
  <c r="C310" i="1"/>
  <c r="B310" i="1"/>
  <c r="C309" i="1"/>
  <c r="B309" i="1"/>
  <c r="C308" i="1"/>
  <c r="B308" i="1"/>
  <c r="C307" i="1"/>
  <c r="B307" i="1"/>
  <c r="C306" i="1"/>
  <c r="B306" i="1"/>
  <c r="C305" i="1"/>
  <c r="B305" i="1"/>
  <c r="C304" i="1"/>
  <c r="B304" i="1"/>
  <c r="C303" i="1"/>
  <c r="B303" i="1"/>
  <c r="C302" i="1"/>
  <c r="B302" i="1"/>
  <c r="C301" i="1"/>
  <c r="B301" i="1"/>
  <c r="C300" i="1"/>
  <c r="B300" i="1"/>
  <c r="C299" i="1"/>
  <c r="B299" i="1"/>
  <c r="C298" i="1"/>
  <c r="B298" i="1"/>
  <c r="C297" i="1"/>
  <c r="B297" i="1"/>
  <c r="C296" i="1"/>
  <c r="B296" i="1"/>
  <c r="C295" i="1"/>
  <c r="B295" i="1"/>
  <c r="C294" i="1"/>
  <c r="B294" i="1"/>
  <c r="C293" i="1"/>
  <c r="B293" i="1"/>
  <c r="C292" i="1"/>
  <c r="B292" i="1"/>
  <c r="C291" i="1"/>
  <c r="B291" i="1"/>
  <c r="C290" i="1"/>
  <c r="B290" i="1"/>
  <c r="C289" i="1"/>
  <c r="B289" i="1"/>
  <c r="C288" i="1"/>
  <c r="B288" i="1"/>
  <c r="C287" i="1"/>
  <c r="B287" i="1"/>
  <c r="C286" i="1"/>
  <c r="B286" i="1"/>
  <c r="C285" i="1"/>
  <c r="B285" i="1"/>
  <c r="C284" i="1"/>
  <c r="B284" i="1"/>
  <c r="C283" i="1"/>
  <c r="B283" i="1"/>
  <c r="C282" i="1"/>
  <c r="B282" i="1"/>
  <c r="C281" i="1"/>
  <c r="B281" i="1"/>
  <c r="C280" i="1"/>
  <c r="B280" i="1"/>
  <c r="C279" i="1"/>
  <c r="B279" i="1"/>
  <c r="C278" i="1"/>
  <c r="B278" i="1"/>
  <c r="C277" i="1"/>
  <c r="B277" i="1"/>
  <c r="C276" i="1"/>
  <c r="B276" i="1"/>
  <c r="C275" i="1"/>
  <c r="B275" i="1"/>
  <c r="C274" i="1"/>
  <c r="B274" i="1"/>
  <c r="C273" i="1"/>
  <c r="B273" i="1"/>
  <c r="C272" i="1"/>
  <c r="B272" i="1"/>
  <c r="C271" i="1"/>
  <c r="B271" i="1"/>
  <c r="C270" i="1"/>
  <c r="B270" i="1"/>
  <c r="C269" i="1"/>
  <c r="B269" i="1"/>
  <c r="C268" i="1"/>
  <c r="B268" i="1"/>
  <c r="C267" i="1"/>
  <c r="B267" i="1"/>
  <c r="C266" i="1"/>
  <c r="B266" i="1"/>
  <c r="C265" i="1"/>
  <c r="B265" i="1"/>
  <c r="C264" i="1"/>
  <c r="B264" i="1"/>
  <c r="C263" i="1"/>
  <c r="B263" i="1"/>
  <c r="C262" i="1"/>
  <c r="B262" i="1"/>
  <c r="C261" i="1"/>
  <c r="B261" i="1"/>
  <c r="C260" i="1"/>
  <c r="B260" i="1"/>
  <c r="C259" i="1"/>
  <c r="B259" i="1"/>
  <c r="C258" i="1"/>
  <c r="B258" i="1"/>
  <c r="C257" i="1"/>
  <c r="B257" i="1"/>
  <c r="C256" i="1"/>
  <c r="B256" i="1"/>
  <c r="C255" i="1"/>
  <c r="B255" i="1"/>
  <c r="C254" i="1"/>
  <c r="B254" i="1"/>
  <c r="C253" i="1"/>
  <c r="B253" i="1"/>
  <c r="C252" i="1"/>
  <c r="B252" i="1"/>
  <c r="C251" i="1"/>
  <c r="B251" i="1"/>
  <c r="C250" i="1"/>
  <c r="B250" i="1"/>
  <c r="C249" i="1"/>
  <c r="B249" i="1"/>
  <c r="C248" i="1"/>
  <c r="B248" i="1"/>
  <c r="C247" i="1"/>
  <c r="B247" i="1"/>
  <c r="C246" i="1"/>
  <c r="B246" i="1"/>
  <c r="C245" i="1"/>
  <c r="B245" i="1"/>
  <c r="C244" i="1"/>
  <c r="B244" i="1"/>
  <c r="C243" i="1"/>
  <c r="B243" i="1"/>
  <c r="C242" i="1"/>
  <c r="B242" i="1"/>
  <c r="C241" i="1"/>
  <c r="B241" i="1"/>
  <c r="C240" i="1"/>
  <c r="B240" i="1"/>
  <c r="C239" i="1"/>
  <c r="B239" i="1"/>
  <c r="C238" i="1"/>
  <c r="B238" i="1"/>
  <c r="C237" i="1"/>
  <c r="B237" i="1"/>
  <c r="C236" i="1"/>
  <c r="B236" i="1"/>
  <c r="C235" i="1"/>
  <c r="B235" i="1"/>
  <c r="C234" i="1"/>
  <c r="B234" i="1"/>
  <c r="C233" i="1"/>
  <c r="B233" i="1"/>
  <c r="C232" i="1"/>
  <c r="B232" i="1"/>
  <c r="C231" i="1"/>
  <c r="B231" i="1"/>
  <c r="C230" i="1"/>
  <c r="B230" i="1"/>
  <c r="C229" i="1"/>
  <c r="B229" i="1"/>
  <c r="C228" i="1"/>
  <c r="B228" i="1"/>
  <c r="C227" i="1"/>
  <c r="B227" i="1"/>
  <c r="C226" i="1"/>
  <c r="B226" i="1"/>
  <c r="C225" i="1"/>
  <c r="B225" i="1"/>
  <c r="C224" i="1"/>
  <c r="B224" i="1"/>
  <c r="C223" i="1"/>
  <c r="B223" i="1"/>
  <c r="C222" i="1"/>
  <c r="B222" i="1"/>
  <c r="C221" i="1"/>
  <c r="B221" i="1"/>
  <c r="C220" i="1"/>
  <c r="B220" i="1"/>
  <c r="C219" i="1"/>
  <c r="B219" i="1"/>
  <c r="C218" i="1"/>
  <c r="B218" i="1"/>
  <c r="C217" i="1"/>
  <c r="B217" i="1"/>
  <c r="C216" i="1"/>
  <c r="B216" i="1"/>
  <c r="C215" i="1"/>
  <c r="B215" i="1"/>
  <c r="C214" i="1"/>
  <c r="B214" i="1"/>
  <c r="C213" i="1"/>
  <c r="B213" i="1"/>
  <c r="C212" i="1"/>
  <c r="B212" i="1"/>
  <c r="C211" i="1"/>
  <c r="B211" i="1"/>
  <c r="C210" i="1"/>
  <c r="B210" i="1"/>
  <c r="C209" i="1"/>
  <c r="B209" i="1"/>
  <c r="C208" i="1"/>
  <c r="B208" i="1"/>
  <c r="C207" i="1"/>
  <c r="B207" i="1"/>
  <c r="C206" i="1"/>
  <c r="B206" i="1"/>
  <c r="C205" i="1"/>
  <c r="B205" i="1"/>
  <c r="C204" i="1"/>
  <c r="B204" i="1"/>
  <c r="C203" i="1"/>
  <c r="B203" i="1"/>
  <c r="C202" i="1"/>
  <c r="B202" i="1"/>
  <c r="C201" i="1"/>
  <c r="B201" i="1"/>
  <c r="C200" i="1"/>
  <c r="B200" i="1"/>
  <c r="C199" i="1"/>
  <c r="B199" i="1"/>
  <c r="C198" i="1"/>
  <c r="B198" i="1"/>
  <c r="C197" i="1"/>
  <c r="B197" i="1"/>
  <c r="C196" i="1"/>
  <c r="B196" i="1"/>
  <c r="C195" i="1"/>
  <c r="B195" i="1"/>
  <c r="C194" i="1"/>
  <c r="B194" i="1"/>
  <c r="C193" i="1"/>
  <c r="B193" i="1"/>
  <c r="C192" i="1"/>
  <c r="B192" i="1"/>
  <c r="C191" i="1"/>
  <c r="B191" i="1"/>
  <c r="C190" i="1"/>
  <c r="B190" i="1"/>
  <c r="C189" i="1"/>
  <c r="B189" i="1"/>
  <c r="C188" i="1"/>
  <c r="B188" i="1"/>
  <c r="C187" i="1"/>
  <c r="B187" i="1"/>
  <c r="C186" i="1"/>
  <c r="B186" i="1"/>
  <c r="C185" i="1"/>
  <c r="B185" i="1"/>
  <c r="C184" i="1"/>
  <c r="B184" i="1"/>
  <c r="C183" i="1"/>
  <c r="B183" i="1"/>
  <c r="C182" i="1"/>
  <c r="B182" i="1"/>
  <c r="C181" i="1"/>
  <c r="B181" i="1"/>
  <c r="C180" i="1"/>
  <c r="B180" i="1"/>
  <c r="C179" i="1"/>
  <c r="B179" i="1"/>
  <c r="C178" i="1"/>
  <c r="B178" i="1"/>
  <c r="C177" i="1"/>
  <c r="B177" i="1"/>
  <c r="C176" i="1"/>
  <c r="B176" i="1"/>
  <c r="C175" i="1"/>
  <c r="B175" i="1"/>
  <c r="C174" i="1"/>
  <c r="B174" i="1"/>
  <c r="C173" i="1"/>
  <c r="B173" i="1"/>
  <c r="C172" i="1"/>
  <c r="B172" i="1"/>
  <c r="C171" i="1"/>
  <c r="B171" i="1"/>
  <c r="C170" i="1"/>
  <c r="B170" i="1"/>
  <c r="C169" i="1"/>
  <c r="B169" i="1"/>
  <c r="C168" i="1"/>
  <c r="B168" i="1"/>
  <c r="C167" i="1"/>
  <c r="B167" i="1"/>
  <c r="C166" i="1"/>
  <c r="B166" i="1"/>
  <c r="C165" i="1"/>
  <c r="B165" i="1"/>
  <c r="C164" i="1"/>
  <c r="B164" i="1"/>
  <c r="C163" i="1"/>
  <c r="B163" i="1"/>
  <c r="C162" i="1"/>
  <c r="B162" i="1"/>
  <c r="C161" i="1"/>
  <c r="B161" i="1"/>
  <c r="C160" i="1"/>
  <c r="B160" i="1"/>
  <c r="C159" i="1"/>
  <c r="B159" i="1"/>
  <c r="C158" i="1"/>
  <c r="B158" i="1"/>
  <c r="C157" i="1"/>
  <c r="B157" i="1"/>
  <c r="C156" i="1"/>
  <c r="B156" i="1"/>
  <c r="C155" i="1"/>
  <c r="B155" i="1"/>
  <c r="C154" i="1"/>
  <c r="B154" i="1"/>
  <c r="C153" i="1"/>
  <c r="B153" i="1"/>
  <c r="C152" i="1"/>
  <c r="B152" i="1"/>
  <c r="C151" i="1"/>
  <c r="B151" i="1"/>
  <c r="C150" i="1"/>
  <c r="B150" i="1"/>
  <c r="C149" i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A1" i="1"/>
  <c r="B105" i="3" l="1"/>
  <c r="B101" i="3"/>
  <c r="B97" i="3"/>
  <c r="B93" i="3"/>
  <c r="B125" i="3"/>
  <c r="B115" i="3"/>
  <c r="B109" i="3"/>
  <c r="B111" i="3"/>
  <c r="B100" i="3"/>
  <c r="B79" i="3"/>
  <c r="B90" i="3"/>
  <c r="B106" i="3"/>
  <c r="B92" i="3"/>
  <c r="B102" i="3"/>
  <c r="B122" i="3"/>
  <c r="B75" i="3"/>
  <c r="B71" i="3"/>
  <c r="B89" i="3"/>
  <c r="B116" i="3"/>
  <c r="B117" i="3"/>
  <c r="B118" i="3"/>
  <c r="B119" i="3"/>
  <c r="B64" i="3"/>
  <c r="B88" i="3"/>
  <c r="B85" i="3"/>
  <c r="B86" i="3"/>
  <c r="B67" i="3"/>
  <c r="B56" i="3"/>
  <c r="B9" i="3"/>
  <c r="B14" i="3"/>
  <c r="B40" i="3"/>
  <c r="B17" i="3"/>
  <c r="B60" i="3"/>
  <c r="B36" i="3"/>
  <c r="B26" i="3"/>
  <c r="B52" i="3"/>
  <c r="B6" i="3"/>
  <c r="B7" i="3"/>
  <c r="B44" i="3"/>
  <c r="B28" i="3"/>
  <c r="B5" i="3"/>
  <c r="B77" i="3"/>
  <c r="B78" i="3"/>
  <c r="B83" i="3"/>
  <c r="B68" i="3"/>
  <c r="B72" i="3"/>
  <c r="B69" i="3"/>
  <c r="B74" i="3"/>
  <c r="B73" i="3"/>
  <c r="B70" i="3"/>
  <c r="B76" i="3"/>
  <c r="B80" i="3"/>
  <c r="B81" i="3"/>
  <c r="B15" i="3"/>
  <c r="B19" i="3"/>
  <c r="B20" i="3"/>
  <c r="B22" i="3"/>
  <c r="B82" i="3"/>
  <c r="B84" i="3"/>
  <c r="B21" i="3"/>
  <c r="B16" i="3"/>
  <c r="B18" i="3"/>
  <c r="B12" i="3"/>
  <c r="B11" i="3"/>
  <c r="B8" i="3"/>
  <c r="B24" i="3"/>
  <c r="B57" i="3"/>
  <c r="B43" i="3"/>
  <c r="B27" i="3"/>
  <c r="B50" i="3"/>
  <c r="B25" i="3"/>
  <c r="B35" i="3"/>
  <c r="B34" i="3"/>
  <c r="B46" i="3"/>
  <c r="B30" i="3"/>
  <c r="B53" i="3"/>
  <c r="B37" i="3"/>
  <c r="B59" i="3"/>
  <c r="B62" i="3"/>
  <c r="B42" i="3"/>
  <c r="B49" i="3"/>
  <c r="B63" i="3"/>
  <c r="B47" i="3"/>
  <c r="B39" i="3"/>
  <c r="B31" i="3"/>
  <c r="B23" i="3"/>
  <c r="B41" i="3"/>
  <c r="B51" i="3"/>
  <c r="B58" i="3"/>
  <c r="B33" i="3"/>
  <c r="B55" i="3"/>
  <c r="B54" i="3"/>
  <c r="B38" i="3"/>
  <c r="B61" i="3"/>
  <c r="B45" i="3"/>
  <c r="B29" i="3"/>
  <c r="J293" i="1" l="1"/>
  <c r="J292" i="1"/>
  <c r="J291" i="1"/>
  <c r="V543" i="1" l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20" i="1"/>
  <c r="V19" i="1"/>
  <c r="V17" i="1"/>
  <c r="V18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530" i="1"/>
  <c r="V528" i="1"/>
  <c r="V527" i="1"/>
  <c r="V526" i="1"/>
  <c r="V525" i="1"/>
  <c r="V529" i="1"/>
  <c r="V524" i="1"/>
  <c r="V523" i="1"/>
  <c r="V522" i="1"/>
  <c r="V519" i="1"/>
  <c r="V518" i="1"/>
  <c r="V517" i="1"/>
  <c r="V516" i="1"/>
  <c r="V521" i="1"/>
  <c r="V515" i="1"/>
  <c r="V520" i="1"/>
  <c r="V514" i="1"/>
  <c r="V513" i="1"/>
  <c r="V508" i="1"/>
  <c r="V512" i="1"/>
  <c r="V511" i="1"/>
  <c r="V507" i="1"/>
  <c r="V510" i="1"/>
  <c r="V506" i="1"/>
  <c r="V509" i="1"/>
  <c r="V504" i="1"/>
  <c r="V505" i="1"/>
  <c r="V500" i="1"/>
  <c r="V503" i="1"/>
  <c r="V502" i="1"/>
  <c r="V499" i="1"/>
  <c r="V501" i="1"/>
  <c r="V497" i="1"/>
  <c r="V498" i="1"/>
  <c r="V496" i="1"/>
  <c r="V495" i="1"/>
  <c r="V494" i="1"/>
  <c r="V493" i="1"/>
  <c r="V491" i="1"/>
  <c r="V492" i="1"/>
  <c r="V490" i="1"/>
  <c r="V489" i="1"/>
  <c r="V486" i="1"/>
  <c r="V484" i="1"/>
  <c r="V488" i="1"/>
  <c r="V487" i="1"/>
  <c r="V485" i="1"/>
  <c r="V483" i="1"/>
  <c r="V481" i="1"/>
  <c r="V482" i="1"/>
  <c r="V479" i="1"/>
  <c r="V478" i="1"/>
  <c r="V480" i="1"/>
  <c r="V477" i="1"/>
  <c r="V476" i="1"/>
  <c r="V475" i="1"/>
  <c r="V474" i="1"/>
  <c r="V473" i="1"/>
  <c r="V472" i="1"/>
  <c r="V471" i="1"/>
  <c r="V470" i="1"/>
  <c r="V468" i="1"/>
  <c r="V469" i="1"/>
  <c r="V467" i="1"/>
  <c r="V464" i="1"/>
  <c r="V463" i="1"/>
  <c r="V466" i="1"/>
  <c r="V465" i="1"/>
  <c r="V462" i="1"/>
  <c r="V461" i="1"/>
  <c r="V460" i="1"/>
  <c r="V456" i="1"/>
  <c r="V459" i="1"/>
  <c r="V458" i="1"/>
  <c r="V455" i="1"/>
  <c r="V454" i="1"/>
  <c r="V457" i="1"/>
  <c r="V453" i="1"/>
  <c r="V452" i="1"/>
  <c r="V451" i="1"/>
  <c r="V450" i="1"/>
  <c r="V446" i="1"/>
  <c r="V449" i="1"/>
  <c r="V445" i="1"/>
  <c r="V448" i="1"/>
  <c r="V447" i="1"/>
  <c r="V444" i="1"/>
  <c r="V443" i="1"/>
  <c r="V442" i="1"/>
  <c r="V441" i="1"/>
  <c r="V440" i="1"/>
  <c r="V437" i="1"/>
  <c r="V439" i="1"/>
  <c r="V438" i="1"/>
  <c r="V436" i="1"/>
  <c r="V435" i="1"/>
  <c r="V434" i="1"/>
  <c r="V433" i="1"/>
  <c r="V432" i="1"/>
  <c r="V431" i="1"/>
  <c r="V428" i="1"/>
  <c r="V427" i="1"/>
  <c r="V425" i="1"/>
  <c r="V426" i="1"/>
  <c r="V429" i="1"/>
  <c r="V424" i="1"/>
  <c r="V430" i="1"/>
  <c r="V423" i="1"/>
  <c r="V420" i="1"/>
  <c r="V419" i="1"/>
  <c r="V418" i="1"/>
  <c r="V422" i="1"/>
  <c r="V417" i="1"/>
  <c r="V416" i="1"/>
  <c r="V421" i="1"/>
  <c r="V415" i="1"/>
  <c r="V414" i="1"/>
  <c r="V413" i="1"/>
  <c r="V412" i="1"/>
  <c r="V408" i="1"/>
  <c r="V406" i="1"/>
  <c r="V405" i="1"/>
  <c r="V404" i="1"/>
  <c r="V403" i="1"/>
  <c r="V409" i="1"/>
  <c r="V407" i="1"/>
  <c r="V410" i="1"/>
  <c r="V402" i="1"/>
  <c r="V401" i="1"/>
  <c r="V400" i="1"/>
  <c r="V398" i="1"/>
  <c r="V397" i="1"/>
  <c r="V396" i="1"/>
  <c r="V395" i="1"/>
  <c r="V399" i="1"/>
  <c r="V392" i="1"/>
  <c r="V391" i="1"/>
  <c r="V390" i="1"/>
  <c r="V411" i="1"/>
  <c r="V384" i="1"/>
  <c r="V387" i="1"/>
  <c r="V389" i="1"/>
  <c r="V386" i="1"/>
  <c r="V385" i="1"/>
  <c r="V388" i="1"/>
  <c r="V383" i="1"/>
  <c r="V382" i="1"/>
  <c r="V376" i="1"/>
  <c r="V375" i="1"/>
  <c r="V381" i="1"/>
  <c r="V380" i="1"/>
  <c r="V377" i="1"/>
  <c r="V379" i="1"/>
  <c r="V378" i="1"/>
  <c r="V373" i="1"/>
  <c r="V372" i="1"/>
  <c r="V374" i="1"/>
  <c r="V371" i="1"/>
  <c r="V370" i="1"/>
  <c r="V368" i="1"/>
  <c r="V366" i="1"/>
  <c r="V364" i="1"/>
  <c r="V363" i="1"/>
  <c r="V367" i="1"/>
  <c r="V357" i="1"/>
  <c r="V369" i="1"/>
  <c r="V362" i="1"/>
  <c r="V361" i="1"/>
  <c r="V359" i="1"/>
  <c r="V365" i="1"/>
  <c r="V358" i="1"/>
  <c r="V360" i="1"/>
  <c r="V355" i="1"/>
  <c r="V356" i="1"/>
  <c r="V354" i="1"/>
  <c r="V353" i="1"/>
  <c r="V350" i="1"/>
  <c r="V348" i="1"/>
  <c r="V344" i="1"/>
  <c r="V352" i="1"/>
  <c r="V347" i="1"/>
  <c r="V351" i="1"/>
  <c r="V345" i="1"/>
  <c r="V343" i="1"/>
  <c r="V341" i="1"/>
  <c r="V340" i="1"/>
  <c r="V339" i="1"/>
  <c r="V342" i="1"/>
  <c r="V346" i="1"/>
  <c r="V338" i="1"/>
  <c r="V337" i="1"/>
  <c r="V336" i="1"/>
  <c r="V335" i="1"/>
  <c r="V334" i="1"/>
  <c r="V333" i="1"/>
  <c r="V332" i="1"/>
  <c r="V331" i="1"/>
  <c r="V316" i="1"/>
  <c r="V328" i="1"/>
  <c r="V329" i="1"/>
  <c r="V327" i="1"/>
  <c r="V326" i="1"/>
  <c r="V317" i="1"/>
  <c r="V325" i="1"/>
  <c r="V330" i="1"/>
  <c r="V324" i="1"/>
  <c r="V321" i="1"/>
  <c r="V320" i="1"/>
  <c r="V319" i="1"/>
  <c r="V322" i="1"/>
  <c r="V318" i="1"/>
  <c r="V323" i="1"/>
  <c r="V349" i="1"/>
  <c r="V315" i="1"/>
  <c r="V314" i="1"/>
  <c r="V313" i="1"/>
  <c r="V312" i="1"/>
  <c r="V311" i="1"/>
  <c r="V310" i="1"/>
  <c r="V309" i="1"/>
  <c r="V308" i="1"/>
  <c r="V306" i="1"/>
  <c r="V307" i="1"/>
  <c r="V305" i="1"/>
  <c r="V304" i="1"/>
  <c r="V303" i="1"/>
  <c r="V299" i="1"/>
  <c r="V302" i="1"/>
  <c r="V301" i="1"/>
  <c r="V300" i="1"/>
  <c r="V298" i="1"/>
  <c r="V297" i="1"/>
  <c r="V294" i="1"/>
  <c r="V296" i="1"/>
  <c r="V295" i="1"/>
  <c r="V393" i="1"/>
  <c r="V293" i="1"/>
  <c r="V288" i="1"/>
  <c r="V287" i="1"/>
  <c r="V292" i="1"/>
  <c r="V291" i="1"/>
  <c r="V290" i="1"/>
  <c r="V286" i="1"/>
  <c r="V289" i="1"/>
  <c r="V285" i="1"/>
  <c r="V284" i="1"/>
  <c r="V281" i="1"/>
  <c r="V394" i="1"/>
  <c r="V280" i="1"/>
  <c r="V279" i="1"/>
  <c r="V282" i="1"/>
  <c r="V283" i="1"/>
  <c r="V278" i="1"/>
  <c r="V277" i="1"/>
  <c r="V274" i="1"/>
  <c r="V273" i="1"/>
  <c r="V272" i="1"/>
  <c r="V270" i="1"/>
  <c r="V276" i="1"/>
  <c r="V275" i="1"/>
  <c r="V269" i="1"/>
  <c r="V271" i="1"/>
  <c r="V267" i="1"/>
  <c r="V266" i="1"/>
  <c r="V265" i="1"/>
  <c r="V264" i="1"/>
  <c r="V268" i="1"/>
  <c r="V263" i="1"/>
  <c r="V262" i="1"/>
  <c r="V261" i="1"/>
  <c r="V260" i="1"/>
  <c r="V259" i="1"/>
  <c r="V258" i="1"/>
  <c r="V257" i="1"/>
  <c r="V256" i="1"/>
  <c r="V254" i="1"/>
  <c r="V250" i="1"/>
  <c r="V249" i="1"/>
  <c r="V253" i="1"/>
  <c r="V252" i="1"/>
  <c r="V248" i="1"/>
  <c r="V247" i="1"/>
  <c r="V246" i="1"/>
  <c r="V243" i="1"/>
  <c r="V251" i="1"/>
  <c r="V245" i="1"/>
  <c r="V242" i="1"/>
  <c r="V244" i="1"/>
  <c r="V241" i="1"/>
  <c r="V240" i="1"/>
  <c r="V237" i="1"/>
  <c r="V239" i="1"/>
  <c r="V236" i="1"/>
  <c r="V238" i="1"/>
  <c r="V235" i="1"/>
  <c r="V233" i="1"/>
  <c r="V231" i="1"/>
  <c r="V229" i="1"/>
  <c r="V227" i="1"/>
  <c r="V226" i="1"/>
  <c r="V234" i="1"/>
  <c r="V232" i="1"/>
  <c r="V225" i="1"/>
  <c r="V230" i="1"/>
  <c r="V228" i="1"/>
  <c r="V223" i="1"/>
  <c r="V222" i="1"/>
  <c r="V255" i="1"/>
  <c r="V221" i="1"/>
  <c r="V224" i="1"/>
  <c r="V220" i="1"/>
  <c r="V219" i="1"/>
  <c r="V218" i="1"/>
  <c r="V216" i="1"/>
  <c r="V215" i="1"/>
  <c r="V214" i="1"/>
  <c r="V213" i="1"/>
  <c r="V217" i="1"/>
  <c r="V212" i="1"/>
  <c r="V210" i="1"/>
  <c r="V209" i="1"/>
  <c r="V207" i="1"/>
  <c r="V206" i="1"/>
  <c r="V211" i="1"/>
  <c r="V205" i="1"/>
  <c r="V208" i="1"/>
  <c r="V204" i="1"/>
  <c r="V203" i="1"/>
  <c r="V199" i="1"/>
  <c r="V200" i="1"/>
  <c r="V198" i="1"/>
  <c r="V201" i="1"/>
  <c r="V196" i="1"/>
  <c r="V197" i="1"/>
  <c r="V195" i="1"/>
  <c r="V202" i="1"/>
  <c r="V193" i="1"/>
  <c r="V191" i="1"/>
  <c r="V189" i="1"/>
  <c r="V192" i="1"/>
  <c r="V190" i="1"/>
  <c r="V187" i="1"/>
  <c r="V194" i="1"/>
  <c r="V186" i="1"/>
  <c r="V188" i="1"/>
  <c r="V184" i="1"/>
  <c r="V183" i="1"/>
  <c r="V185" i="1"/>
  <c r="V181" i="1"/>
  <c r="V180" i="1"/>
  <c r="V179" i="1"/>
  <c r="V178" i="1"/>
  <c r="V182" i="1"/>
  <c r="V177" i="1"/>
  <c r="V176" i="1"/>
  <c r="V175" i="1"/>
  <c r="V173" i="1"/>
  <c r="V172" i="1"/>
  <c r="V174" i="1"/>
  <c r="V170" i="1"/>
  <c r="V169" i="1"/>
  <c r="V167" i="1"/>
  <c r="V166" i="1"/>
  <c r="V165" i="1"/>
  <c r="V168" i="1"/>
  <c r="V164" i="1"/>
  <c r="V163" i="1"/>
  <c r="V162" i="1"/>
  <c r="V171" i="1"/>
  <c r="V161" i="1"/>
  <c r="V157" i="1"/>
  <c r="V160" i="1"/>
  <c r="V158" i="1"/>
  <c r="V156" i="1"/>
  <c r="V159" i="1"/>
  <c r="V155" i="1"/>
  <c r="V154" i="1"/>
  <c r="V153" i="1"/>
  <c r="V152" i="1"/>
  <c r="V150" i="1"/>
  <c r="V149" i="1"/>
  <c r="V151" i="1"/>
  <c r="V148" i="1"/>
  <c r="V147" i="1"/>
  <c r="V146" i="1"/>
  <c r="V145" i="1"/>
  <c r="V143" i="1"/>
  <c r="V142" i="1"/>
  <c r="V141" i="1"/>
  <c r="V144" i="1"/>
  <c r="V140" i="1"/>
  <c r="V139" i="1"/>
  <c r="V138" i="1"/>
  <c r="V137" i="1"/>
  <c r="V136" i="1"/>
  <c r="V135" i="1"/>
  <c r="V134" i="1"/>
  <c r="V133" i="1"/>
  <c r="V132" i="1"/>
  <c r="V131" i="1"/>
  <c r="V130" i="1"/>
  <c r="V128" i="1"/>
  <c r="V127" i="1"/>
  <c r="V129" i="1"/>
  <c r="V125" i="1"/>
  <c r="V124" i="1"/>
  <c r="V123" i="1"/>
  <c r="V126" i="1"/>
  <c r="V122" i="1"/>
  <c r="V121" i="1"/>
  <c r="V120" i="1"/>
  <c r="V115" i="1"/>
  <c r="V119" i="1"/>
  <c r="V114" i="1"/>
  <c r="V118" i="1"/>
  <c r="V117" i="1"/>
  <c r="V116" i="1"/>
  <c r="V113" i="1"/>
  <c r="V112" i="1"/>
  <c r="V109" i="1"/>
  <c r="V108" i="1"/>
  <c r="V107" i="1"/>
  <c r="V111" i="1"/>
  <c r="V106" i="1"/>
  <c r="V110" i="1"/>
  <c r="V105" i="1"/>
  <c r="V104" i="1"/>
  <c r="V100" i="1"/>
  <c r="V103" i="1"/>
  <c r="V101" i="1"/>
  <c r="V98" i="1"/>
  <c r="V102" i="1"/>
  <c r="V97" i="1"/>
  <c r="V99" i="1"/>
  <c r="V96" i="1"/>
  <c r="V95" i="1"/>
  <c r="V94" i="1"/>
  <c r="V93" i="1"/>
  <c r="V92" i="1"/>
  <c r="V91" i="1"/>
  <c r="V90" i="1"/>
  <c r="V88" i="1"/>
  <c r="V89" i="1"/>
  <c r="V87" i="1"/>
  <c r="V86" i="1"/>
  <c r="V85" i="1"/>
  <c r="V84" i="1"/>
  <c r="V82" i="1"/>
  <c r="V81" i="1"/>
  <c r="V80" i="1"/>
  <c r="V78" i="1"/>
  <c r="V77" i="1"/>
  <c r="V83" i="1"/>
  <c r="V74" i="1"/>
  <c r="V73" i="1"/>
  <c r="V79" i="1"/>
  <c r="V72" i="1"/>
  <c r="V76" i="1"/>
  <c r="V75" i="1"/>
  <c r="V71" i="1"/>
  <c r="V70" i="1"/>
  <c r="V69" i="1"/>
  <c r="V68" i="1"/>
  <c r="V67" i="1"/>
  <c r="V66" i="1"/>
  <c r="V64" i="1"/>
  <c r="V65" i="1"/>
  <c r="V61" i="1"/>
  <c r="V63" i="1"/>
  <c r="V62" i="1"/>
  <c r="V60" i="1"/>
  <c r="V58" i="1"/>
  <c r="V59" i="1"/>
  <c r="V57" i="1"/>
  <c r="V55" i="1"/>
  <c r="V56" i="1"/>
  <c r="V54" i="1"/>
  <c r="V53" i="1"/>
  <c r="V52" i="1"/>
  <c r="V51" i="1"/>
  <c r="V50" i="1"/>
  <c r="V49" i="1"/>
  <c r="V48" i="1"/>
  <c r="V45" i="1"/>
  <c r="V47" i="1"/>
  <c r="V44" i="1"/>
  <c r="V43" i="1"/>
  <c r="V46" i="1"/>
  <c r="V42" i="1"/>
  <c r="V41" i="1"/>
  <c r="V40" i="1"/>
  <c r="V38" i="1"/>
  <c r="V37" i="1"/>
  <c r="V35" i="1"/>
  <c r="V39" i="1"/>
  <c r="V34" i="1"/>
  <c r="V36" i="1"/>
  <c r="V33" i="1"/>
  <c r="V32" i="1"/>
  <c r="V31" i="1"/>
  <c r="V30" i="1"/>
  <c r="V29" i="1"/>
  <c r="V28" i="1"/>
  <c r="V26" i="1"/>
  <c r="V27" i="1"/>
  <c r="V25" i="1"/>
  <c r="V24" i="1"/>
  <c r="V23" i="1"/>
  <c r="V22" i="1"/>
  <c r="V21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20" i="1"/>
  <c r="K19" i="1"/>
  <c r="K17" i="1"/>
  <c r="K18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530" i="1"/>
  <c r="K528" i="1"/>
  <c r="K527" i="1"/>
  <c r="K526" i="1"/>
  <c r="K525" i="1"/>
  <c r="K529" i="1"/>
  <c r="K524" i="1"/>
  <c r="K523" i="1"/>
  <c r="K522" i="1"/>
  <c r="K519" i="1"/>
  <c r="K518" i="1"/>
  <c r="K517" i="1"/>
  <c r="K516" i="1"/>
  <c r="K521" i="1"/>
  <c r="K515" i="1"/>
  <c r="K520" i="1"/>
  <c r="K514" i="1"/>
  <c r="K513" i="1"/>
  <c r="K508" i="1"/>
  <c r="K512" i="1"/>
  <c r="K511" i="1"/>
  <c r="K507" i="1"/>
  <c r="K510" i="1"/>
  <c r="K506" i="1"/>
  <c r="K509" i="1"/>
  <c r="K504" i="1"/>
  <c r="K505" i="1"/>
  <c r="K500" i="1"/>
  <c r="K503" i="1"/>
  <c r="K502" i="1"/>
  <c r="K499" i="1"/>
  <c r="K501" i="1"/>
  <c r="K497" i="1"/>
  <c r="K498" i="1"/>
  <c r="K496" i="1"/>
  <c r="K495" i="1"/>
  <c r="K494" i="1"/>
  <c r="K493" i="1"/>
  <c r="K491" i="1"/>
  <c r="K492" i="1"/>
  <c r="K490" i="1"/>
  <c r="K489" i="1"/>
  <c r="K486" i="1"/>
  <c r="K484" i="1"/>
  <c r="K488" i="1"/>
  <c r="K487" i="1"/>
  <c r="K485" i="1"/>
  <c r="K483" i="1"/>
  <c r="K481" i="1"/>
  <c r="K482" i="1"/>
  <c r="K479" i="1"/>
  <c r="K478" i="1"/>
  <c r="K480" i="1"/>
  <c r="K477" i="1"/>
  <c r="K476" i="1"/>
  <c r="K475" i="1"/>
  <c r="K474" i="1"/>
  <c r="K473" i="1"/>
  <c r="K472" i="1"/>
  <c r="K471" i="1"/>
  <c r="K470" i="1"/>
  <c r="K468" i="1"/>
  <c r="K469" i="1"/>
  <c r="K467" i="1"/>
  <c r="K464" i="1"/>
  <c r="K463" i="1"/>
  <c r="K466" i="1"/>
  <c r="K465" i="1"/>
  <c r="K462" i="1"/>
  <c r="K461" i="1"/>
  <c r="K460" i="1"/>
  <c r="K456" i="1"/>
  <c r="K459" i="1"/>
  <c r="K458" i="1"/>
  <c r="K455" i="1"/>
  <c r="K454" i="1"/>
  <c r="K457" i="1"/>
  <c r="K453" i="1"/>
  <c r="K452" i="1"/>
  <c r="K451" i="1"/>
  <c r="K450" i="1"/>
  <c r="K446" i="1"/>
  <c r="K449" i="1"/>
  <c r="K445" i="1"/>
  <c r="K448" i="1"/>
  <c r="K447" i="1"/>
  <c r="K444" i="1"/>
  <c r="K443" i="1"/>
  <c r="K442" i="1"/>
  <c r="K441" i="1"/>
  <c r="K440" i="1"/>
  <c r="K437" i="1"/>
  <c r="K439" i="1"/>
  <c r="K438" i="1"/>
  <c r="K436" i="1"/>
  <c r="K435" i="1"/>
  <c r="K434" i="1"/>
  <c r="K433" i="1"/>
  <c r="K432" i="1"/>
  <c r="K431" i="1"/>
  <c r="K428" i="1"/>
  <c r="K427" i="1"/>
  <c r="K425" i="1"/>
  <c r="K426" i="1"/>
  <c r="K429" i="1"/>
  <c r="K424" i="1"/>
  <c r="K430" i="1"/>
  <c r="K423" i="1"/>
  <c r="K420" i="1"/>
  <c r="K419" i="1"/>
  <c r="K418" i="1"/>
  <c r="K422" i="1"/>
  <c r="K417" i="1"/>
  <c r="K416" i="1"/>
  <c r="K421" i="1"/>
  <c r="K415" i="1"/>
  <c r="K414" i="1"/>
  <c r="K413" i="1"/>
  <c r="K412" i="1"/>
  <c r="K408" i="1"/>
  <c r="K406" i="1"/>
  <c r="K405" i="1"/>
  <c r="K404" i="1"/>
  <c r="K403" i="1"/>
  <c r="K409" i="1"/>
  <c r="K407" i="1"/>
  <c r="K410" i="1"/>
  <c r="K402" i="1"/>
  <c r="K401" i="1"/>
  <c r="K400" i="1"/>
  <c r="K398" i="1"/>
  <c r="K397" i="1"/>
  <c r="K396" i="1"/>
  <c r="K395" i="1"/>
  <c r="K399" i="1"/>
  <c r="K392" i="1"/>
  <c r="K391" i="1"/>
  <c r="K390" i="1"/>
  <c r="K411" i="1"/>
  <c r="K384" i="1"/>
  <c r="K387" i="1"/>
  <c r="K389" i="1"/>
  <c r="K386" i="1"/>
  <c r="K385" i="1"/>
  <c r="K388" i="1"/>
  <c r="K383" i="1"/>
  <c r="K382" i="1"/>
  <c r="K376" i="1"/>
  <c r="K375" i="1"/>
  <c r="K381" i="1"/>
  <c r="K380" i="1"/>
  <c r="K377" i="1"/>
  <c r="K379" i="1"/>
  <c r="K378" i="1"/>
  <c r="K373" i="1"/>
  <c r="K372" i="1"/>
  <c r="K374" i="1"/>
  <c r="K371" i="1"/>
  <c r="K370" i="1"/>
  <c r="K368" i="1"/>
  <c r="K366" i="1"/>
  <c r="K364" i="1"/>
  <c r="K363" i="1"/>
  <c r="K367" i="1"/>
  <c r="K357" i="1"/>
  <c r="K369" i="1"/>
  <c r="K362" i="1"/>
  <c r="K361" i="1"/>
  <c r="K359" i="1"/>
  <c r="K365" i="1"/>
  <c r="K358" i="1"/>
  <c r="K360" i="1"/>
  <c r="K355" i="1"/>
  <c r="K356" i="1"/>
  <c r="K354" i="1"/>
  <c r="K353" i="1"/>
  <c r="K350" i="1"/>
  <c r="K348" i="1"/>
  <c r="K344" i="1"/>
  <c r="K352" i="1"/>
  <c r="K347" i="1"/>
  <c r="K351" i="1"/>
  <c r="K345" i="1"/>
  <c r="K343" i="1"/>
  <c r="K341" i="1"/>
  <c r="K340" i="1"/>
  <c r="K339" i="1"/>
  <c r="K342" i="1"/>
  <c r="K346" i="1"/>
  <c r="K338" i="1"/>
  <c r="K337" i="1"/>
  <c r="K336" i="1"/>
  <c r="K335" i="1"/>
  <c r="K334" i="1"/>
  <c r="K333" i="1"/>
  <c r="K332" i="1"/>
  <c r="K331" i="1"/>
  <c r="K316" i="1"/>
  <c r="K328" i="1"/>
  <c r="K329" i="1"/>
  <c r="K327" i="1"/>
  <c r="K326" i="1"/>
  <c r="K317" i="1"/>
  <c r="K325" i="1"/>
  <c r="K330" i="1"/>
  <c r="K324" i="1"/>
  <c r="K321" i="1"/>
  <c r="K320" i="1"/>
  <c r="K319" i="1"/>
  <c r="K322" i="1"/>
  <c r="K318" i="1"/>
  <c r="K323" i="1"/>
  <c r="K349" i="1"/>
  <c r="K315" i="1"/>
  <c r="K314" i="1"/>
  <c r="K313" i="1"/>
  <c r="K312" i="1"/>
  <c r="K311" i="1"/>
  <c r="K310" i="1"/>
  <c r="K309" i="1"/>
  <c r="K308" i="1"/>
  <c r="K306" i="1"/>
  <c r="K307" i="1"/>
  <c r="K305" i="1"/>
  <c r="K304" i="1"/>
  <c r="K303" i="1"/>
  <c r="K299" i="1"/>
  <c r="K302" i="1"/>
  <c r="K301" i="1"/>
  <c r="K300" i="1"/>
  <c r="K298" i="1"/>
  <c r="K297" i="1"/>
  <c r="K294" i="1"/>
  <c r="K296" i="1"/>
  <c r="K295" i="1"/>
  <c r="K393" i="1"/>
  <c r="K293" i="1"/>
  <c r="K288" i="1"/>
  <c r="K287" i="1"/>
  <c r="K292" i="1"/>
  <c r="K291" i="1"/>
  <c r="K290" i="1"/>
  <c r="K286" i="1"/>
  <c r="K289" i="1"/>
  <c r="K285" i="1"/>
  <c r="K284" i="1"/>
  <c r="K281" i="1"/>
  <c r="K394" i="1"/>
  <c r="K280" i="1"/>
  <c r="K279" i="1"/>
  <c r="K282" i="1"/>
  <c r="K283" i="1"/>
  <c r="K278" i="1"/>
  <c r="K277" i="1"/>
  <c r="K274" i="1"/>
  <c r="K273" i="1"/>
  <c r="K272" i="1"/>
  <c r="K270" i="1"/>
  <c r="K276" i="1"/>
  <c r="K275" i="1"/>
  <c r="K269" i="1"/>
  <c r="K271" i="1"/>
  <c r="K267" i="1"/>
  <c r="K266" i="1"/>
  <c r="K265" i="1"/>
  <c r="K264" i="1"/>
  <c r="K268" i="1"/>
  <c r="K263" i="1"/>
  <c r="K262" i="1"/>
  <c r="K261" i="1"/>
  <c r="K260" i="1"/>
  <c r="K259" i="1"/>
  <c r="K258" i="1"/>
  <c r="K257" i="1"/>
  <c r="K256" i="1"/>
  <c r="K254" i="1"/>
  <c r="K250" i="1"/>
  <c r="K249" i="1"/>
  <c r="K253" i="1"/>
  <c r="K252" i="1"/>
  <c r="K248" i="1"/>
  <c r="K247" i="1"/>
  <c r="K246" i="1"/>
  <c r="K243" i="1"/>
  <c r="K251" i="1"/>
  <c r="K245" i="1"/>
  <c r="K242" i="1"/>
  <c r="K244" i="1"/>
  <c r="K241" i="1"/>
  <c r="K240" i="1"/>
  <c r="K237" i="1"/>
  <c r="K239" i="1"/>
  <c r="K236" i="1"/>
  <c r="K238" i="1"/>
  <c r="K235" i="1"/>
  <c r="K233" i="1"/>
  <c r="K231" i="1"/>
  <c r="K229" i="1"/>
  <c r="K227" i="1"/>
  <c r="K226" i="1"/>
  <c r="K234" i="1"/>
  <c r="K232" i="1"/>
  <c r="K225" i="1"/>
  <c r="K230" i="1"/>
  <c r="K228" i="1"/>
  <c r="K223" i="1"/>
  <c r="K222" i="1"/>
  <c r="K255" i="1"/>
  <c r="K221" i="1"/>
  <c r="K224" i="1"/>
  <c r="K220" i="1"/>
  <c r="K219" i="1"/>
  <c r="K218" i="1"/>
  <c r="K216" i="1"/>
  <c r="K215" i="1"/>
  <c r="K214" i="1"/>
  <c r="K213" i="1"/>
  <c r="K217" i="1"/>
  <c r="K212" i="1"/>
  <c r="K210" i="1"/>
  <c r="K209" i="1"/>
  <c r="K207" i="1"/>
  <c r="K206" i="1"/>
  <c r="K211" i="1"/>
  <c r="K205" i="1"/>
  <c r="K208" i="1"/>
  <c r="K204" i="1"/>
  <c r="K203" i="1"/>
  <c r="K199" i="1"/>
  <c r="K200" i="1"/>
  <c r="K198" i="1"/>
  <c r="K201" i="1"/>
  <c r="K196" i="1"/>
  <c r="K197" i="1"/>
  <c r="K195" i="1"/>
  <c r="K202" i="1"/>
  <c r="K193" i="1"/>
  <c r="K191" i="1"/>
  <c r="K189" i="1"/>
  <c r="K192" i="1"/>
  <c r="K190" i="1"/>
  <c r="K187" i="1"/>
  <c r="K194" i="1"/>
  <c r="K186" i="1"/>
  <c r="K188" i="1"/>
  <c r="K184" i="1"/>
  <c r="K183" i="1"/>
  <c r="K185" i="1"/>
  <c r="K181" i="1"/>
  <c r="K180" i="1"/>
  <c r="K179" i="1"/>
  <c r="K178" i="1"/>
  <c r="K182" i="1"/>
  <c r="K177" i="1"/>
  <c r="K176" i="1"/>
  <c r="K175" i="1"/>
  <c r="K173" i="1"/>
  <c r="K172" i="1"/>
  <c r="K174" i="1"/>
  <c r="K170" i="1"/>
  <c r="K169" i="1"/>
  <c r="K167" i="1"/>
  <c r="K166" i="1"/>
  <c r="K165" i="1"/>
  <c r="K168" i="1"/>
  <c r="K164" i="1"/>
  <c r="K163" i="1"/>
  <c r="K162" i="1"/>
  <c r="K171" i="1"/>
  <c r="K161" i="1"/>
  <c r="K157" i="1"/>
  <c r="K160" i="1"/>
  <c r="K158" i="1"/>
  <c r="K156" i="1"/>
  <c r="K159" i="1"/>
  <c r="K155" i="1"/>
  <c r="K154" i="1"/>
  <c r="K153" i="1"/>
  <c r="K152" i="1"/>
  <c r="K150" i="1"/>
  <c r="K149" i="1"/>
  <c r="K151" i="1"/>
  <c r="K148" i="1"/>
  <c r="K147" i="1"/>
  <c r="K146" i="1"/>
  <c r="K145" i="1"/>
  <c r="K143" i="1"/>
  <c r="K142" i="1"/>
  <c r="K141" i="1"/>
  <c r="K144" i="1"/>
  <c r="K140" i="1"/>
  <c r="K139" i="1"/>
  <c r="K138" i="1"/>
  <c r="K137" i="1"/>
  <c r="K136" i="1"/>
  <c r="K135" i="1"/>
  <c r="K134" i="1"/>
  <c r="K133" i="1"/>
  <c r="K132" i="1"/>
  <c r="K131" i="1"/>
  <c r="K130" i="1"/>
  <c r="K128" i="1"/>
  <c r="K127" i="1"/>
  <c r="K129" i="1"/>
  <c r="K125" i="1"/>
  <c r="K124" i="1"/>
  <c r="K123" i="1"/>
  <c r="K126" i="1"/>
  <c r="K122" i="1"/>
  <c r="K121" i="1"/>
  <c r="K120" i="1"/>
  <c r="K115" i="1"/>
  <c r="K119" i="1"/>
  <c r="K114" i="1"/>
  <c r="K118" i="1"/>
  <c r="K117" i="1"/>
  <c r="K116" i="1"/>
  <c r="K113" i="1"/>
  <c r="K112" i="1"/>
  <c r="K109" i="1"/>
  <c r="K108" i="1"/>
  <c r="K107" i="1"/>
  <c r="K111" i="1"/>
  <c r="K106" i="1"/>
  <c r="K110" i="1"/>
  <c r="K105" i="1"/>
  <c r="K104" i="1"/>
  <c r="K100" i="1"/>
  <c r="K103" i="1"/>
  <c r="K101" i="1"/>
  <c r="K98" i="1"/>
  <c r="K102" i="1"/>
  <c r="K97" i="1"/>
  <c r="K99" i="1"/>
  <c r="K96" i="1"/>
  <c r="K95" i="1"/>
  <c r="K94" i="1"/>
  <c r="K93" i="1"/>
  <c r="K92" i="1"/>
  <c r="K91" i="1"/>
  <c r="K90" i="1"/>
  <c r="K88" i="1"/>
  <c r="K89" i="1"/>
  <c r="K87" i="1"/>
  <c r="K86" i="1"/>
  <c r="K85" i="1"/>
  <c r="K84" i="1"/>
  <c r="K82" i="1"/>
  <c r="K81" i="1"/>
  <c r="K80" i="1"/>
  <c r="K78" i="1"/>
  <c r="K77" i="1"/>
  <c r="K83" i="1"/>
  <c r="K74" i="1"/>
  <c r="K73" i="1"/>
  <c r="K79" i="1"/>
  <c r="K72" i="1"/>
  <c r="K76" i="1"/>
  <c r="K75" i="1"/>
  <c r="K71" i="1"/>
  <c r="K70" i="1"/>
  <c r="K69" i="1"/>
  <c r="K68" i="1"/>
  <c r="K67" i="1"/>
  <c r="K66" i="1"/>
  <c r="K64" i="1"/>
  <c r="K65" i="1"/>
  <c r="K61" i="1"/>
  <c r="K63" i="1"/>
  <c r="K62" i="1"/>
  <c r="K60" i="1"/>
  <c r="K58" i="1"/>
  <c r="K59" i="1"/>
  <c r="K57" i="1"/>
  <c r="K55" i="1"/>
  <c r="K56" i="1"/>
  <c r="K54" i="1"/>
  <c r="K53" i="1"/>
  <c r="K52" i="1"/>
  <c r="K51" i="1"/>
  <c r="K50" i="1"/>
  <c r="K49" i="1"/>
  <c r="K48" i="1"/>
  <c r="K45" i="1"/>
  <c r="K47" i="1"/>
  <c r="K44" i="1"/>
  <c r="K43" i="1"/>
  <c r="K46" i="1"/>
  <c r="K42" i="1"/>
  <c r="K41" i="1"/>
  <c r="K40" i="1"/>
  <c r="K38" i="1"/>
  <c r="K37" i="1"/>
  <c r="K35" i="1"/>
  <c r="K39" i="1"/>
  <c r="K34" i="1"/>
  <c r="K36" i="1"/>
  <c r="K33" i="1"/>
  <c r="K32" i="1"/>
  <c r="K31" i="1"/>
  <c r="K30" i="1"/>
  <c r="K29" i="1"/>
  <c r="K28" i="1"/>
  <c r="K26" i="1"/>
  <c r="K27" i="1"/>
  <c r="K25" i="1"/>
  <c r="K24" i="1"/>
  <c r="K23" i="1"/>
  <c r="K22" i="1"/>
  <c r="K21" i="1"/>
  <c r="G543" i="1" l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20" i="1"/>
  <c r="G19" i="1"/>
  <c r="G17" i="1"/>
  <c r="G18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530" i="1"/>
  <c r="G528" i="1"/>
  <c r="G527" i="1"/>
  <c r="G526" i="1"/>
  <c r="G525" i="1"/>
  <c r="G529" i="1"/>
  <c r="G524" i="1"/>
  <c r="G523" i="1"/>
  <c r="G522" i="1"/>
  <c r="G519" i="1"/>
  <c r="G518" i="1"/>
  <c r="G517" i="1"/>
  <c r="G516" i="1"/>
  <c r="G521" i="1"/>
  <c r="G515" i="1"/>
  <c r="G520" i="1"/>
  <c r="G514" i="1"/>
  <c r="G513" i="1"/>
  <c r="G508" i="1"/>
  <c r="G512" i="1"/>
  <c r="G511" i="1"/>
  <c r="G507" i="1"/>
  <c r="G510" i="1"/>
  <c r="G506" i="1"/>
  <c r="G509" i="1"/>
  <c r="G504" i="1"/>
  <c r="G505" i="1"/>
  <c r="G500" i="1"/>
  <c r="G503" i="1"/>
  <c r="G502" i="1"/>
  <c r="G499" i="1"/>
  <c r="G501" i="1"/>
  <c r="G497" i="1"/>
  <c r="G498" i="1"/>
  <c r="G496" i="1"/>
  <c r="G495" i="1"/>
  <c r="G494" i="1"/>
  <c r="G493" i="1"/>
  <c r="G491" i="1"/>
  <c r="G492" i="1"/>
  <c r="G490" i="1"/>
  <c r="G489" i="1"/>
  <c r="G486" i="1"/>
  <c r="G484" i="1"/>
  <c r="G488" i="1"/>
  <c r="G487" i="1"/>
  <c r="G485" i="1"/>
  <c r="G483" i="1"/>
  <c r="G481" i="1"/>
  <c r="G482" i="1"/>
  <c r="G479" i="1"/>
  <c r="G478" i="1"/>
  <c r="G480" i="1"/>
  <c r="G477" i="1"/>
  <c r="G476" i="1"/>
  <c r="G475" i="1"/>
  <c r="G474" i="1"/>
  <c r="G473" i="1"/>
  <c r="G472" i="1"/>
  <c r="G471" i="1"/>
  <c r="G470" i="1"/>
  <c r="G468" i="1"/>
  <c r="G469" i="1"/>
  <c r="G467" i="1"/>
  <c r="G464" i="1"/>
  <c r="G463" i="1"/>
  <c r="G466" i="1"/>
  <c r="G465" i="1"/>
  <c r="G462" i="1"/>
  <c r="G461" i="1"/>
  <c r="G460" i="1"/>
  <c r="G456" i="1"/>
  <c r="G459" i="1"/>
  <c r="G458" i="1"/>
  <c r="G455" i="1"/>
  <c r="G454" i="1"/>
  <c r="G457" i="1"/>
  <c r="G453" i="1"/>
  <c r="G452" i="1"/>
  <c r="G451" i="1"/>
  <c r="G450" i="1"/>
  <c r="G446" i="1"/>
  <c r="G449" i="1"/>
  <c r="G445" i="1"/>
  <c r="G448" i="1"/>
  <c r="G447" i="1"/>
  <c r="G444" i="1"/>
  <c r="G443" i="1"/>
  <c r="G442" i="1"/>
  <c r="G441" i="1"/>
  <c r="G440" i="1"/>
  <c r="G437" i="1"/>
  <c r="G439" i="1"/>
  <c r="G438" i="1"/>
  <c r="G436" i="1"/>
  <c r="G435" i="1"/>
  <c r="G434" i="1"/>
  <c r="G433" i="1"/>
  <c r="G432" i="1"/>
  <c r="G431" i="1"/>
  <c r="G428" i="1"/>
  <c r="G427" i="1"/>
  <c r="G425" i="1"/>
  <c r="G426" i="1"/>
  <c r="G429" i="1"/>
  <c r="G424" i="1"/>
  <c r="G430" i="1"/>
  <c r="G423" i="1"/>
  <c r="G420" i="1"/>
  <c r="G419" i="1"/>
  <c r="G418" i="1"/>
  <c r="G422" i="1"/>
  <c r="G417" i="1"/>
  <c r="G416" i="1"/>
  <c r="G421" i="1"/>
  <c r="G415" i="1"/>
  <c r="G414" i="1"/>
  <c r="G413" i="1"/>
  <c r="G412" i="1"/>
  <c r="G408" i="1"/>
  <c r="G406" i="1"/>
  <c r="G405" i="1"/>
  <c r="G404" i="1"/>
  <c r="G403" i="1"/>
  <c r="G409" i="1"/>
  <c r="G407" i="1"/>
  <c r="G410" i="1"/>
  <c r="G402" i="1"/>
  <c r="G401" i="1"/>
  <c r="G400" i="1"/>
  <c r="G398" i="1"/>
  <c r="G397" i="1"/>
  <c r="G396" i="1"/>
  <c r="G395" i="1"/>
  <c r="G399" i="1"/>
  <c r="G392" i="1"/>
  <c r="G391" i="1"/>
  <c r="G390" i="1"/>
  <c r="G411" i="1"/>
  <c r="G384" i="1"/>
  <c r="G387" i="1"/>
  <c r="G389" i="1"/>
  <c r="G386" i="1"/>
  <c r="G385" i="1"/>
  <c r="G388" i="1"/>
  <c r="G383" i="1"/>
  <c r="G382" i="1"/>
  <c r="G376" i="1"/>
  <c r="G375" i="1"/>
  <c r="G381" i="1"/>
  <c r="G380" i="1"/>
  <c r="G377" i="1"/>
  <c r="G379" i="1"/>
  <c r="G378" i="1"/>
  <c r="G373" i="1"/>
  <c r="G372" i="1"/>
  <c r="G374" i="1"/>
  <c r="G371" i="1"/>
  <c r="G370" i="1"/>
  <c r="G368" i="1"/>
  <c r="G366" i="1"/>
  <c r="G364" i="1"/>
  <c r="G363" i="1"/>
  <c r="G367" i="1"/>
  <c r="G357" i="1"/>
  <c r="G369" i="1"/>
  <c r="G362" i="1"/>
  <c r="G361" i="1"/>
  <c r="G359" i="1"/>
  <c r="G365" i="1"/>
  <c r="G358" i="1"/>
  <c r="G360" i="1"/>
  <c r="G355" i="1"/>
  <c r="G356" i="1"/>
  <c r="G354" i="1"/>
  <c r="G353" i="1"/>
  <c r="G350" i="1"/>
  <c r="G348" i="1"/>
  <c r="G344" i="1"/>
  <c r="G352" i="1"/>
  <c r="G347" i="1"/>
  <c r="G351" i="1"/>
  <c r="G345" i="1"/>
  <c r="G343" i="1"/>
  <c r="G341" i="1"/>
  <c r="G340" i="1"/>
  <c r="G339" i="1"/>
  <c r="G342" i="1"/>
  <c r="G346" i="1"/>
  <c r="G338" i="1"/>
  <c r="G337" i="1"/>
  <c r="G336" i="1"/>
  <c r="G335" i="1"/>
  <c r="G334" i="1"/>
  <c r="G333" i="1"/>
  <c r="G332" i="1"/>
  <c r="G331" i="1"/>
  <c r="G316" i="1"/>
  <c r="G328" i="1"/>
  <c r="G329" i="1"/>
  <c r="G327" i="1"/>
  <c r="G326" i="1"/>
  <c r="G317" i="1"/>
  <c r="G325" i="1"/>
  <c r="G330" i="1"/>
  <c r="G324" i="1"/>
  <c r="G321" i="1"/>
  <c r="G320" i="1"/>
  <c r="G319" i="1"/>
  <c r="G322" i="1"/>
  <c r="G318" i="1"/>
  <c r="G323" i="1"/>
  <c r="G349" i="1"/>
  <c r="G315" i="1"/>
  <c r="G314" i="1"/>
  <c r="G313" i="1"/>
  <c r="G312" i="1"/>
  <c r="G311" i="1"/>
  <c r="G310" i="1"/>
  <c r="G309" i="1"/>
  <c r="G308" i="1"/>
  <c r="G306" i="1"/>
  <c r="G307" i="1"/>
  <c r="G305" i="1"/>
  <c r="G304" i="1"/>
  <c r="G303" i="1"/>
  <c r="G299" i="1"/>
  <c r="G302" i="1"/>
  <c r="G301" i="1"/>
  <c r="G300" i="1"/>
  <c r="G298" i="1"/>
  <c r="G297" i="1"/>
  <c r="G294" i="1"/>
  <c r="G296" i="1"/>
  <c r="G295" i="1"/>
  <c r="G393" i="1"/>
  <c r="G293" i="1"/>
  <c r="G288" i="1"/>
  <c r="G287" i="1"/>
  <c r="G292" i="1"/>
  <c r="G291" i="1"/>
  <c r="G290" i="1"/>
  <c r="G286" i="1"/>
  <c r="G289" i="1"/>
  <c r="G285" i="1"/>
  <c r="G284" i="1"/>
  <c r="G281" i="1"/>
  <c r="G394" i="1"/>
  <c r="G280" i="1"/>
  <c r="G279" i="1"/>
  <c r="G282" i="1"/>
  <c r="G283" i="1"/>
  <c r="G278" i="1"/>
  <c r="G277" i="1"/>
  <c r="G274" i="1"/>
  <c r="G273" i="1"/>
  <c r="G272" i="1"/>
  <c r="G270" i="1"/>
  <c r="G276" i="1"/>
  <c r="G275" i="1"/>
  <c r="G269" i="1"/>
  <c r="G271" i="1"/>
  <c r="G267" i="1"/>
  <c r="G266" i="1"/>
  <c r="G265" i="1"/>
  <c r="G264" i="1"/>
  <c r="G268" i="1"/>
  <c r="G263" i="1"/>
  <c r="G262" i="1"/>
  <c r="G261" i="1"/>
  <c r="G260" i="1"/>
  <c r="G259" i="1"/>
  <c r="G258" i="1"/>
  <c r="G257" i="1"/>
  <c r="G256" i="1"/>
  <c r="G254" i="1"/>
  <c r="G250" i="1"/>
  <c r="G249" i="1"/>
  <c r="G253" i="1"/>
  <c r="G252" i="1"/>
  <c r="G248" i="1"/>
  <c r="G247" i="1"/>
  <c r="G246" i="1"/>
  <c r="G243" i="1"/>
  <c r="G251" i="1"/>
  <c r="G245" i="1"/>
  <c r="G242" i="1"/>
  <c r="G244" i="1"/>
  <c r="G241" i="1"/>
  <c r="G240" i="1"/>
  <c r="G237" i="1"/>
  <c r="G239" i="1"/>
  <c r="G236" i="1"/>
  <c r="G238" i="1"/>
  <c r="G235" i="1"/>
  <c r="G233" i="1"/>
  <c r="G231" i="1"/>
  <c r="G229" i="1"/>
  <c r="G227" i="1"/>
  <c r="G226" i="1"/>
  <c r="G234" i="1"/>
  <c r="G232" i="1"/>
  <c r="G225" i="1"/>
  <c r="G230" i="1"/>
  <c r="G228" i="1"/>
  <c r="G223" i="1"/>
  <c r="G222" i="1"/>
  <c r="G255" i="1"/>
  <c r="G221" i="1"/>
  <c r="G224" i="1"/>
  <c r="G220" i="1"/>
  <c r="G219" i="1"/>
  <c r="G218" i="1"/>
  <c r="G216" i="1"/>
  <c r="G215" i="1"/>
  <c r="G214" i="1"/>
  <c r="G213" i="1"/>
  <c r="G217" i="1"/>
  <c r="G212" i="1"/>
  <c r="G210" i="1"/>
  <c r="G209" i="1"/>
  <c r="G207" i="1"/>
  <c r="G206" i="1"/>
  <c r="G211" i="1"/>
  <c r="G205" i="1"/>
  <c r="G208" i="1"/>
  <c r="G204" i="1"/>
  <c r="G203" i="1"/>
  <c r="G199" i="1"/>
  <c r="G200" i="1"/>
  <c r="G198" i="1"/>
  <c r="G201" i="1"/>
  <c r="G196" i="1"/>
  <c r="G197" i="1"/>
  <c r="G195" i="1"/>
  <c r="G202" i="1"/>
  <c r="G193" i="1"/>
  <c r="G191" i="1"/>
  <c r="G189" i="1"/>
  <c r="G192" i="1"/>
  <c r="G190" i="1"/>
  <c r="G187" i="1"/>
  <c r="G194" i="1"/>
  <c r="G186" i="1"/>
  <c r="G188" i="1"/>
  <c r="G184" i="1"/>
  <c r="G183" i="1"/>
  <c r="G185" i="1"/>
  <c r="G181" i="1"/>
  <c r="G180" i="1"/>
  <c r="G179" i="1"/>
  <c r="G178" i="1"/>
  <c r="G182" i="1"/>
  <c r="G177" i="1"/>
  <c r="G176" i="1"/>
  <c r="G175" i="1"/>
  <c r="G173" i="1"/>
  <c r="G172" i="1"/>
  <c r="G174" i="1"/>
  <c r="G170" i="1"/>
  <c r="G169" i="1"/>
  <c r="G167" i="1"/>
  <c r="G166" i="1"/>
  <c r="G165" i="1"/>
  <c r="G168" i="1"/>
  <c r="G164" i="1"/>
  <c r="G163" i="1"/>
  <c r="G162" i="1"/>
  <c r="G171" i="1"/>
  <c r="G161" i="1"/>
  <c r="G157" i="1"/>
  <c r="G160" i="1"/>
  <c r="G158" i="1"/>
  <c r="G156" i="1"/>
  <c r="G159" i="1"/>
  <c r="G155" i="1"/>
  <c r="G154" i="1"/>
  <c r="G153" i="1"/>
  <c r="G152" i="1"/>
  <c r="G150" i="1"/>
  <c r="G149" i="1"/>
  <c r="G151" i="1"/>
  <c r="G148" i="1"/>
  <c r="G147" i="1"/>
  <c r="G146" i="1"/>
  <c r="G145" i="1"/>
  <c r="G143" i="1"/>
  <c r="G142" i="1"/>
  <c r="G141" i="1"/>
  <c r="G144" i="1"/>
  <c r="G140" i="1"/>
  <c r="G139" i="1"/>
  <c r="G138" i="1"/>
  <c r="G137" i="1"/>
  <c r="G136" i="1"/>
  <c r="G135" i="1"/>
  <c r="G134" i="1"/>
  <c r="G133" i="1"/>
  <c r="G132" i="1"/>
  <c r="G131" i="1"/>
  <c r="G130" i="1"/>
  <c r="G128" i="1"/>
  <c r="G127" i="1"/>
  <c r="G129" i="1"/>
  <c r="G125" i="1"/>
  <c r="G124" i="1"/>
  <c r="G123" i="1"/>
  <c r="G126" i="1"/>
  <c r="G122" i="1"/>
  <c r="G121" i="1"/>
  <c r="G120" i="1"/>
  <c r="G115" i="1"/>
  <c r="G119" i="1"/>
  <c r="G114" i="1"/>
  <c r="G118" i="1"/>
  <c r="G117" i="1"/>
  <c r="G116" i="1"/>
  <c r="G113" i="1"/>
  <c r="G112" i="1"/>
  <c r="G109" i="1"/>
  <c r="G108" i="1"/>
  <c r="G107" i="1"/>
  <c r="G111" i="1"/>
  <c r="G106" i="1"/>
  <c r="G110" i="1"/>
  <c r="G105" i="1"/>
  <c r="G104" i="1"/>
  <c r="G100" i="1"/>
  <c r="G103" i="1"/>
  <c r="G101" i="1"/>
  <c r="G98" i="1"/>
  <c r="G102" i="1"/>
  <c r="G97" i="1"/>
  <c r="G99" i="1"/>
  <c r="G96" i="1"/>
  <c r="G95" i="1"/>
  <c r="G94" i="1"/>
  <c r="G93" i="1"/>
  <c r="G92" i="1"/>
  <c r="G91" i="1"/>
  <c r="G90" i="1"/>
  <c r="G88" i="1"/>
  <c r="G89" i="1"/>
  <c r="G87" i="1"/>
  <c r="G86" i="1"/>
  <c r="G85" i="1"/>
  <c r="G84" i="1"/>
  <c r="G82" i="1"/>
  <c r="G81" i="1"/>
  <c r="G80" i="1"/>
  <c r="G78" i="1"/>
  <c r="G77" i="1"/>
  <c r="G83" i="1"/>
  <c r="G74" i="1"/>
  <c r="G73" i="1"/>
  <c r="G79" i="1"/>
  <c r="G72" i="1"/>
  <c r="G76" i="1"/>
  <c r="G75" i="1"/>
  <c r="G71" i="1"/>
  <c r="G70" i="1"/>
  <c r="G69" i="1"/>
  <c r="G68" i="1"/>
  <c r="G67" i="1"/>
  <c r="G66" i="1"/>
  <c r="G64" i="1"/>
  <c r="G65" i="1"/>
  <c r="G61" i="1"/>
  <c r="G63" i="1"/>
  <c r="G62" i="1"/>
  <c r="G60" i="1"/>
  <c r="G58" i="1"/>
  <c r="G59" i="1"/>
  <c r="G57" i="1"/>
  <c r="G55" i="1"/>
  <c r="G56" i="1"/>
  <c r="G54" i="1"/>
  <c r="G53" i="1"/>
  <c r="G52" i="1"/>
  <c r="G51" i="1"/>
  <c r="G50" i="1"/>
  <c r="G49" i="1"/>
  <c r="G48" i="1"/>
  <c r="G45" i="1"/>
  <c r="G47" i="1"/>
  <c r="G44" i="1"/>
  <c r="G43" i="1"/>
  <c r="G46" i="1"/>
  <c r="G42" i="1"/>
  <c r="G41" i="1"/>
  <c r="G40" i="1"/>
  <c r="G38" i="1"/>
  <c r="G37" i="1"/>
  <c r="G35" i="1"/>
  <c r="G39" i="1"/>
  <c r="G34" i="1"/>
  <c r="G36" i="1"/>
  <c r="G33" i="1"/>
  <c r="G32" i="1"/>
  <c r="G31" i="1"/>
  <c r="G30" i="1"/>
  <c r="G29" i="1"/>
  <c r="G28" i="1"/>
  <c r="G26" i="1"/>
  <c r="G27" i="1"/>
  <c r="G25" i="1"/>
  <c r="G24" i="1"/>
  <c r="G23" i="1"/>
  <c r="G22" i="1"/>
  <c r="G21" i="1"/>
  <c r="H21" i="1" l="1"/>
  <c r="H25" i="1" l="1"/>
  <c r="J543" i="1" l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20" i="1"/>
  <c r="J19" i="1"/>
  <c r="J17" i="1"/>
  <c r="J18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530" i="1"/>
  <c r="J528" i="1"/>
  <c r="J527" i="1"/>
  <c r="J526" i="1"/>
  <c r="J525" i="1"/>
  <c r="J529" i="1"/>
  <c r="J524" i="1"/>
  <c r="J523" i="1"/>
  <c r="J522" i="1"/>
  <c r="J519" i="1"/>
  <c r="J518" i="1"/>
  <c r="J517" i="1"/>
  <c r="J516" i="1"/>
  <c r="J521" i="1"/>
  <c r="J515" i="1"/>
  <c r="J520" i="1"/>
  <c r="J514" i="1"/>
  <c r="J513" i="1"/>
  <c r="J508" i="1"/>
  <c r="J512" i="1"/>
  <c r="J511" i="1"/>
  <c r="J507" i="1"/>
  <c r="J510" i="1"/>
  <c r="J506" i="1"/>
  <c r="J509" i="1"/>
  <c r="J504" i="1"/>
  <c r="J505" i="1"/>
  <c r="J500" i="1"/>
  <c r="J503" i="1"/>
  <c r="J502" i="1"/>
  <c r="J499" i="1"/>
  <c r="J501" i="1"/>
  <c r="J497" i="1"/>
  <c r="J498" i="1"/>
  <c r="J496" i="1"/>
  <c r="J495" i="1"/>
  <c r="J494" i="1"/>
  <c r="J493" i="1"/>
  <c r="J491" i="1"/>
  <c r="J492" i="1"/>
  <c r="J490" i="1"/>
  <c r="J489" i="1"/>
  <c r="J486" i="1"/>
  <c r="J484" i="1"/>
  <c r="J488" i="1"/>
  <c r="J487" i="1"/>
  <c r="J485" i="1"/>
  <c r="J483" i="1"/>
  <c r="J481" i="1"/>
  <c r="J482" i="1"/>
  <c r="J479" i="1"/>
  <c r="J478" i="1"/>
  <c r="J480" i="1"/>
  <c r="J477" i="1"/>
  <c r="J476" i="1"/>
  <c r="J475" i="1"/>
  <c r="J474" i="1"/>
  <c r="J473" i="1"/>
  <c r="J472" i="1"/>
  <c r="J471" i="1"/>
  <c r="J470" i="1"/>
  <c r="J468" i="1"/>
  <c r="J469" i="1"/>
  <c r="J467" i="1"/>
  <c r="J464" i="1"/>
  <c r="J463" i="1"/>
  <c r="J466" i="1"/>
  <c r="J465" i="1"/>
  <c r="J462" i="1"/>
  <c r="J461" i="1"/>
  <c r="J460" i="1"/>
  <c r="J456" i="1"/>
  <c r="J459" i="1"/>
  <c r="J458" i="1"/>
  <c r="J455" i="1"/>
  <c r="J454" i="1"/>
  <c r="J457" i="1"/>
  <c r="J453" i="1"/>
  <c r="J452" i="1"/>
  <c r="J451" i="1"/>
  <c r="J450" i="1"/>
  <c r="J446" i="1"/>
  <c r="J449" i="1"/>
  <c r="J445" i="1"/>
  <c r="J448" i="1"/>
  <c r="J447" i="1"/>
  <c r="J444" i="1"/>
  <c r="J443" i="1"/>
  <c r="J442" i="1"/>
  <c r="J441" i="1"/>
  <c r="J440" i="1"/>
  <c r="J437" i="1"/>
  <c r="J439" i="1"/>
  <c r="J438" i="1"/>
  <c r="J436" i="1"/>
  <c r="J435" i="1"/>
  <c r="J434" i="1"/>
  <c r="J433" i="1"/>
  <c r="J432" i="1"/>
  <c r="J431" i="1"/>
  <c r="J428" i="1"/>
  <c r="J427" i="1"/>
  <c r="J425" i="1"/>
  <c r="J426" i="1"/>
  <c r="J429" i="1"/>
  <c r="J424" i="1"/>
  <c r="J430" i="1"/>
  <c r="J423" i="1"/>
  <c r="J420" i="1"/>
  <c r="J419" i="1"/>
  <c r="J418" i="1"/>
  <c r="J422" i="1"/>
  <c r="J417" i="1"/>
  <c r="J416" i="1"/>
  <c r="J421" i="1"/>
  <c r="J415" i="1"/>
  <c r="J414" i="1"/>
  <c r="J413" i="1"/>
  <c r="J412" i="1"/>
  <c r="J408" i="1"/>
  <c r="J406" i="1"/>
  <c r="J405" i="1"/>
  <c r="J404" i="1"/>
  <c r="J403" i="1"/>
  <c r="J409" i="1"/>
  <c r="J407" i="1"/>
  <c r="J410" i="1"/>
  <c r="J402" i="1"/>
  <c r="J401" i="1"/>
  <c r="J400" i="1"/>
  <c r="J398" i="1"/>
  <c r="J397" i="1"/>
  <c r="J396" i="1"/>
  <c r="J395" i="1"/>
  <c r="J399" i="1"/>
  <c r="J392" i="1"/>
  <c r="J391" i="1"/>
  <c r="J390" i="1"/>
  <c r="J411" i="1"/>
  <c r="J384" i="1"/>
  <c r="J387" i="1"/>
  <c r="J389" i="1"/>
  <c r="J386" i="1"/>
  <c r="J385" i="1"/>
  <c r="J388" i="1"/>
  <c r="J383" i="1"/>
  <c r="J382" i="1"/>
  <c r="J376" i="1"/>
  <c r="J375" i="1"/>
  <c r="J381" i="1"/>
  <c r="J380" i="1"/>
  <c r="J377" i="1"/>
  <c r="J379" i="1"/>
  <c r="J378" i="1"/>
  <c r="J373" i="1"/>
  <c r="J372" i="1"/>
  <c r="J374" i="1"/>
  <c r="J371" i="1"/>
  <c r="J370" i="1"/>
  <c r="J368" i="1"/>
  <c r="J366" i="1"/>
  <c r="J364" i="1"/>
  <c r="J363" i="1"/>
  <c r="J367" i="1"/>
  <c r="J357" i="1"/>
  <c r="J369" i="1"/>
  <c r="J362" i="1"/>
  <c r="J361" i="1"/>
  <c r="J359" i="1"/>
  <c r="J365" i="1"/>
  <c r="J358" i="1"/>
  <c r="J360" i="1"/>
  <c r="J355" i="1"/>
  <c r="J356" i="1"/>
  <c r="J354" i="1"/>
  <c r="J353" i="1"/>
  <c r="J350" i="1"/>
  <c r="J348" i="1"/>
  <c r="J344" i="1"/>
  <c r="J352" i="1"/>
  <c r="J347" i="1"/>
  <c r="J351" i="1"/>
  <c r="J345" i="1"/>
  <c r="J343" i="1"/>
  <c r="J341" i="1"/>
  <c r="J340" i="1"/>
  <c r="J339" i="1"/>
  <c r="J342" i="1"/>
  <c r="J346" i="1"/>
  <c r="J338" i="1"/>
  <c r="J337" i="1"/>
  <c r="J336" i="1"/>
  <c r="J335" i="1"/>
  <c r="J334" i="1"/>
  <c r="J333" i="1"/>
  <c r="J332" i="1"/>
  <c r="J331" i="1"/>
  <c r="J316" i="1"/>
  <c r="J328" i="1"/>
  <c r="J329" i="1"/>
  <c r="J327" i="1"/>
  <c r="J326" i="1"/>
  <c r="J317" i="1"/>
  <c r="J325" i="1"/>
  <c r="J330" i="1"/>
  <c r="J324" i="1"/>
  <c r="J321" i="1"/>
  <c r="J320" i="1"/>
  <c r="J319" i="1"/>
  <c r="J322" i="1"/>
  <c r="J318" i="1"/>
  <c r="J323" i="1"/>
  <c r="J349" i="1"/>
  <c r="J315" i="1"/>
  <c r="J314" i="1"/>
  <c r="J313" i="1"/>
  <c r="J312" i="1"/>
  <c r="J311" i="1"/>
  <c r="J310" i="1"/>
  <c r="J309" i="1"/>
  <c r="J308" i="1"/>
  <c r="J306" i="1"/>
  <c r="J307" i="1"/>
  <c r="J305" i="1"/>
  <c r="J304" i="1"/>
  <c r="J303" i="1"/>
  <c r="J299" i="1"/>
  <c r="J302" i="1"/>
  <c r="J301" i="1"/>
  <c r="J300" i="1"/>
  <c r="J298" i="1"/>
  <c r="J297" i="1"/>
  <c r="J294" i="1"/>
  <c r="J296" i="1"/>
  <c r="J295" i="1"/>
  <c r="J393" i="1"/>
  <c r="J288" i="1"/>
  <c r="J287" i="1"/>
  <c r="J290" i="1"/>
  <c r="J286" i="1"/>
  <c r="J289" i="1"/>
  <c r="J285" i="1"/>
  <c r="J284" i="1"/>
  <c r="J281" i="1"/>
  <c r="J394" i="1"/>
  <c r="J280" i="1"/>
  <c r="J279" i="1"/>
  <c r="J282" i="1"/>
  <c r="J283" i="1"/>
  <c r="J278" i="1"/>
  <c r="J277" i="1"/>
  <c r="J274" i="1"/>
  <c r="J273" i="1"/>
  <c r="J272" i="1"/>
  <c r="J270" i="1"/>
  <c r="J276" i="1"/>
  <c r="J275" i="1"/>
  <c r="J269" i="1"/>
  <c r="J271" i="1"/>
  <c r="J267" i="1"/>
  <c r="J266" i="1"/>
  <c r="J265" i="1"/>
  <c r="J264" i="1"/>
  <c r="J268" i="1"/>
  <c r="J263" i="1"/>
  <c r="J262" i="1"/>
  <c r="J261" i="1"/>
  <c r="J260" i="1"/>
  <c r="J259" i="1"/>
  <c r="J258" i="1"/>
  <c r="J257" i="1"/>
  <c r="J256" i="1"/>
  <c r="J254" i="1"/>
  <c r="J250" i="1"/>
  <c r="J249" i="1"/>
  <c r="J253" i="1"/>
  <c r="J252" i="1"/>
  <c r="J248" i="1"/>
  <c r="J247" i="1"/>
  <c r="J246" i="1"/>
  <c r="J243" i="1"/>
  <c r="J251" i="1"/>
  <c r="J245" i="1"/>
  <c r="J242" i="1"/>
  <c r="J244" i="1"/>
  <c r="J241" i="1"/>
  <c r="J240" i="1"/>
  <c r="J237" i="1"/>
  <c r="J239" i="1"/>
  <c r="J236" i="1"/>
  <c r="J238" i="1"/>
  <c r="J235" i="1"/>
  <c r="J233" i="1"/>
  <c r="J231" i="1"/>
  <c r="J229" i="1"/>
  <c r="J227" i="1"/>
  <c r="J226" i="1"/>
  <c r="J234" i="1"/>
  <c r="J232" i="1"/>
  <c r="J225" i="1"/>
  <c r="J230" i="1"/>
  <c r="J228" i="1"/>
  <c r="J223" i="1"/>
  <c r="J222" i="1"/>
  <c r="J255" i="1"/>
  <c r="J221" i="1"/>
  <c r="J224" i="1"/>
  <c r="J220" i="1"/>
  <c r="J219" i="1"/>
  <c r="J218" i="1"/>
  <c r="J216" i="1"/>
  <c r="J215" i="1"/>
  <c r="J214" i="1"/>
  <c r="J213" i="1"/>
  <c r="J217" i="1"/>
  <c r="J212" i="1"/>
  <c r="J210" i="1"/>
  <c r="J209" i="1"/>
  <c r="J207" i="1"/>
  <c r="J206" i="1"/>
  <c r="J211" i="1"/>
  <c r="J205" i="1"/>
  <c r="J208" i="1"/>
  <c r="J204" i="1"/>
  <c r="J203" i="1"/>
  <c r="J199" i="1"/>
  <c r="J200" i="1"/>
  <c r="J198" i="1"/>
  <c r="J201" i="1"/>
  <c r="J196" i="1"/>
  <c r="J197" i="1"/>
  <c r="J195" i="1"/>
  <c r="J202" i="1"/>
  <c r="J193" i="1"/>
  <c r="J191" i="1"/>
  <c r="J189" i="1"/>
  <c r="J192" i="1"/>
  <c r="J190" i="1"/>
  <c r="J187" i="1"/>
  <c r="J194" i="1"/>
  <c r="J186" i="1"/>
  <c r="J188" i="1"/>
  <c r="J184" i="1"/>
  <c r="J183" i="1"/>
  <c r="J185" i="1"/>
  <c r="J181" i="1"/>
  <c r="J180" i="1"/>
  <c r="J179" i="1"/>
  <c r="J178" i="1"/>
  <c r="J182" i="1"/>
  <c r="J177" i="1"/>
  <c r="J176" i="1"/>
  <c r="J175" i="1"/>
  <c r="J173" i="1"/>
  <c r="J172" i="1"/>
  <c r="J174" i="1"/>
  <c r="J170" i="1"/>
  <c r="J169" i="1"/>
  <c r="J167" i="1"/>
  <c r="J166" i="1"/>
  <c r="J165" i="1"/>
  <c r="J168" i="1"/>
  <c r="J164" i="1"/>
  <c r="J163" i="1"/>
  <c r="J162" i="1"/>
  <c r="J171" i="1"/>
  <c r="J161" i="1"/>
  <c r="J157" i="1"/>
  <c r="J160" i="1"/>
  <c r="J158" i="1"/>
  <c r="J156" i="1"/>
  <c r="J159" i="1"/>
  <c r="J155" i="1"/>
  <c r="J154" i="1"/>
  <c r="J153" i="1"/>
  <c r="J152" i="1"/>
  <c r="J150" i="1"/>
  <c r="J149" i="1"/>
  <c r="J151" i="1"/>
  <c r="J148" i="1"/>
  <c r="J147" i="1"/>
  <c r="J146" i="1"/>
  <c r="J145" i="1"/>
  <c r="J143" i="1"/>
  <c r="J142" i="1"/>
  <c r="J141" i="1"/>
  <c r="J144" i="1"/>
  <c r="J140" i="1"/>
  <c r="J139" i="1"/>
  <c r="J138" i="1"/>
  <c r="J137" i="1"/>
  <c r="J136" i="1"/>
  <c r="J135" i="1"/>
  <c r="J134" i="1"/>
  <c r="J133" i="1"/>
  <c r="J132" i="1"/>
  <c r="J131" i="1"/>
  <c r="J130" i="1"/>
  <c r="J128" i="1"/>
  <c r="J127" i="1"/>
  <c r="J129" i="1"/>
  <c r="J125" i="1"/>
  <c r="J124" i="1"/>
  <c r="J123" i="1"/>
  <c r="J126" i="1"/>
  <c r="J122" i="1"/>
  <c r="J121" i="1"/>
  <c r="J120" i="1"/>
  <c r="J115" i="1"/>
  <c r="J119" i="1"/>
  <c r="J114" i="1"/>
  <c r="J118" i="1"/>
  <c r="J117" i="1"/>
  <c r="J116" i="1"/>
  <c r="J113" i="1"/>
  <c r="J112" i="1"/>
  <c r="J109" i="1"/>
  <c r="J108" i="1"/>
  <c r="J107" i="1"/>
  <c r="J111" i="1"/>
  <c r="J106" i="1"/>
  <c r="J110" i="1"/>
  <c r="J105" i="1"/>
  <c r="J104" i="1"/>
  <c r="J100" i="1"/>
  <c r="J103" i="1"/>
  <c r="J101" i="1"/>
  <c r="J98" i="1"/>
  <c r="J102" i="1"/>
  <c r="J97" i="1"/>
  <c r="J99" i="1"/>
  <c r="J96" i="1"/>
  <c r="J95" i="1"/>
  <c r="J94" i="1"/>
  <c r="J93" i="1"/>
  <c r="J92" i="1"/>
  <c r="J91" i="1"/>
  <c r="J90" i="1"/>
  <c r="J88" i="1"/>
  <c r="J89" i="1"/>
  <c r="J87" i="1"/>
  <c r="J86" i="1"/>
  <c r="J85" i="1"/>
  <c r="J84" i="1"/>
  <c r="J82" i="1"/>
  <c r="J81" i="1"/>
  <c r="J80" i="1"/>
  <c r="J78" i="1"/>
  <c r="J77" i="1"/>
  <c r="J83" i="1"/>
  <c r="J74" i="1"/>
  <c r="J73" i="1"/>
  <c r="J79" i="1"/>
  <c r="J72" i="1"/>
  <c r="J76" i="1"/>
  <c r="J75" i="1"/>
  <c r="J71" i="1"/>
  <c r="J70" i="1"/>
  <c r="J69" i="1"/>
  <c r="J68" i="1"/>
  <c r="J67" i="1"/>
  <c r="J66" i="1"/>
  <c r="J64" i="1"/>
  <c r="J65" i="1"/>
  <c r="J61" i="1"/>
  <c r="J63" i="1"/>
  <c r="J62" i="1"/>
  <c r="J60" i="1"/>
  <c r="J58" i="1"/>
  <c r="J59" i="1"/>
  <c r="J57" i="1"/>
  <c r="J55" i="1"/>
  <c r="J56" i="1"/>
  <c r="J54" i="1"/>
  <c r="J53" i="1"/>
  <c r="J52" i="1"/>
  <c r="J51" i="1"/>
  <c r="J50" i="1"/>
  <c r="J49" i="1"/>
  <c r="J48" i="1"/>
  <c r="J45" i="1"/>
  <c r="J47" i="1"/>
  <c r="J44" i="1"/>
  <c r="J43" i="1"/>
  <c r="J46" i="1"/>
  <c r="J42" i="1"/>
  <c r="J41" i="1"/>
  <c r="J40" i="1"/>
  <c r="J38" i="1"/>
  <c r="J37" i="1"/>
  <c r="J35" i="1"/>
  <c r="J39" i="1"/>
  <c r="J34" i="1"/>
  <c r="J36" i="1"/>
  <c r="J33" i="1"/>
  <c r="J32" i="1"/>
  <c r="J31" i="1"/>
  <c r="J30" i="1"/>
  <c r="J29" i="1"/>
  <c r="J28" i="1"/>
  <c r="J26" i="1"/>
  <c r="J27" i="1"/>
  <c r="J25" i="1"/>
  <c r="J24" i="1"/>
  <c r="J23" i="1"/>
  <c r="J22" i="1"/>
  <c r="J21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20" i="1"/>
  <c r="U19" i="1"/>
  <c r="U17" i="1"/>
  <c r="U18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530" i="1"/>
  <c r="U528" i="1"/>
  <c r="U527" i="1"/>
  <c r="U526" i="1"/>
  <c r="U525" i="1"/>
  <c r="U529" i="1"/>
  <c r="U524" i="1"/>
  <c r="U523" i="1"/>
  <c r="U522" i="1"/>
  <c r="U519" i="1"/>
  <c r="U518" i="1"/>
  <c r="U517" i="1"/>
  <c r="U516" i="1"/>
  <c r="U521" i="1"/>
  <c r="U515" i="1"/>
  <c r="U520" i="1"/>
  <c r="U514" i="1"/>
  <c r="U513" i="1"/>
  <c r="U508" i="1"/>
  <c r="U512" i="1"/>
  <c r="U511" i="1"/>
  <c r="U507" i="1"/>
  <c r="U510" i="1"/>
  <c r="U506" i="1"/>
  <c r="U509" i="1"/>
  <c r="U504" i="1"/>
  <c r="U505" i="1"/>
  <c r="U500" i="1"/>
  <c r="U503" i="1"/>
  <c r="U502" i="1"/>
  <c r="U499" i="1"/>
  <c r="U501" i="1"/>
  <c r="U497" i="1"/>
  <c r="U498" i="1"/>
  <c r="U496" i="1"/>
  <c r="U495" i="1"/>
  <c r="U494" i="1"/>
  <c r="U493" i="1"/>
  <c r="U491" i="1"/>
  <c r="U492" i="1"/>
  <c r="U490" i="1"/>
  <c r="U489" i="1"/>
  <c r="U486" i="1"/>
  <c r="U484" i="1"/>
  <c r="U488" i="1"/>
  <c r="U487" i="1"/>
  <c r="U485" i="1"/>
  <c r="U483" i="1"/>
  <c r="U481" i="1"/>
  <c r="U482" i="1"/>
  <c r="U479" i="1"/>
  <c r="U478" i="1"/>
  <c r="U480" i="1"/>
  <c r="U477" i="1"/>
  <c r="U476" i="1"/>
  <c r="U475" i="1"/>
  <c r="U474" i="1"/>
  <c r="U473" i="1"/>
  <c r="U472" i="1"/>
  <c r="U471" i="1"/>
  <c r="U470" i="1"/>
  <c r="U468" i="1"/>
  <c r="U469" i="1"/>
  <c r="U467" i="1"/>
  <c r="U464" i="1"/>
  <c r="U463" i="1"/>
  <c r="U466" i="1"/>
  <c r="U465" i="1"/>
  <c r="U462" i="1"/>
  <c r="U461" i="1"/>
  <c r="U460" i="1"/>
  <c r="U456" i="1"/>
  <c r="U459" i="1"/>
  <c r="U458" i="1"/>
  <c r="U455" i="1"/>
  <c r="U454" i="1"/>
  <c r="U457" i="1"/>
  <c r="U453" i="1"/>
  <c r="U452" i="1"/>
  <c r="U451" i="1"/>
  <c r="U450" i="1"/>
  <c r="U446" i="1"/>
  <c r="U449" i="1"/>
  <c r="U445" i="1"/>
  <c r="U448" i="1"/>
  <c r="U447" i="1"/>
  <c r="U444" i="1"/>
  <c r="U443" i="1"/>
  <c r="U442" i="1"/>
  <c r="U441" i="1"/>
  <c r="U440" i="1"/>
  <c r="U437" i="1"/>
  <c r="U439" i="1"/>
  <c r="U438" i="1"/>
  <c r="U436" i="1"/>
  <c r="U435" i="1"/>
  <c r="U434" i="1"/>
  <c r="U433" i="1"/>
  <c r="U432" i="1"/>
  <c r="U431" i="1"/>
  <c r="U428" i="1"/>
  <c r="U427" i="1"/>
  <c r="U425" i="1"/>
  <c r="U426" i="1"/>
  <c r="U429" i="1"/>
  <c r="U424" i="1"/>
  <c r="U430" i="1"/>
  <c r="U423" i="1"/>
  <c r="U420" i="1"/>
  <c r="U419" i="1"/>
  <c r="U418" i="1"/>
  <c r="U422" i="1"/>
  <c r="U417" i="1"/>
  <c r="U416" i="1"/>
  <c r="U421" i="1"/>
  <c r="U415" i="1"/>
  <c r="U414" i="1"/>
  <c r="U413" i="1"/>
  <c r="U412" i="1"/>
  <c r="U408" i="1"/>
  <c r="U406" i="1"/>
  <c r="U405" i="1"/>
  <c r="U404" i="1"/>
  <c r="U403" i="1"/>
  <c r="U409" i="1"/>
  <c r="U407" i="1"/>
  <c r="U410" i="1"/>
  <c r="U402" i="1"/>
  <c r="U401" i="1"/>
  <c r="U400" i="1"/>
  <c r="U398" i="1"/>
  <c r="U397" i="1"/>
  <c r="U396" i="1"/>
  <c r="U395" i="1"/>
  <c r="U399" i="1"/>
  <c r="U392" i="1"/>
  <c r="U391" i="1"/>
  <c r="U390" i="1"/>
  <c r="U411" i="1"/>
  <c r="U384" i="1"/>
  <c r="U387" i="1"/>
  <c r="U389" i="1"/>
  <c r="U386" i="1"/>
  <c r="U385" i="1"/>
  <c r="U388" i="1"/>
  <c r="U383" i="1"/>
  <c r="U382" i="1"/>
  <c r="U376" i="1"/>
  <c r="U375" i="1"/>
  <c r="U381" i="1"/>
  <c r="U380" i="1"/>
  <c r="U377" i="1"/>
  <c r="U379" i="1"/>
  <c r="U378" i="1"/>
  <c r="U373" i="1"/>
  <c r="U372" i="1"/>
  <c r="U374" i="1"/>
  <c r="U371" i="1"/>
  <c r="U370" i="1"/>
  <c r="U368" i="1"/>
  <c r="U366" i="1"/>
  <c r="U364" i="1"/>
  <c r="U363" i="1"/>
  <c r="U367" i="1"/>
  <c r="U357" i="1"/>
  <c r="U369" i="1"/>
  <c r="U362" i="1"/>
  <c r="U361" i="1"/>
  <c r="U359" i="1"/>
  <c r="U365" i="1"/>
  <c r="U358" i="1"/>
  <c r="U360" i="1"/>
  <c r="U355" i="1"/>
  <c r="U356" i="1"/>
  <c r="U354" i="1"/>
  <c r="U353" i="1"/>
  <c r="U350" i="1"/>
  <c r="U348" i="1"/>
  <c r="U344" i="1"/>
  <c r="U352" i="1"/>
  <c r="U347" i="1"/>
  <c r="U351" i="1"/>
  <c r="U345" i="1"/>
  <c r="U343" i="1"/>
  <c r="U341" i="1"/>
  <c r="U340" i="1"/>
  <c r="U339" i="1"/>
  <c r="U342" i="1"/>
  <c r="U346" i="1"/>
  <c r="U338" i="1"/>
  <c r="U337" i="1"/>
  <c r="U336" i="1"/>
  <c r="U335" i="1"/>
  <c r="U334" i="1"/>
  <c r="U333" i="1"/>
  <c r="U332" i="1"/>
  <c r="U331" i="1"/>
  <c r="U316" i="1"/>
  <c r="U328" i="1"/>
  <c r="U329" i="1"/>
  <c r="U327" i="1"/>
  <c r="U326" i="1"/>
  <c r="U317" i="1"/>
  <c r="U325" i="1"/>
  <c r="U330" i="1"/>
  <c r="U324" i="1"/>
  <c r="U321" i="1"/>
  <c r="U320" i="1"/>
  <c r="U319" i="1"/>
  <c r="U322" i="1"/>
  <c r="U318" i="1"/>
  <c r="U323" i="1"/>
  <c r="U349" i="1"/>
  <c r="U315" i="1"/>
  <c r="U314" i="1"/>
  <c r="U313" i="1"/>
  <c r="U312" i="1"/>
  <c r="U311" i="1"/>
  <c r="U310" i="1"/>
  <c r="U309" i="1"/>
  <c r="U308" i="1"/>
  <c r="U306" i="1"/>
  <c r="U307" i="1"/>
  <c r="U305" i="1"/>
  <c r="U304" i="1"/>
  <c r="U303" i="1"/>
  <c r="U299" i="1"/>
  <c r="U302" i="1"/>
  <c r="U301" i="1"/>
  <c r="U300" i="1"/>
  <c r="U298" i="1"/>
  <c r="U297" i="1"/>
  <c r="U294" i="1"/>
  <c r="U296" i="1"/>
  <c r="U295" i="1"/>
  <c r="U393" i="1"/>
  <c r="U293" i="1"/>
  <c r="U288" i="1"/>
  <c r="U287" i="1"/>
  <c r="U292" i="1"/>
  <c r="U291" i="1"/>
  <c r="U290" i="1"/>
  <c r="U286" i="1"/>
  <c r="U289" i="1"/>
  <c r="U285" i="1"/>
  <c r="U284" i="1"/>
  <c r="U281" i="1"/>
  <c r="U394" i="1"/>
  <c r="U280" i="1"/>
  <c r="U279" i="1"/>
  <c r="U282" i="1"/>
  <c r="U283" i="1"/>
  <c r="U278" i="1"/>
  <c r="U277" i="1"/>
  <c r="U274" i="1"/>
  <c r="U273" i="1"/>
  <c r="U272" i="1"/>
  <c r="U270" i="1"/>
  <c r="U276" i="1"/>
  <c r="U275" i="1"/>
  <c r="U269" i="1"/>
  <c r="U271" i="1"/>
  <c r="U267" i="1"/>
  <c r="U266" i="1"/>
  <c r="U265" i="1"/>
  <c r="U264" i="1"/>
  <c r="U268" i="1"/>
  <c r="U263" i="1"/>
  <c r="U262" i="1"/>
  <c r="U261" i="1"/>
  <c r="U260" i="1"/>
  <c r="U259" i="1"/>
  <c r="U258" i="1"/>
  <c r="U257" i="1"/>
  <c r="U256" i="1"/>
  <c r="U254" i="1"/>
  <c r="U250" i="1"/>
  <c r="U249" i="1"/>
  <c r="U253" i="1"/>
  <c r="U252" i="1"/>
  <c r="U248" i="1"/>
  <c r="U247" i="1"/>
  <c r="U246" i="1"/>
  <c r="U243" i="1"/>
  <c r="U251" i="1"/>
  <c r="U245" i="1"/>
  <c r="U242" i="1"/>
  <c r="U244" i="1"/>
  <c r="U241" i="1"/>
  <c r="U240" i="1"/>
  <c r="U237" i="1"/>
  <c r="U239" i="1"/>
  <c r="U236" i="1"/>
  <c r="U238" i="1"/>
  <c r="U235" i="1"/>
  <c r="U233" i="1"/>
  <c r="U231" i="1"/>
  <c r="U229" i="1"/>
  <c r="U227" i="1"/>
  <c r="U226" i="1"/>
  <c r="U234" i="1"/>
  <c r="U232" i="1"/>
  <c r="U225" i="1"/>
  <c r="U230" i="1"/>
  <c r="U228" i="1"/>
  <c r="U223" i="1"/>
  <c r="U222" i="1"/>
  <c r="U255" i="1"/>
  <c r="U221" i="1"/>
  <c r="U224" i="1"/>
  <c r="U220" i="1"/>
  <c r="U219" i="1"/>
  <c r="U218" i="1"/>
  <c r="U216" i="1"/>
  <c r="U215" i="1"/>
  <c r="U214" i="1"/>
  <c r="U213" i="1"/>
  <c r="U217" i="1"/>
  <c r="U212" i="1"/>
  <c r="U210" i="1"/>
  <c r="U209" i="1"/>
  <c r="U207" i="1"/>
  <c r="U206" i="1"/>
  <c r="U211" i="1"/>
  <c r="U205" i="1"/>
  <c r="U208" i="1"/>
  <c r="U204" i="1"/>
  <c r="U203" i="1"/>
  <c r="U199" i="1"/>
  <c r="U200" i="1"/>
  <c r="U198" i="1"/>
  <c r="U201" i="1"/>
  <c r="U196" i="1"/>
  <c r="U197" i="1"/>
  <c r="U195" i="1"/>
  <c r="U202" i="1"/>
  <c r="U193" i="1"/>
  <c r="U191" i="1"/>
  <c r="U189" i="1"/>
  <c r="U192" i="1"/>
  <c r="U190" i="1"/>
  <c r="U187" i="1"/>
  <c r="U194" i="1"/>
  <c r="U186" i="1"/>
  <c r="U188" i="1"/>
  <c r="U184" i="1"/>
  <c r="U183" i="1"/>
  <c r="U185" i="1"/>
  <c r="U181" i="1"/>
  <c r="U180" i="1"/>
  <c r="U179" i="1"/>
  <c r="U178" i="1"/>
  <c r="U182" i="1"/>
  <c r="U177" i="1"/>
  <c r="U176" i="1"/>
  <c r="U175" i="1"/>
  <c r="U173" i="1"/>
  <c r="U172" i="1"/>
  <c r="U174" i="1"/>
  <c r="U170" i="1"/>
  <c r="U169" i="1"/>
  <c r="U167" i="1"/>
  <c r="U166" i="1"/>
  <c r="U165" i="1"/>
  <c r="U168" i="1"/>
  <c r="U164" i="1"/>
  <c r="U163" i="1"/>
  <c r="U162" i="1"/>
  <c r="U171" i="1"/>
  <c r="U161" i="1"/>
  <c r="U157" i="1"/>
  <c r="U160" i="1"/>
  <c r="U158" i="1"/>
  <c r="U156" i="1"/>
  <c r="U159" i="1"/>
  <c r="U155" i="1"/>
  <c r="U154" i="1"/>
  <c r="U153" i="1"/>
  <c r="U152" i="1"/>
  <c r="U150" i="1"/>
  <c r="U149" i="1"/>
  <c r="U151" i="1"/>
  <c r="U148" i="1"/>
  <c r="U147" i="1"/>
  <c r="U146" i="1"/>
  <c r="U145" i="1"/>
  <c r="U143" i="1"/>
  <c r="U142" i="1"/>
  <c r="U141" i="1"/>
  <c r="U144" i="1"/>
  <c r="U140" i="1"/>
  <c r="U139" i="1"/>
  <c r="U138" i="1"/>
  <c r="U137" i="1"/>
  <c r="U136" i="1"/>
  <c r="U135" i="1"/>
  <c r="U134" i="1"/>
  <c r="U133" i="1"/>
  <c r="U132" i="1"/>
  <c r="U131" i="1"/>
  <c r="U130" i="1"/>
  <c r="U128" i="1"/>
  <c r="U127" i="1"/>
  <c r="U129" i="1"/>
  <c r="U125" i="1"/>
  <c r="U124" i="1"/>
  <c r="U123" i="1"/>
  <c r="U126" i="1"/>
  <c r="U122" i="1"/>
  <c r="U121" i="1"/>
  <c r="U120" i="1"/>
  <c r="U115" i="1"/>
  <c r="U119" i="1"/>
  <c r="U114" i="1"/>
  <c r="U118" i="1"/>
  <c r="U117" i="1"/>
  <c r="U116" i="1"/>
  <c r="U113" i="1"/>
  <c r="U112" i="1"/>
  <c r="U109" i="1"/>
  <c r="U108" i="1"/>
  <c r="U107" i="1"/>
  <c r="U111" i="1"/>
  <c r="U106" i="1"/>
  <c r="U110" i="1"/>
  <c r="U105" i="1"/>
  <c r="U104" i="1"/>
  <c r="U100" i="1"/>
  <c r="U103" i="1"/>
  <c r="U101" i="1"/>
  <c r="U98" i="1"/>
  <c r="U102" i="1"/>
  <c r="U97" i="1"/>
  <c r="U99" i="1"/>
  <c r="U96" i="1"/>
  <c r="U95" i="1"/>
  <c r="U94" i="1"/>
  <c r="U93" i="1"/>
  <c r="U92" i="1"/>
  <c r="U91" i="1"/>
  <c r="U90" i="1"/>
  <c r="U88" i="1"/>
  <c r="U89" i="1"/>
  <c r="U87" i="1"/>
  <c r="U86" i="1"/>
  <c r="U85" i="1"/>
  <c r="U84" i="1"/>
  <c r="U82" i="1"/>
  <c r="U81" i="1"/>
  <c r="U80" i="1"/>
  <c r="U78" i="1"/>
  <c r="U77" i="1"/>
  <c r="U83" i="1"/>
  <c r="U74" i="1"/>
  <c r="U73" i="1"/>
  <c r="U79" i="1"/>
  <c r="U72" i="1"/>
  <c r="U76" i="1"/>
  <c r="U75" i="1"/>
  <c r="U71" i="1"/>
  <c r="U70" i="1"/>
  <c r="U69" i="1"/>
  <c r="U68" i="1"/>
  <c r="U67" i="1"/>
  <c r="U66" i="1"/>
  <c r="U64" i="1"/>
  <c r="U65" i="1"/>
  <c r="U61" i="1"/>
  <c r="U63" i="1"/>
  <c r="U62" i="1"/>
  <c r="U60" i="1"/>
  <c r="U58" i="1"/>
  <c r="U59" i="1"/>
  <c r="U57" i="1"/>
  <c r="U55" i="1"/>
  <c r="U56" i="1"/>
  <c r="U54" i="1"/>
  <c r="U53" i="1"/>
  <c r="U52" i="1"/>
  <c r="U51" i="1"/>
  <c r="U50" i="1"/>
  <c r="U49" i="1"/>
  <c r="U48" i="1"/>
  <c r="U45" i="1"/>
  <c r="U47" i="1"/>
  <c r="U44" i="1"/>
  <c r="U43" i="1"/>
  <c r="U46" i="1"/>
  <c r="U42" i="1"/>
  <c r="U41" i="1"/>
  <c r="U40" i="1"/>
  <c r="U38" i="1"/>
  <c r="U37" i="1"/>
  <c r="U35" i="1"/>
  <c r="U39" i="1"/>
  <c r="U34" i="1"/>
  <c r="U36" i="1"/>
  <c r="U33" i="1"/>
  <c r="U32" i="1"/>
  <c r="U31" i="1"/>
  <c r="U30" i="1"/>
  <c r="U29" i="1"/>
  <c r="U28" i="1"/>
  <c r="U26" i="1"/>
  <c r="U27" i="1"/>
  <c r="U25" i="1"/>
  <c r="U24" i="1"/>
  <c r="U23" i="1"/>
  <c r="U22" i="1"/>
  <c r="U21" i="1"/>
  <c r="AD543" i="1" l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20" i="1"/>
  <c r="AD19" i="1"/>
  <c r="AD17" i="1"/>
  <c r="AD18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530" i="1"/>
  <c r="AD528" i="1"/>
  <c r="AD527" i="1"/>
  <c r="AD526" i="1"/>
  <c r="AD525" i="1"/>
  <c r="AD529" i="1"/>
  <c r="AD524" i="1"/>
  <c r="AD523" i="1"/>
  <c r="AD522" i="1"/>
  <c r="AD519" i="1"/>
  <c r="AD518" i="1"/>
  <c r="AD517" i="1"/>
  <c r="AD516" i="1"/>
  <c r="AD521" i="1"/>
  <c r="AD515" i="1"/>
  <c r="AD520" i="1"/>
  <c r="AD514" i="1"/>
  <c r="AD513" i="1"/>
  <c r="AD508" i="1"/>
  <c r="AD512" i="1"/>
  <c r="AD511" i="1"/>
  <c r="AD507" i="1"/>
  <c r="AD510" i="1"/>
  <c r="AD506" i="1"/>
  <c r="AD509" i="1"/>
  <c r="AD504" i="1"/>
  <c r="AD505" i="1"/>
  <c r="AD500" i="1"/>
  <c r="AD503" i="1"/>
  <c r="AD502" i="1"/>
  <c r="AD499" i="1"/>
  <c r="AD501" i="1"/>
  <c r="AD497" i="1"/>
  <c r="AD498" i="1"/>
  <c r="AD496" i="1"/>
  <c r="AD495" i="1"/>
  <c r="AD494" i="1"/>
  <c r="AD493" i="1"/>
  <c r="AD491" i="1"/>
  <c r="AD492" i="1"/>
  <c r="AD490" i="1"/>
  <c r="AD489" i="1"/>
  <c r="AD486" i="1"/>
  <c r="AD484" i="1"/>
  <c r="AD488" i="1"/>
  <c r="AD487" i="1"/>
  <c r="AD485" i="1"/>
  <c r="AD483" i="1"/>
  <c r="AD481" i="1"/>
  <c r="AD482" i="1"/>
  <c r="AD479" i="1"/>
  <c r="AD478" i="1"/>
  <c r="AD480" i="1"/>
  <c r="AD477" i="1"/>
  <c r="AD476" i="1"/>
  <c r="AD475" i="1"/>
  <c r="AD474" i="1"/>
  <c r="AD473" i="1"/>
  <c r="AD472" i="1"/>
  <c r="AD471" i="1"/>
  <c r="AD470" i="1"/>
  <c r="AD468" i="1"/>
  <c r="AD469" i="1"/>
  <c r="AD467" i="1"/>
  <c r="AD464" i="1"/>
  <c r="AD463" i="1"/>
  <c r="AD466" i="1"/>
  <c r="AD465" i="1"/>
  <c r="AD462" i="1"/>
  <c r="AD461" i="1"/>
  <c r="AD460" i="1"/>
  <c r="AD456" i="1"/>
  <c r="AD459" i="1"/>
  <c r="AD458" i="1"/>
  <c r="AD455" i="1"/>
  <c r="AD454" i="1"/>
  <c r="AD457" i="1"/>
  <c r="AD453" i="1"/>
  <c r="AD452" i="1"/>
  <c r="AD451" i="1"/>
  <c r="AD450" i="1"/>
  <c r="AD446" i="1"/>
  <c r="AD449" i="1"/>
  <c r="AD445" i="1"/>
  <c r="AD448" i="1"/>
  <c r="AD447" i="1"/>
  <c r="AD444" i="1"/>
  <c r="AD443" i="1"/>
  <c r="AD442" i="1"/>
  <c r="AD441" i="1"/>
  <c r="AD440" i="1"/>
  <c r="AD437" i="1"/>
  <c r="AD439" i="1"/>
  <c r="AD438" i="1"/>
  <c r="AD436" i="1"/>
  <c r="AD435" i="1"/>
  <c r="AD434" i="1"/>
  <c r="AD433" i="1"/>
  <c r="AD432" i="1"/>
  <c r="AD431" i="1"/>
  <c r="AD428" i="1"/>
  <c r="AD427" i="1"/>
  <c r="AD425" i="1"/>
  <c r="AD426" i="1"/>
  <c r="AD429" i="1"/>
  <c r="AD424" i="1"/>
  <c r="AD430" i="1"/>
  <c r="AD423" i="1"/>
  <c r="AD420" i="1"/>
  <c r="AD419" i="1"/>
  <c r="AD418" i="1"/>
  <c r="AD422" i="1"/>
  <c r="AD417" i="1"/>
  <c r="AD416" i="1"/>
  <c r="AD421" i="1"/>
  <c r="AD415" i="1"/>
  <c r="AD414" i="1"/>
  <c r="AD413" i="1"/>
  <c r="AD412" i="1"/>
  <c r="AD408" i="1"/>
  <c r="AD406" i="1"/>
  <c r="AD405" i="1"/>
  <c r="AD404" i="1"/>
  <c r="AD403" i="1"/>
  <c r="AD409" i="1"/>
  <c r="AD407" i="1"/>
  <c r="AD410" i="1"/>
  <c r="AD402" i="1"/>
  <c r="AD401" i="1"/>
  <c r="AD400" i="1"/>
  <c r="AD398" i="1"/>
  <c r="AD397" i="1"/>
  <c r="AD396" i="1"/>
  <c r="AD395" i="1"/>
  <c r="AD399" i="1"/>
  <c r="AD392" i="1"/>
  <c r="AD391" i="1"/>
  <c r="AD390" i="1"/>
  <c r="AD411" i="1"/>
  <c r="AD384" i="1"/>
  <c r="AD387" i="1"/>
  <c r="AD389" i="1"/>
  <c r="AD386" i="1"/>
  <c r="AD385" i="1"/>
  <c r="AD388" i="1"/>
  <c r="AD383" i="1"/>
  <c r="AD382" i="1"/>
  <c r="AD376" i="1"/>
  <c r="AD375" i="1"/>
  <c r="AD381" i="1"/>
  <c r="AD380" i="1"/>
  <c r="AD377" i="1"/>
  <c r="AD379" i="1"/>
  <c r="AD378" i="1"/>
  <c r="AD373" i="1"/>
  <c r="AD372" i="1"/>
  <c r="AD374" i="1"/>
  <c r="AD371" i="1"/>
  <c r="AD370" i="1"/>
  <c r="AD368" i="1"/>
  <c r="AD366" i="1"/>
  <c r="AD364" i="1"/>
  <c r="AD363" i="1"/>
  <c r="AD367" i="1"/>
  <c r="AD357" i="1"/>
  <c r="AD369" i="1"/>
  <c r="AD362" i="1"/>
  <c r="AD361" i="1"/>
  <c r="AD359" i="1"/>
  <c r="AD365" i="1"/>
  <c r="AD358" i="1"/>
  <c r="AD360" i="1"/>
  <c r="AD355" i="1"/>
  <c r="AD356" i="1"/>
  <c r="AD354" i="1"/>
  <c r="AD353" i="1"/>
  <c r="AD350" i="1"/>
  <c r="AD348" i="1"/>
  <c r="AD344" i="1"/>
  <c r="AD352" i="1"/>
  <c r="AD347" i="1"/>
  <c r="AD351" i="1"/>
  <c r="AD345" i="1"/>
  <c r="AD343" i="1"/>
  <c r="AD341" i="1"/>
  <c r="AD340" i="1"/>
  <c r="AD339" i="1"/>
  <c r="AD342" i="1"/>
  <c r="AD346" i="1"/>
  <c r="AD338" i="1"/>
  <c r="AD337" i="1"/>
  <c r="AD336" i="1"/>
  <c r="AD335" i="1"/>
  <c r="AD334" i="1"/>
  <c r="AD333" i="1"/>
  <c r="AD332" i="1"/>
  <c r="AD331" i="1"/>
  <c r="AD316" i="1"/>
  <c r="AD328" i="1"/>
  <c r="AD329" i="1"/>
  <c r="AD327" i="1"/>
  <c r="AD326" i="1"/>
  <c r="AD317" i="1"/>
  <c r="AD325" i="1"/>
  <c r="AD330" i="1"/>
  <c r="AD324" i="1"/>
  <c r="AD321" i="1"/>
  <c r="AD320" i="1"/>
  <c r="AD319" i="1"/>
  <c r="AD322" i="1"/>
  <c r="AD318" i="1"/>
  <c r="AD323" i="1"/>
  <c r="AD349" i="1"/>
  <c r="AD315" i="1"/>
  <c r="AD314" i="1"/>
  <c r="AD313" i="1"/>
  <c r="AD312" i="1"/>
  <c r="AD311" i="1"/>
  <c r="AD310" i="1"/>
  <c r="AD309" i="1"/>
  <c r="AD308" i="1"/>
  <c r="AD306" i="1"/>
  <c r="AD307" i="1"/>
  <c r="AD305" i="1"/>
  <c r="AD304" i="1"/>
  <c r="AD303" i="1"/>
  <c r="AD299" i="1"/>
  <c r="AD302" i="1"/>
  <c r="AD301" i="1"/>
  <c r="AD300" i="1"/>
  <c r="AD298" i="1"/>
  <c r="AD297" i="1"/>
  <c r="AD294" i="1"/>
  <c r="AD296" i="1"/>
  <c r="AD295" i="1"/>
  <c r="AD393" i="1"/>
  <c r="AD293" i="1"/>
  <c r="AD288" i="1"/>
  <c r="AD287" i="1"/>
  <c r="AD292" i="1"/>
  <c r="AD291" i="1"/>
  <c r="AD290" i="1"/>
  <c r="AD286" i="1"/>
  <c r="AD289" i="1"/>
  <c r="AD285" i="1"/>
  <c r="AD284" i="1"/>
  <c r="AD281" i="1"/>
  <c r="AD394" i="1"/>
  <c r="AD280" i="1"/>
  <c r="AD279" i="1"/>
  <c r="AD282" i="1"/>
  <c r="AD283" i="1"/>
  <c r="AD278" i="1"/>
  <c r="AD277" i="1"/>
  <c r="AD274" i="1"/>
  <c r="AD273" i="1"/>
  <c r="AD272" i="1"/>
  <c r="AD270" i="1"/>
  <c r="AD276" i="1"/>
  <c r="AD275" i="1"/>
  <c r="AD269" i="1"/>
  <c r="AD271" i="1"/>
  <c r="AD267" i="1"/>
  <c r="AD266" i="1"/>
  <c r="AD265" i="1"/>
  <c r="AD264" i="1"/>
  <c r="AD268" i="1"/>
  <c r="AD263" i="1"/>
  <c r="AD262" i="1"/>
  <c r="AD261" i="1"/>
  <c r="AD260" i="1"/>
  <c r="AD259" i="1"/>
  <c r="AD258" i="1"/>
  <c r="AD257" i="1"/>
  <c r="AD256" i="1"/>
  <c r="AD254" i="1"/>
  <c r="AD250" i="1"/>
  <c r="AD249" i="1"/>
  <c r="AD253" i="1"/>
  <c r="AD252" i="1"/>
  <c r="AD248" i="1"/>
  <c r="AD247" i="1"/>
  <c r="AD246" i="1"/>
  <c r="AD243" i="1"/>
  <c r="AD251" i="1"/>
  <c r="AD245" i="1"/>
  <c r="AD242" i="1"/>
  <c r="AD244" i="1"/>
  <c r="AD241" i="1"/>
  <c r="AD240" i="1"/>
  <c r="AD237" i="1"/>
  <c r="AD239" i="1"/>
  <c r="AD236" i="1"/>
  <c r="AD238" i="1"/>
  <c r="AD235" i="1"/>
  <c r="AD233" i="1"/>
  <c r="AD231" i="1"/>
  <c r="AD229" i="1"/>
  <c r="AD227" i="1"/>
  <c r="AD226" i="1"/>
  <c r="AD234" i="1"/>
  <c r="AD232" i="1"/>
  <c r="AD225" i="1"/>
  <c r="AD230" i="1"/>
  <c r="AD228" i="1"/>
  <c r="AD223" i="1"/>
  <c r="AD222" i="1"/>
  <c r="AD255" i="1"/>
  <c r="AD221" i="1"/>
  <c r="AD224" i="1"/>
  <c r="AD220" i="1"/>
  <c r="AD219" i="1"/>
  <c r="AD218" i="1"/>
  <c r="AD216" i="1"/>
  <c r="AD215" i="1"/>
  <c r="AD214" i="1"/>
  <c r="AD213" i="1"/>
  <c r="AD217" i="1"/>
  <c r="AD212" i="1"/>
  <c r="AD210" i="1"/>
  <c r="AD209" i="1"/>
  <c r="AD207" i="1"/>
  <c r="AD206" i="1"/>
  <c r="AD211" i="1"/>
  <c r="AD205" i="1"/>
  <c r="AD208" i="1"/>
  <c r="AD204" i="1"/>
  <c r="AD203" i="1"/>
  <c r="AD199" i="1"/>
  <c r="AD200" i="1"/>
  <c r="AD198" i="1"/>
  <c r="AD201" i="1"/>
  <c r="AD196" i="1"/>
  <c r="AD197" i="1"/>
  <c r="AD195" i="1"/>
  <c r="AD202" i="1"/>
  <c r="AD193" i="1"/>
  <c r="AD191" i="1"/>
  <c r="AD189" i="1"/>
  <c r="AD192" i="1"/>
  <c r="AD190" i="1"/>
  <c r="AD187" i="1"/>
  <c r="AD194" i="1"/>
  <c r="AD186" i="1"/>
  <c r="AD188" i="1"/>
  <c r="AD184" i="1"/>
  <c r="AD183" i="1"/>
  <c r="AD185" i="1"/>
  <c r="AD181" i="1"/>
  <c r="AD180" i="1"/>
  <c r="AD179" i="1"/>
  <c r="AD178" i="1"/>
  <c r="AD182" i="1"/>
  <c r="AD177" i="1"/>
  <c r="AD176" i="1"/>
  <c r="AD175" i="1"/>
  <c r="AD173" i="1"/>
  <c r="AD172" i="1"/>
  <c r="AD174" i="1"/>
  <c r="AD170" i="1"/>
  <c r="AD169" i="1"/>
  <c r="AD167" i="1"/>
  <c r="AD166" i="1"/>
  <c r="AD165" i="1"/>
  <c r="AD168" i="1"/>
  <c r="AD164" i="1"/>
  <c r="AD163" i="1"/>
  <c r="AD162" i="1"/>
  <c r="AD171" i="1"/>
  <c r="AD161" i="1"/>
  <c r="AD157" i="1"/>
  <c r="AD160" i="1"/>
  <c r="AD158" i="1"/>
  <c r="AD156" i="1"/>
  <c r="AD159" i="1"/>
  <c r="AD155" i="1"/>
  <c r="AD154" i="1"/>
  <c r="AD153" i="1"/>
  <c r="AD152" i="1"/>
  <c r="AD150" i="1"/>
  <c r="AD149" i="1"/>
  <c r="AD151" i="1"/>
  <c r="AD148" i="1"/>
  <c r="AD147" i="1"/>
  <c r="AD146" i="1"/>
  <c r="AD145" i="1"/>
  <c r="AD143" i="1"/>
  <c r="AD142" i="1"/>
  <c r="AD141" i="1"/>
  <c r="AD144" i="1"/>
  <c r="AD140" i="1"/>
  <c r="AD139" i="1"/>
  <c r="AD138" i="1"/>
  <c r="AD137" i="1"/>
  <c r="AD136" i="1"/>
  <c r="AD135" i="1"/>
  <c r="AD134" i="1"/>
  <c r="AD133" i="1"/>
  <c r="AD132" i="1"/>
  <c r="AD131" i="1"/>
  <c r="AD130" i="1"/>
  <c r="AD128" i="1"/>
  <c r="AD127" i="1"/>
  <c r="AD129" i="1"/>
  <c r="AD125" i="1"/>
  <c r="AD124" i="1"/>
  <c r="AD123" i="1"/>
  <c r="AD126" i="1"/>
  <c r="AD122" i="1"/>
  <c r="AD121" i="1"/>
  <c r="AD120" i="1"/>
  <c r="AD115" i="1"/>
  <c r="AD119" i="1"/>
  <c r="AD114" i="1"/>
  <c r="AD118" i="1"/>
  <c r="AD117" i="1"/>
  <c r="AD116" i="1"/>
  <c r="AD113" i="1"/>
  <c r="AD112" i="1"/>
  <c r="AD109" i="1"/>
  <c r="AD108" i="1"/>
  <c r="AD107" i="1"/>
  <c r="AD111" i="1"/>
  <c r="AD106" i="1"/>
  <c r="AD110" i="1"/>
  <c r="AD105" i="1"/>
  <c r="AD104" i="1"/>
  <c r="AD100" i="1"/>
  <c r="AD103" i="1"/>
  <c r="AD101" i="1"/>
  <c r="AD98" i="1"/>
  <c r="AD102" i="1"/>
  <c r="AD97" i="1"/>
  <c r="AD99" i="1"/>
  <c r="AD96" i="1"/>
  <c r="AD95" i="1"/>
  <c r="AD94" i="1"/>
  <c r="AD93" i="1"/>
  <c r="AD92" i="1"/>
  <c r="AD91" i="1"/>
  <c r="AD90" i="1"/>
  <c r="AD88" i="1"/>
  <c r="AD89" i="1"/>
  <c r="AD87" i="1"/>
  <c r="AD86" i="1"/>
  <c r="AD85" i="1"/>
  <c r="AD84" i="1"/>
  <c r="AD82" i="1"/>
  <c r="AD81" i="1"/>
  <c r="AD80" i="1"/>
  <c r="AD78" i="1"/>
  <c r="AD77" i="1"/>
  <c r="AD83" i="1"/>
  <c r="AD74" i="1"/>
  <c r="AD73" i="1"/>
  <c r="AD79" i="1"/>
  <c r="AD72" i="1"/>
  <c r="AD76" i="1"/>
  <c r="AD75" i="1"/>
  <c r="AD71" i="1"/>
  <c r="AD70" i="1"/>
  <c r="AD69" i="1"/>
  <c r="AD68" i="1"/>
  <c r="AD67" i="1"/>
  <c r="AD66" i="1"/>
  <c r="AD64" i="1"/>
  <c r="AD65" i="1"/>
  <c r="AD61" i="1"/>
  <c r="AD63" i="1"/>
  <c r="AD62" i="1"/>
  <c r="AD60" i="1"/>
  <c r="AD58" i="1"/>
  <c r="AD59" i="1"/>
  <c r="AD57" i="1"/>
  <c r="AD55" i="1"/>
  <c r="AD56" i="1"/>
  <c r="AD54" i="1"/>
  <c r="AD53" i="1"/>
  <c r="AD52" i="1"/>
  <c r="AD51" i="1"/>
  <c r="AD50" i="1"/>
  <c r="AD49" i="1"/>
  <c r="AD48" i="1"/>
  <c r="AD45" i="1"/>
  <c r="AD47" i="1"/>
  <c r="AD44" i="1"/>
  <c r="AD43" i="1"/>
  <c r="AD46" i="1"/>
  <c r="AD42" i="1"/>
  <c r="AD41" i="1"/>
  <c r="AD40" i="1"/>
  <c r="AD38" i="1"/>
  <c r="AD37" i="1"/>
  <c r="AD35" i="1"/>
  <c r="AD39" i="1"/>
  <c r="AD34" i="1"/>
  <c r="AD36" i="1"/>
  <c r="AD33" i="1"/>
  <c r="AD32" i="1"/>
  <c r="AD31" i="1"/>
  <c r="AD30" i="1"/>
  <c r="AD29" i="1"/>
  <c r="AD28" i="1"/>
  <c r="AD26" i="1"/>
  <c r="AD27" i="1"/>
  <c r="AD25" i="1"/>
  <c r="AD24" i="1"/>
  <c r="AD23" i="1"/>
  <c r="AD22" i="1"/>
  <c r="AD21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20" i="1"/>
  <c r="S19" i="1"/>
  <c r="S17" i="1"/>
  <c r="S18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530" i="1"/>
  <c r="S528" i="1"/>
  <c r="S527" i="1"/>
  <c r="S526" i="1"/>
  <c r="S525" i="1"/>
  <c r="S529" i="1"/>
  <c r="S524" i="1"/>
  <c r="S523" i="1"/>
  <c r="S522" i="1"/>
  <c r="S519" i="1"/>
  <c r="S518" i="1"/>
  <c r="S517" i="1"/>
  <c r="S516" i="1"/>
  <c r="S521" i="1"/>
  <c r="S515" i="1"/>
  <c r="S520" i="1"/>
  <c r="S514" i="1"/>
  <c r="S513" i="1"/>
  <c r="S508" i="1"/>
  <c r="S512" i="1"/>
  <c r="S511" i="1"/>
  <c r="S507" i="1"/>
  <c r="S510" i="1"/>
  <c r="S506" i="1"/>
  <c r="S509" i="1"/>
  <c r="S504" i="1"/>
  <c r="S505" i="1"/>
  <c r="S500" i="1"/>
  <c r="S503" i="1"/>
  <c r="S502" i="1"/>
  <c r="S499" i="1"/>
  <c r="S501" i="1"/>
  <c r="S497" i="1"/>
  <c r="S498" i="1"/>
  <c r="S496" i="1"/>
  <c r="S495" i="1"/>
  <c r="S494" i="1"/>
  <c r="S493" i="1"/>
  <c r="S491" i="1"/>
  <c r="S492" i="1"/>
  <c r="S490" i="1"/>
  <c r="S489" i="1"/>
  <c r="S486" i="1"/>
  <c r="S484" i="1"/>
  <c r="S488" i="1"/>
  <c r="S487" i="1"/>
  <c r="S485" i="1"/>
  <c r="S483" i="1"/>
  <c r="S481" i="1"/>
  <c r="S482" i="1"/>
  <c r="S479" i="1"/>
  <c r="S478" i="1"/>
  <c r="S480" i="1"/>
  <c r="S477" i="1"/>
  <c r="S476" i="1"/>
  <c r="S475" i="1"/>
  <c r="S474" i="1"/>
  <c r="S473" i="1"/>
  <c r="S472" i="1"/>
  <c r="S471" i="1"/>
  <c r="S470" i="1"/>
  <c r="S468" i="1"/>
  <c r="S469" i="1"/>
  <c r="S467" i="1"/>
  <c r="S464" i="1"/>
  <c r="S463" i="1"/>
  <c r="S466" i="1"/>
  <c r="S465" i="1"/>
  <c r="S462" i="1"/>
  <c r="S461" i="1"/>
  <c r="S460" i="1"/>
  <c r="S456" i="1"/>
  <c r="S459" i="1"/>
  <c r="S458" i="1"/>
  <c r="S455" i="1"/>
  <c r="S454" i="1"/>
  <c r="S457" i="1"/>
  <c r="S453" i="1"/>
  <c r="S452" i="1"/>
  <c r="S451" i="1"/>
  <c r="S450" i="1"/>
  <c r="S446" i="1"/>
  <c r="S449" i="1"/>
  <c r="S445" i="1"/>
  <c r="S448" i="1"/>
  <c r="S447" i="1"/>
  <c r="S444" i="1"/>
  <c r="S443" i="1"/>
  <c r="S442" i="1"/>
  <c r="S441" i="1"/>
  <c r="S440" i="1"/>
  <c r="S437" i="1"/>
  <c r="S439" i="1"/>
  <c r="S438" i="1"/>
  <c r="S436" i="1"/>
  <c r="S435" i="1"/>
  <c r="S434" i="1"/>
  <c r="S433" i="1"/>
  <c r="S432" i="1"/>
  <c r="S431" i="1"/>
  <c r="S428" i="1"/>
  <c r="S427" i="1"/>
  <c r="S425" i="1"/>
  <c r="S426" i="1"/>
  <c r="S429" i="1"/>
  <c r="S424" i="1"/>
  <c r="S430" i="1"/>
  <c r="S423" i="1"/>
  <c r="S420" i="1"/>
  <c r="S419" i="1"/>
  <c r="S418" i="1"/>
  <c r="S422" i="1"/>
  <c r="S417" i="1"/>
  <c r="S416" i="1"/>
  <c r="S421" i="1"/>
  <c r="S415" i="1"/>
  <c r="S414" i="1"/>
  <c r="S413" i="1"/>
  <c r="S412" i="1"/>
  <c r="S408" i="1"/>
  <c r="S406" i="1"/>
  <c r="S405" i="1"/>
  <c r="S404" i="1"/>
  <c r="S403" i="1"/>
  <c r="S409" i="1"/>
  <c r="S407" i="1"/>
  <c r="S410" i="1"/>
  <c r="S402" i="1"/>
  <c r="S401" i="1"/>
  <c r="S400" i="1"/>
  <c r="S398" i="1"/>
  <c r="S397" i="1"/>
  <c r="S396" i="1"/>
  <c r="S395" i="1"/>
  <c r="S399" i="1"/>
  <c r="S392" i="1"/>
  <c r="S391" i="1"/>
  <c r="S390" i="1"/>
  <c r="S411" i="1"/>
  <c r="S384" i="1"/>
  <c r="S387" i="1"/>
  <c r="S389" i="1"/>
  <c r="S386" i="1"/>
  <c r="S385" i="1"/>
  <c r="S388" i="1"/>
  <c r="S383" i="1"/>
  <c r="S382" i="1"/>
  <c r="S376" i="1"/>
  <c r="S375" i="1"/>
  <c r="S381" i="1"/>
  <c r="S380" i="1"/>
  <c r="S377" i="1"/>
  <c r="S379" i="1"/>
  <c r="S378" i="1"/>
  <c r="S373" i="1"/>
  <c r="S372" i="1"/>
  <c r="S374" i="1"/>
  <c r="S371" i="1"/>
  <c r="S370" i="1"/>
  <c r="S368" i="1"/>
  <c r="S366" i="1"/>
  <c r="S364" i="1"/>
  <c r="S363" i="1"/>
  <c r="S367" i="1"/>
  <c r="S357" i="1"/>
  <c r="S369" i="1"/>
  <c r="S362" i="1"/>
  <c r="S361" i="1"/>
  <c r="S359" i="1"/>
  <c r="S365" i="1"/>
  <c r="S358" i="1"/>
  <c r="S360" i="1"/>
  <c r="S355" i="1"/>
  <c r="S356" i="1"/>
  <c r="S354" i="1"/>
  <c r="S353" i="1"/>
  <c r="S350" i="1"/>
  <c r="S348" i="1"/>
  <c r="S344" i="1"/>
  <c r="S352" i="1"/>
  <c r="S347" i="1"/>
  <c r="S351" i="1"/>
  <c r="S345" i="1"/>
  <c r="S343" i="1"/>
  <c r="S341" i="1"/>
  <c r="S340" i="1"/>
  <c r="S339" i="1"/>
  <c r="S342" i="1"/>
  <c r="S346" i="1"/>
  <c r="S338" i="1"/>
  <c r="S337" i="1"/>
  <c r="S336" i="1"/>
  <c r="S335" i="1"/>
  <c r="S334" i="1"/>
  <c r="S333" i="1"/>
  <c r="S332" i="1"/>
  <c r="S331" i="1"/>
  <c r="S316" i="1"/>
  <c r="S328" i="1"/>
  <c r="S329" i="1"/>
  <c r="S327" i="1"/>
  <c r="S326" i="1"/>
  <c r="S317" i="1"/>
  <c r="S325" i="1"/>
  <c r="S330" i="1"/>
  <c r="S324" i="1"/>
  <c r="S321" i="1"/>
  <c r="S320" i="1"/>
  <c r="S319" i="1"/>
  <c r="S322" i="1"/>
  <c r="S318" i="1"/>
  <c r="S323" i="1"/>
  <c r="S349" i="1"/>
  <c r="S315" i="1"/>
  <c r="S314" i="1"/>
  <c r="S313" i="1"/>
  <c r="S312" i="1"/>
  <c r="S311" i="1"/>
  <c r="S310" i="1"/>
  <c r="S309" i="1"/>
  <c r="S308" i="1"/>
  <c r="S306" i="1"/>
  <c r="S307" i="1"/>
  <c r="S305" i="1"/>
  <c r="S304" i="1"/>
  <c r="S303" i="1"/>
  <c r="S299" i="1"/>
  <c r="S302" i="1"/>
  <c r="S301" i="1"/>
  <c r="S300" i="1"/>
  <c r="S298" i="1"/>
  <c r="S297" i="1"/>
  <c r="S294" i="1"/>
  <c r="S296" i="1"/>
  <c r="S295" i="1"/>
  <c r="S393" i="1"/>
  <c r="S293" i="1"/>
  <c r="S288" i="1"/>
  <c r="S287" i="1"/>
  <c r="S292" i="1"/>
  <c r="S291" i="1"/>
  <c r="S290" i="1"/>
  <c r="S286" i="1"/>
  <c r="S289" i="1"/>
  <c r="S285" i="1"/>
  <c r="S284" i="1"/>
  <c r="S281" i="1"/>
  <c r="S394" i="1"/>
  <c r="S280" i="1"/>
  <c r="S279" i="1"/>
  <c r="S282" i="1"/>
  <c r="S283" i="1"/>
  <c r="S278" i="1"/>
  <c r="S277" i="1"/>
  <c r="S274" i="1"/>
  <c r="S273" i="1"/>
  <c r="S272" i="1"/>
  <c r="S270" i="1"/>
  <c r="S276" i="1"/>
  <c r="S275" i="1"/>
  <c r="S269" i="1"/>
  <c r="S271" i="1"/>
  <c r="S267" i="1"/>
  <c r="S266" i="1"/>
  <c r="S265" i="1"/>
  <c r="S264" i="1"/>
  <c r="S268" i="1"/>
  <c r="S263" i="1"/>
  <c r="S262" i="1"/>
  <c r="S261" i="1"/>
  <c r="S260" i="1"/>
  <c r="S259" i="1"/>
  <c r="S258" i="1"/>
  <c r="S257" i="1"/>
  <c r="S256" i="1"/>
  <c r="S254" i="1"/>
  <c r="S250" i="1"/>
  <c r="S249" i="1"/>
  <c r="S253" i="1"/>
  <c r="S252" i="1"/>
  <c r="S248" i="1"/>
  <c r="S247" i="1"/>
  <c r="S246" i="1"/>
  <c r="S243" i="1"/>
  <c r="S251" i="1"/>
  <c r="S245" i="1"/>
  <c r="S242" i="1"/>
  <c r="S244" i="1"/>
  <c r="S241" i="1"/>
  <c r="S240" i="1"/>
  <c r="S237" i="1"/>
  <c r="S239" i="1"/>
  <c r="S236" i="1"/>
  <c r="S238" i="1"/>
  <c r="S235" i="1"/>
  <c r="S233" i="1"/>
  <c r="S231" i="1"/>
  <c r="S229" i="1"/>
  <c r="S227" i="1"/>
  <c r="S226" i="1"/>
  <c r="S234" i="1"/>
  <c r="S232" i="1"/>
  <c r="S225" i="1"/>
  <c r="S230" i="1"/>
  <c r="S228" i="1"/>
  <c r="S223" i="1"/>
  <c r="S222" i="1"/>
  <c r="S255" i="1"/>
  <c r="S221" i="1"/>
  <c r="S224" i="1"/>
  <c r="S220" i="1"/>
  <c r="S219" i="1"/>
  <c r="S218" i="1"/>
  <c r="S216" i="1"/>
  <c r="S215" i="1"/>
  <c r="S214" i="1"/>
  <c r="S213" i="1"/>
  <c r="S217" i="1"/>
  <c r="S212" i="1"/>
  <c r="S210" i="1"/>
  <c r="S209" i="1"/>
  <c r="S207" i="1"/>
  <c r="S206" i="1"/>
  <c r="S211" i="1"/>
  <c r="S205" i="1"/>
  <c r="S208" i="1"/>
  <c r="S204" i="1"/>
  <c r="S203" i="1"/>
  <c r="S199" i="1"/>
  <c r="S200" i="1"/>
  <c r="S198" i="1"/>
  <c r="S201" i="1"/>
  <c r="S196" i="1"/>
  <c r="S197" i="1"/>
  <c r="S195" i="1"/>
  <c r="S202" i="1"/>
  <c r="S193" i="1"/>
  <c r="S191" i="1"/>
  <c r="S189" i="1"/>
  <c r="S192" i="1"/>
  <c r="S190" i="1"/>
  <c r="S187" i="1"/>
  <c r="S194" i="1"/>
  <c r="S186" i="1"/>
  <c r="S188" i="1"/>
  <c r="S184" i="1"/>
  <c r="S183" i="1"/>
  <c r="S185" i="1"/>
  <c r="S181" i="1"/>
  <c r="S180" i="1"/>
  <c r="S179" i="1"/>
  <c r="S178" i="1"/>
  <c r="S182" i="1"/>
  <c r="S177" i="1"/>
  <c r="S176" i="1"/>
  <c r="S175" i="1"/>
  <c r="S173" i="1"/>
  <c r="S172" i="1"/>
  <c r="S174" i="1"/>
  <c r="S170" i="1"/>
  <c r="S169" i="1"/>
  <c r="S167" i="1"/>
  <c r="S166" i="1"/>
  <c r="S165" i="1"/>
  <c r="S168" i="1"/>
  <c r="S164" i="1"/>
  <c r="S163" i="1"/>
  <c r="S162" i="1"/>
  <c r="S171" i="1"/>
  <c r="S161" i="1"/>
  <c r="S157" i="1"/>
  <c r="S160" i="1"/>
  <c r="S158" i="1"/>
  <c r="S156" i="1"/>
  <c r="S159" i="1"/>
  <c r="S155" i="1"/>
  <c r="S154" i="1"/>
  <c r="S153" i="1"/>
  <c r="S152" i="1"/>
  <c r="S150" i="1"/>
  <c r="S149" i="1"/>
  <c r="S151" i="1"/>
  <c r="S148" i="1"/>
  <c r="S147" i="1"/>
  <c r="S146" i="1"/>
  <c r="S145" i="1"/>
  <c r="S143" i="1"/>
  <c r="S142" i="1"/>
  <c r="S141" i="1"/>
  <c r="S144" i="1"/>
  <c r="S140" i="1"/>
  <c r="S139" i="1"/>
  <c r="S138" i="1"/>
  <c r="S137" i="1"/>
  <c r="S136" i="1"/>
  <c r="S135" i="1"/>
  <c r="S134" i="1"/>
  <c r="S133" i="1"/>
  <c r="S132" i="1"/>
  <c r="S131" i="1"/>
  <c r="S130" i="1"/>
  <c r="S128" i="1"/>
  <c r="S127" i="1"/>
  <c r="S129" i="1"/>
  <c r="S125" i="1"/>
  <c r="S124" i="1"/>
  <c r="S123" i="1"/>
  <c r="S126" i="1"/>
  <c r="S122" i="1"/>
  <c r="S121" i="1"/>
  <c r="S120" i="1"/>
  <c r="S115" i="1"/>
  <c r="S119" i="1"/>
  <c r="S114" i="1"/>
  <c r="S118" i="1"/>
  <c r="S117" i="1"/>
  <c r="S116" i="1"/>
  <c r="S113" i="1"/>
  <c r="S112" i="1"/>
  <c r="S109" i="1"/>
  <c r="S108" i="1"/>
  <c r="S107" i="1"/>
  <c r="S111" i="1"/>
  <c r="S106" i="1"/>
  <c r="S110" i="1"/>
  <c r="S105" i="1"/>
  <c r="S104" i="1"/>
  <c r="S100" i="1"/>
  <c r="S103" i="1"/>
  <c r="S101" i="1"/>
  <c r="S98" i="1"/>
  <c r="S102" i="1"/>
  <c r="S97" i="1"/>
  <c r="S99" i="1"/>
  <c r="S96" i="1"/>
  <c r="S95" i="1"/>
  <c r="S94" i="1"/>
  <c r="S93" i="1"/>
  <c r="S92" i="1"/>
  <c r="S91" i="1"/>
  <c r="S90" i="1"/>
  <c r="S88" i="1"/>
  <c r="S89" i="1"/>
  <c r="S87" i="1"/>
  <c r="S86" i="1"/>
  <c r="S85" i="1"/>
  <c r="S84" i="1"/>
  <c r="S82" i="1"/>
  <c r="S81" i="1"/>
  <c r="S80" i="1"/>
  <c r="S78" i="1"/>
  <c r="S77" i="1"/>
  <c r="S83" i="1"/>
  <c r="S74" i="1"/>
  <c r="S73" i="1"/>
  <c r="S79" i="1"/>
  <c r="S72" i="1"/>
  <c r="S76" i="1"/>
  <c r="S75" i="1"/>
  <c r="S71" i="1"/>
  <c r="S70" i="1"/>
  <c r="S69" i="1"/>
  <c r="S68" i="1"/>
  <c r="S67" i="1"/>
  <c r="S66" i="1"/>
  <c r="S64" i="1"/>
  <c r="S65" i="1"/>
  <c r="S61" i="1"/>
  <c r="S63" i="1"/>
  <c r="S62" i="1"/>
  <c r="S60" i="1"/>
  <c r="S58" i="1"/>
  <c r="S59" i="1"/>
  <c r="S57" i="1"/>
  <c r="S55" i="1"/>
  <c r="S56" i="1"/>
  <c r="S54" i="1"/>
  <c r="S53" i="1"/>
  <c r="S52" i="1"/>
  <c r="S51" i="1"/>
  <c r="S50" i="1"/>
  <c r="S49" i="1"/>
  <c r="S48" i="1"/>
  <c r="S45" i="1"/>
  <c r="S47" i="1"/>
  <c r="S44" i="1"/>
  <c r="S43" i="1"/>
  <c r="S46" i="1"/>
  <c r="S42" i="1"/>
  <c r="S41" i="1"/>
  <c r="S40" i="1"/>
  <c r="S38" i="1"/>
  <c r="S37" i="1"/>
  <c r="S35" i="1"/>
  <c r="S39" i="1"/>
  <c r="S34" i="1"/>
  <c r="S36" i="1"/>
  <c r="S33" i="1"/>
  <c r="S32" i="1"/>
  <c r="S31" i="1"/>
  <c r="S30" i="1"/>
  <c r="S29" i="1"/>
  <c r="S28" i="1"/>
  <c r="S26" i="1"/>
  <c r="S27" i="1"/>
  <c r="S25" i="1"/>
  <c r="S24" i="1"/>
  <c r="S23" i="1"/>
  <c r="S22" i="1"/>
  <c r="S21" i="1"/>
  <c r="H543" i="1" l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20" i="1"/>
  <c r="H19" i="1"/>
  <c r="H17" i="1"/>
  <c r="H18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530" i="1"/>
  <c r="H528" i="1"/>
  <c r="H527" i="1"/>
  <c r="H526" i="1"/>
  <c r="H525" i="1"/>
  <c r="H529" i="1"/>
  <c r="H524" i="1"/>
  <c r="H523" i="1"/>
  <c r="H522" i="1"/>
  <c r="H519" i="1"/>
  <c r="H518" i="1"/>
  <c r="H517" i="1"/>
  <c r="H516" i="1"/>
  <c r="H521" i="1"/>
  <c r="H515" i="1"/>
  <c r="H520" i="1"/>
  <c r="H514" i="1"/>
  <c r="H513" i="1"/>
  <c r="H508" i="1"/>
  <c r="H512" i="1"/>
  <c r="H511" i="1"/>
  <c r="H507" i="1"/>
  <c r="H510" i="1"/>
  <c r="H506" i="1"/>
  <c r="H509" i="1"/>
  <c r="H504" i="1"/>
  <c r="H505" i="1"/>
  <c r="H500" i="1"/>
  <c r="H503" i="1"/>
  <c r="H502" i="1"/>
  <c r="H499" i="1"/>
  <c r="H501" i="1"/>
  <c r="H497" i="1"/>
  <c r="H498" i="1"/>
  <c r="H496" i="1"/>
  <c r="H495" i="1"/>
  <c r="H494" i="1"/>
  <c r="H493" i="1"/>
  <c r="H491" i="1"/>
  <c r="H492" i="1"/>
  <c r="H490" i="1"/>
  <c r="H489" i="1"/>
  <c r="H486" i="1"/>
  <c r="H484" i="1"/>
  <c r="H488" i="1"/>
  <c r="H487" i="1"/>
  <c r="H485" i="1"/>
  <c r="H483" i="1"/>
  <c r="H481" i="1"/>
  <c r="H482" i="1"/>
  <c r="H479" i="1"/>
  <c r="H478" i="1"/>
  <c r="H480" i="1"/>
  <c r="H477" i="1"/>
  <c r="H476" i="1"/>
  <c r="H475" i="1"/>
  <c r="H474" i="1"/>
  <c r="H473" i="1"/>
  <c r="H472" i="1"/>
  <c r="H471" i="1"/>
  <c r="H470" i="1"/>
  <c r="H468" i="1"/>
  <c r="H469" i="1"/>
  <c r="H467" i="1"/>
  <c r="H464" i="1"/>
  <c r="H463" i="1"/>
  <c r="H466" i="1"/>
  <c r="H465" i="1"/>
  <c r="H462" i="1"/>
  <c r="H461" i="1"/>
  <c r="H460" i="1"/>
  <c r="H456" i="1"/>
  <c r="H459" i="1"/>
  <c r="H458" i="1"/>
  <c r="H455" i="1"/>
  <c r="H454" i="1"/>
  <c r="H457" i="1"/>
  <c r="H453" i="1"/>
  <c r="H452" i="1"/>
  <c r="H451" i="1"/>
  <c r="H450" i="1"/>
  <c r="H446" i="1"/>
  <c r="H449" i="1"/>
  <c r="H445" i="1"/>
  <c r="H448" i="1"/>
  <c r="H447" i="1"/>
  <c r="H444" i="1"/>
  <c r="H443" i="1"/>
  <c r="H442" i="1"/>
  <c r="H441" i="1"/>
  <c r="H440" i="1"/>
  <c r="H437" i="1"/>
  <c r="H439" i="1"/>
  <c r="H438" i="1"/>
  <c r="H436" i="1"/>
  <c r="H435" i="1"/>
  <c r="H434" i="1"/>
  <c r="H433" i="1"/>
  <c r="H432" i="1"/>
  <c r="H431" i="1"/>
  <c r="H428" i="1"/>
  <c r="H427" i="1"/>
  <c r="H425" i="1"/>
  <c r="H426" i="1"/>
  <c r="H429" i="1"/>
  <c r="H424" i="1"/>
  <c r="H430" i="1"/>
  <c r="H423" i="1"/>
  <c r="H420" i="1"/>
  <c r="H419" i="1"/>
  <c r="H418" i="1"/>
  <c r="H422" i="1"/>
  <c r="H417" i="1"/>
  <c r="H416" i="1"/>
  <c r="H421" i="1"/>
  <c r="H415" i="1"/>
  <c r="H414" i="1"/>
  <c r="H413" i="1"/>
  <c r="H412" i="1"/>
  <c r="H408" i="1"/>
  <c r="H406" i="1"/>
  <c r="H405" i="1"/>
  <c r="H404" i="1"/>
  <c r="H403" i="1"/>
  <c r="H409" i="1"/>
  <c r="H407" i="1"/>
  <c r="H410" i="1"/>
  <c r="H402" i="1"/>
  <c r="H401" i="1"/>
  <c r="H400" i="1"/>
  <c r="H398" i="1"/>
  <c r="H397" i="1"/>
  <c r="H396" i="1"/>
  <c r="H395" i="1"/>
  <c r="H399" i="1"/>
  <c r="H392" i="1"/>
  <c r="H391" i="1"/>
  <c r="H390" i="1"/>
  <c r="H411" i="1"/>
  <c r="H384" i="1"/>
  <c r="H387" i="1"/>
  <c r="H389" i="1"/>
  <c r="H386" i="1"/>
  <c r="H385" i="1"/>
  <c r="H388" i="1"/>
  <c r="H383" i="1"/>
  <c r="H382" i="1"/>
  <c r="H376" i="1"/>
  <c r="H375" i="1"/>
  <c r="H381" i="1"/>
  <c r="H380" i="1"/>
  <c r="H377" i="1"/>
  <c r="H379" i="1"/>
  <c r="H378" i="1"/>
  <c r="H373" i="1"/>
  <c r="H372" i="1"/>
  <c r="H374" i="1"/>
  <c r="H371" i="1"/>
  <c r="H370" i="1"/>
  <c r="H368" i="1"/>
  <c r="H366" i="1"/>
  <c r="H364" i="1"/>
  <c r="H363" i="1"/>
  <c r="H367" i="1"/>
  <c r="H357" i="1"/>
  <c r="H369" i="1"/>
  <c r="H362" i="1"/>
  <c r="H361" i="1"/>
  <c r="H359" i="1"/>
  <c r="H365" i="1"/>
  <c r="H358" i="1"/>
  <c r="H360" i="1"/>
  <c r="H355" i="1"/>
  <c r="H356" i="1"/>
  <c r="H354" i="1"/>
  <c r="H353" i="1"/>
  <c r="H350" i="1"/>
  <c r="H348" i="1"/>
  <c r="H344" i="1"/>
  <c r="H352" i="1"/>
  <c r="H347" i="1"/>
  <c r="H351" i="1"/>
  <c r="H345" i="1"/>
  <c r="H343" i="1"/>
  <c r="H341" i="1"/>
  <c r="H340" i="1"/>
  <c r="H339" i="1"/>
  <c r="H342" i="1"/>
  <c r="H346" i="1"/>
  <c r="H338" i="1"/>
  <c r="H337" i="1"/>
  <c r="H336" i="1"/>
  <c r="H335" i="1"/>
  <c r="H334" i="1"/>
  <c r="H333" i="1"/>
  <c r="H332" i="1"/>
  <c r="H331" i="1"/>
  <c r="H316" i="1"/>
  <c r="H328" i="1"/>
  <c r="H329" i="1"/>
  <c r="H327" i="1"/>
  <c r="H326" i="1"/>
  <c r="H317" i="1"/>
  <c r="H325" i="1"/>
  <c r="H330" i="1"/>
  <c r="H324" i="1"/>
  <c r="H321" i="1"/>
  <c r="H320" i="1"/>
  <c r="H319" i="1"/>
  <c r="H322" i="1"/>
  <c r="H318" i="1"/>
  <c r="H323" i="1"/>
  <c r="H349" i="1"/>
  <c r="H315" i="1"/>
  <c r="H314" i="1"/>
  <c r="H313" i="1"/>
  <c r="H312" i="1"/>
  <c r="H311" i="1"/>
  <c r="H310" i="1"/>
  <c r="H309" i="1"/>
  <c r="H308" i="1"/>
  <c r="H306" i="1"/>
  <c r="H307" i="1"/>
  <c r="H305" i="1"/>
  <c r="H304" i="1"/>
  <c r="H303" i="1"/>
  <c r="H299" i="1"/>
  <c r="H302" i="1"/>
  <c r="H301" i="1"/>
  <c r="H300" i="1"/>
  <c r="H298" i="1"/>
  <c r="H297" i="1"/>
  <c r="H294" i="1"/>
  <c r="H296" i="1"/>
  <c r="H295" i="1"/>
  <c r="H393" i="1"/>
  <c r="H293" i="1"/>
  <c r="H288" i="1"/>
  <c r="H287" i="1"/>
  <c r="H292" i="1"/>
  <c r="H291" i="1"/>
  <c r="H290" i="1"/>
  <c r="H286" i="1"/>
  <c r="H289" i="1"/>
  <c r="H285" i="1"/>
  <c r="H284" i="1"/>
  <c r="H281" i="1"/>
  <c r="H394" i="1"/>
  <c r="H280" i="1"/>
  <c r="H279" i="1"/>
  <c r="H282" i="1"/>
  <c r="H283" i="1"/>
  <c r="H278" i="1"/>
  <c r="H277" i="1"/>
  <c r="H274" i="1"/>
  <c r="H273" i="1"/>
  <c r="H272" i="1"/>
  <c r="H270" i="1"/>
  <c r="H276" i="1"/>
  <c r="H275" i="1"/>
  <c r="H269" i="1"/>
  <c r="H271" i="1"/>
  <c r="H267" i="1"/>
  <c r="H266" i="1"/>
  <c r="H265" i="1"/>
  <c r="H264" i="1"/>
  <c r="H268" i="1"/>
  <c r="H263" i="1"/>
  <c r="H262" i="1"/>
  <c r="H261" i="1"/>
  <c r="H260" i="1"/>
  <c r="H259" i="1"/>
  <c r="H258" i="1"/>
  <c r="H257" i="1"/>
  <c r="H256" i="1"/>
  <c r="H254" i="1"/>
  <c r="H250" i="1"/>
  <c r="H249" i="1"/>
  <c r="H253" i="1"/>
  <c r="H252" i="1"/>
  <c r="H248" i="1"/>
  <c r="H247" i="1"/>
  <c r="H246" i="1"/>
  <c r="H243" i="1"/>
  <c r="H251" i="1"/>
  <c r="H245" i="1"/>
  <c r="H242" i="1"/>
  <c r="H244" i="1"/>
  <c r="H241" i="1"/>
  <c r="H240" i="1"/>
  <c r="H237" i="1"/>
  <c r="H239" i="1"/>
  <c r="H236" i="1"/>
  <c r="H238" i="1"/>
  <c r="H235" i="1"/>
  <c r="H233" i="1"/>
  <c r="H231" i="1"/>
  <c r="H229" i="1"/>
  <c r="H227" i="1"/>
  <c r="H226" i="1"/>
  <c r="H234" i="1"/>
  <c r="H232" i="1"/>
  <c r="H225" i="1"/>
  <c r="H230" i="1"/>
  <c r="H228" i="1"/>
  <c r="H223" i="1"/>
  <c r="H222" i="1"/>
  <c r="H255" i="1"/>
  <c r="H221" i="1"/>
  <c r="H224" i="1"/>
  <c r="H220" i="1"/>
  <c r="H219" i="1"/>
  <c r="H218" i="1"/>
  <c r="H216" i="1"/>
  <c r="H215" i="1"/>
  <c r="H214" i="1"/>
  <c r="H213" i="1"/>
  <c r="H217" i="1"/>
  <c r="H212" i="1"/>
  <c r="H210" i="1"/>
  <c r="H209" i="1"/>
  <c r="H207" i="1"/>
  <c r="H206" i="1"/>
  <c r="H211" i="1"/>
  <c r="H205" i="1"/>
  <c r="H208" i="1"/>
  <c r="H204" i="1"/>
  <c r="H203" i="1"/>
  <c r="H199" i="1"/>
  <c r="H200" i="1"/>
  <c r="H198" i="1"/>
  <c r="H201" i="1"/>
  <c r="H196" i="1"/>
  <c r="H197" i="1"/>
  <c r="H195" i="1"/>
  <c r="H202" i="1"/>
  <c r="H193" i="1"/>
  <c r="H191" i="1"/>
  <c r="H189" i="1"/>
  <c r="H192" i="1"/>
  <c r="H190" i="1"/>
  <c r="H187" i="1"/>
  <c r="H194" i="1"/>
  <c r="H186" i="1"/>
  <c r="H188" i="1"/>
  <c r="H184" i="1"/>
  <c r="H183" i="1"/>
  <c r="H185" i="1"/>
  <c r="H181" i="1"/>
  <c r="H180" i="1"/>
  <c r="H179" i="1"/>
  <c r="H178" i="1"/>
  <c r="H182" i="1"/>
  <c r="H177" i="1"/>
  <c r="H176" i="1"/>
  <c r="H175" i="1"/>
  <c r="H173" i="1"/>
  <c r="H172" i="1"/>
  <c r="H174" i="1"/>
  <c r="H170" i="1"/>
  <c r="H169" i="1"/>
  <c r="H167" i="1"/>
  <c r="H166" i="1"/>
  <c r="H165" i="1"/>
  <c r="H168" i="1"/>
  <c r="H164" i="1"/>
  <c r="H163" i="1"/>
  <c r="H162" i="1"/>
  <c r="H171" i="1"/>
  <c r="H161" i="1"/>
  <c r="H157" i="1"/>
  <c r="H160" i="1"/>
  <c r="H158" i="1"/>
  <c r="H156" i="1"/>
  <c r="H159" i="1"/>
  <c r="H155" i="1"/>
  <c r="H154" i="1"/>
  <c r="H153" i="1"/>
  <c r="H152" i="1"/>
  <c r="H150" i="1"/>
  <c r="H149" i="1"/>
  <c r="H151" i="1"/>
  <c r="H148" i="1"/>
  <c r="H147" i="1"/>
  <c r="H146" i="1"/>
  <c r="H145" i="1"/>
  <c r="H143" i="1"/>
  <c r="H142" i="1"/>
  <c r="H141" i="1"/>
  <c r="H144" i="1"/>
  <c r="H140" i="1"/>
  <c r="H139" i="1"/>
  <c r="H138" i="1"/>
  <c r="H137" i="1"/>
  <c r="H136" i="1"/>
  <c r="H135" i="1"/>
  <c r="H134" i="1"/>
  <c r="H133" i="1"/>
  <c r="H132" i="1"/>
  <c r="H131" i="1"/>
  <c r="H130" i="1"/>
  <c r="H128" i="1"/>
  <c r="H127" i="1"/>
  <c r="H129" i="1"/>
  <c r="H125" i="1"/>
  <c r="H124" i="1"/>
  <c r="H123" i="1"/>
  <c r="H126" i="1"/>
  <c r="H122" i="1"/>
  <c r="H121" i="1"/>
  <c r="H120" i="1"/>
  <c r="H115" i="1"/>
  <c r="H119" i="1"/>
  <c r="H114" i="1"/>
  <c r="H118" i="1"/>
  <c r="H117" i="1"/>
  <c r="H116" i="1"/>
  <c r="H113" i="1"/>
  <c r="H112" i="1"/>
  <c r="H109" i="1"/>
  <c r="H108" i="1"/>
  <c r="H107" i="1"/>
  <c r="H111" i="1"/>
  <c r="H106" i="1"/>
  <c r="H110" i="1"/>
  <c r="H105" i="1"/>
  <c r="H104" i="1"/>
  <c r="H100" i="1"/>
  <c r="H103" i="1"/>
  <c r="H101" i="1"/>
  <c r="H98" i="1"/>
  <c r="H102" i="1"/>
  <c r="H97" i="1"/>
  <c r="H99" i="1"/>
  <c r="H96" i="1"/>
  <c r="H95" i="1"/>
  <c r="H94" i="1"/>
  <c r="H93" i="1"/>
  <c r="H92" i="1"/>
  <c r="H91" i="1"/>
  <c r="H90" i="1"/>
  <c r="H88" i="1"/>
  <c r="H89" i="1"/>
  <c r="H87" i="1"/>
  <c r="H86" i="1"/>
  <c r="H85" i="1"/>
  <c r="H84" i="1"/>
  <c r="H82" i="1"/>
  <c r="H81" i="1"/>
  <c r="H80" i="1"/>
  <c r="H78" i="1"/>
  <c r="H77" i="1"/>
  <c r="H83" i="1"/>
  <c r="H74" i="1"/>
  <c r="H73" i="1"/>
  <c r="H79" i="1"/>
  <c r="H72" i="1"/>
  <c r="H76" i="1"/>
  <c r="H75" i="1"/>
  <c r="H71" i="1"/>
  <c r="H70" i="1"/>
  <c r="H69" i="1"/>
  <c r="H68" i="1"/>
  <c r="H67" i="1"/>
  <c r="H66" i="1"/>
  <c r="H64" i="1"/>
  <c r="H65" i="1"/>
  <c r="H61" i="1"/>
  <c r="H63" i="1"/>
  <c r="H62" i="1"/>
  <c r="H60" i="1"/>
  <c r="H58" i="1"/>
  <c r="H59" i="1"/>
  <c r="H57" i="1"/>
  <c r="H55" i="1"/>
  <c r="H56" i="1"/>
  <c r="H54" i="1"/>
  <c r="H53" i="1"/>
  <c r="H52" i="1"/>
  <c r="H51" i="1"/>
  <c r="H50" i="1"/>
  <c r="H49" i="1"/>
  <c r="H48" i="1"/>
  <c r="H45" i="1"/>
  <c r="H47" i="1"/>
  <c r="H44" i="1"/>
  <c r="H43" i="1"/>
  <c r="H46" i="1"/>
  <c r="H42" i="1"/>
  <c r="H41" i="1"/>
  <c r="H40" i="1"/>
  <c r="H38" i="1"/>
  <c r="H37" i="1"/>
  <c r="H35" i="1"/>
  <c r="H39" i="1"/>
  <c r="H34" i="1"/>
  <c r="H36" i="1"/>
  <c r="H33" i="1"/>
  <c r="H32" i="1"/>
  <c r="H31" i="1"/>
  <c r="H30" i="1"/>
  <c r="H29" i="1"/>
  <c r="H28" i="1"/>
  <c r="H26" i="1"/>
  <c r="H27" i="1"/>
  <c r="H24" i="1"/>
  <c r="H23" i="1"/>
  <c r="H22" i="1"/>
</calcChain>
</file>

<file path=xl/sharedStrings.xml><?xml version="1.0" encoding="utf-8"?>
<sst xmlns="http://schemas.openxmlformats.org/spreadsheetml/2006/main" count="855" uniqueCount="170">
  <si>
    <t>Date</t>
  </si>
  <si>
    <t>Eastern Time</t>
  </si>
  <si>
    <t>Central Time</t>
  </si>
  <si>
    <t>Daylight Time / Standard Time</t>
  </si>
  <si>
    <t>Match-Up</t>
  </si>
  <si>
    <t>Conference/Non-Conference</t>
  </si>
  <si>
    <t>Away Team</t>
  </si>
  <si>
    <t>Penalties</t>
  </si>
  <si>
    <t>PIM</t>
  </si>
  <si>
    <t>Infractions</t>
  </si>
  <si>
    <t>Penalty Shot</t>
  </si>
  <si>
    <t>PSG</t>
  </si>
  <si>
    <t>PSA</t>
  </si>
  <si>
    <t>Minor</t>
  </si>
  <si>
    <t>Major</t>
  </si>
  <si>
    <t>10-Min Misc</t>
  </si>
  <si>
    <t>Game Misc</t>
  </si>
  <si>
    <t>Match</t>
  </si>
  <si>
    <t>Home Team</t>
  </si>
  <si>
    <t>Referee 1</t>
  </si>
  <si>
    <t>Referee 2</t>
  </si>
  <si>
    <t>Linesmen 1</t>
  </si>
  <si>
    <t>Linesmen 2</t>
  </si>
  <si>
    <t>Referee</t>
  </si>
  <si>
    <t>Linesmen</t>
  </si>
  <si>
    <t>Month</t>
  </si>
  <si>
    <t>Day of the Week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</si>
  <si>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</si>
  <si>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</si>
  <si>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</si>
  <si>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</si>
  <si>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</si>
  <si>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</si>
  <si>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</si>
  <si>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</si>
  <si>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</si>
  <si>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</si>
  <si>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</si>
  <si>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</si>
  <si>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</si>
  <si>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</si>
  <si>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</si>
  <si>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</si>
  <si>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</si>
  <si>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</si>
  <si>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</si>
  <si>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REFEREE</t>
  </si>
  <si>
    <t>GAMES</t>
  </si>
  <si>
    <t>LINEMEN</t>
  </si>
  <si>
    <t>AWAY</t>
  </si>
  <si>
    <t>HOME</t>
  </si>
  <si>
    <t>Referee 36</t>
  </si>
  <si>
    <t>Referee 37</t>
  </si>
  <si>
    <t>Referee 38</t>
  </si>
  <si>
    <t>Referee 39</t>
  </si>
  <si>
    <t>Referee 40</t>
  </si>
  <si>
    <t>Referee 41</t>
  </si>
  <si>
    <t>Referee 42</t>
  </si>
  <si>
    <t>Referee 43</t>
  </si>
  <si>
    <t>Referee 44</t>
  </si>
  <si>
    <t>Referee 45</t>
  </si>
  <si>
    <t>Referee 46</t>
  </si>
  <si>
    <t>Referee 47</t>
  </si>
  <si>
    <t>Referee 48</t>
  </si>
  <si>
    <t>Linesmen 48</t>
  </si>
  <si>
    <t>Referee 49</t>
  </si>
  <si>
    <t>Linesmen 49</t>
  </si>
  <si>
    <t>Referee 50</t>
  </si>
  <si>
    <t>Linesmen 50</t>
  </si>
  <si>
    <t>Referee 51</t>
  </si>
  <si>
    <t>Linesmen 51</t>
  </si>
  <si>
    <t>Referee 52</t>
  </si>
  <si>
    <t>Linesmen 52</t>
  </si>
  <si>
    <t>Referee 53</t>
  </si>
  <si>
    <t>Linesmen 53</t>
  </si>
  <si>
    <t>Referee 54</t>
  </si>
  <si>
    <t>Linesmen 54</t>
  </si>
  <si>
    <t>Referee 55</t>
  </si>
  <si>
    <t>Linesmen 55</t>
  </si>
  <si>
    <t>Referee 56</t>
  </si>
  <si>
    <t>Linesmen 56</t>
  </si>
  <si>
    <t>Referee 57</t>
  </si>
  <si>
    <t>Linesmen 57</t>
  </si>
  <si>
    <t>Referee 58</t>
  </si>
  <si>
    <t>Linesmen 58</t>
  </si>
  <si>
    <t>Referee 59</t>
  </si>
  <si>
    <t>Linesmen 59</t>
  </si>
  <si>
    <t>Referee 60</t>
  </si>
  <si>
    <t>Linesmen 60</t>
  </si>
  <si>
    <t>Jendro, Ian</t>
  </si>
  <si>
    <t>Bloyer, Nolan</t>
  </si>
  <si>
    <t>Fleming, Cameron</t>
  </si>
  <si>
    <t>McClement, Scott</t>
  </si>
  <si>
    <t>Helbig, Kody</t>
  </si>
  <si>
    <t>Gruhl, Logan</t>
  </si>
  <si>
    <t>Wohlford, Trevor</t>
  </si>
  <si>
    <t>Stout, Zane</t>
  </si>
  <si>
    <t>Stragar, J.R.</t>
  </si>
  <si>
    <t>Menard, Michael</t>
  </si>
  <si>
    <t>Krasnichuk, Eric</t>
  </si>
  <si>
    <t>Sailor, Steven</t>
  </si>
  <si>
    <t>Corbett, Kevin</t>
  </si>
  <si>
    <t>Jackson, Jake</t>
  </si>
  <si>
    <t>Hankes, Brian</t>
  </si>
  <si>
    <t>Vikhter, Anthony</t>
  </si>
  <si>
    <t>Rasky, Andrew</t>
  </si>
  <si>
    <t>Larson, Matt</t>
  </si>
  <si>
    <t>Domin, Kyle</t>
  </si>
  <si>
    <t>Karabetsos, Alexios</t>
  </si>
  <si>
    <t>Wilkinson, Chase</t>
  </si>
  <si>
    <t>Cornell, Justin</t>
  </si>
  <si>
    <t>McNamara, Kilian</t>
  </si>
  <si>
    <t>Gorcoff, Bryan</t>
  </si>
  <si>
    <t>McDonald, Eric</t>
  </si>
  <si>
    <t>Hunt, Mitchell</t>
  </si>
  <si>
    <t>Delaney, Kris</t>
  </si>
  <si>
    <t>Clark, Cody</t>
  </si>
  <si>
    <t>Rankin, Sam</t>
  </si>
  <si>
    <t>Darcy, Mack</t>
  </si>
  <si>
    <t>Dykstra, Cameron</t>
  </si>
  <si>
    <t>McCambridge, Cameron</t>
  </si>
  <si>
    <t>Fuller, Chad</t>
  </si>
  <si>
    <t>Diehr, Nikolaus</t>
  </si>
  <si>
    <t>Stachowiak, Rocco</t>
  </si>
  <si>
    <t>Smith, Josh</t>
  </si>
  <si>
    <t>Heidemann, Sam</t>
  </si>
  <si>
    <t>Huff, Nick</t>
  </si>
  <si>
    <t>Anstett, Ted</t>
  </si>
  <si>
    <t>Aronson, Tony</t>
  </si>
  <si>
    <t>Klinkhammer, Nick</t>
  </si>
  <si>
    <t>Darcy, David</t>
  </si>
  <si>
    <t>Yerkovich, Riley</t>
  </si>
  <si>
    <t>Linder, John</t>
  </si>
  <si>
    <t>McCambridge, Ian</t>
  </si>
  <si>
    <t>Almquist, Alec</t>
  </si>
  <si>
    <t>Davis, Jake</t>
  </si>
  <si>
    <t>Default Linesman</t>
  </si>
  <si>
    <t>Mack, Dwight</t>
  </si>
  <si>
    <t>Esposito, Robert</t>
  </si>
  <si>
    <t>Anderson, Ken</t>
  </si>
  <si>
    <t>Bucholz, Elliot</t>
  </si>
  <si>
    <t>Pacocha, Jeff</t>
  </si>
  <si>
    <t>Gawlik, Brent</t>
  </si>
  <si>
    <t>Wetekamp, Logan</t>
  </si>
  <si>
    <t>Vida, Bruce</t>
  </si>
  <si>
    <t>Arrigo, Eric</t>
  </si>
  <si>
    <t>Sitarski, Jonathon</t>
  </si>
  <si>
    <t>Giles, Patrick</t>
  </si>
  <si>
    <t>Klarson, Kyle</t>
  </si>
  <si>
    <t>Larson, Kyle</t>
  </si>
  <si>
    <t>McCrary, Aaron</t>
  </si>
  <si>
    <t>Dolan, Rhodes</t>
  </si>
  <si>
    <t>Martin, Lucas</t>
  </si>
  <si>
    <t>Offerman, Greg</t>
  </si>
  <si>
    <t>Williams, Nate</t>
  </si>
  <si>
    <t>Muzik, Jake</t>
  </si>
  <si>
    <t>Rekucki, Jake</t>
  </si>
  <si>
    <t>Fernandez, Sean</t>
  </si>
  <si>
    <t>Reid, Jared</t>
  </si>
  <si>
    <t>Lewis, Brendan</t>
  </si>
  <si>
    <t>Faron, Richard</t>
  </si>
  <si>
    <t>Daltrey, Michael</t>
  </si>
  <si>
    <t>Bethmann, Andy</t>
  </si>
  <si>
    <t>Williams, Christopher</t>
  </si>
  <si>
    <t>Rozitiz, Davids</t>
  </si>
  <si>
    <t>Richardson, Patrick</t>
  </si>
  <si>
    <t>Thackaberry, Andy</t>
  </si>
  <si>
    <t>Bellgraph, Logan</t>
  </si>
  <si>
    <t>Lukkason, Bobby</t>
  </si>
  <si>
    <t>Naylor, Daniel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</si>
</sst>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6" formatCode="[$-409]h:mm\ AM/PM;@"/>
  </numFmts>
  <fonts count="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4" fontId="1" fillId="0" borderId="0" xfId="0" applyNumberFormat="1" applyFont="1"/>
    <xf numFmtId="0" fontId="1" fillId="0" borderId="0" xfId="0" applyNumberFormat="1" applyFont="1"/>
    <xf numFmtId="0" fontId="1" fillId="0" borderId="0" xfId="0" applyNumberFormat="1" applyFont="1" applyAlignment="1">
      <alignment horizontal="centerContinuous"/>
    </xf>
    <xf numFmtId="0" fontId="1" fillId="0" borderId="1" xfId="0" applyNumberFormat="1" applyFont="1" applyBorder="1" applyAlignment="1">
      <alignment wrapText="1"/>
    </xf>
    <xf numFmtId="0" fontId="1" fillId="0" borderId="0" xfId="0" applyNumberFormat="1" applyFont="1" applyAlignment="1">
      <alignment wrapText="1"/>
    </xf>
    <xf numFmtId="164" fontId="2" fillId="0" borderId="1" xfId="0" applyNumberFormat="1" applyFont="1" applyBorder="1"/>
    <xf numFmtId="166" fontId="2" fillId="0" borderId="1" xfId="0" applyNumberFormat="1" applyFont="1" applyBorder="1"/>
    <xf numFmtId="0" fontId="2" fillId="0" borderId="1" xfId="0" applyFont="1" applyBorder="1"/>
    <xf numFmtId="3" fontId="2" fillId="0" borderId="1" xfId="0" applyNumberFormat="1" applyFont="1" applyBorder="1"/>
    <xf numFmtId="0" fontId="2" fillId="0" borderId="1" xfId="0" applyNumberFormat="1" applyFont="1" applyBorder="1"/>
    <xf numFmtId="0" fontId="2" fillId="0" borderId="0" xfId="0" applyFont="1"/>
    <xf numFmtId="164" fontId="2" fillId="0" borderId="0" xfId="0" applyNumberFormat="1" applyFont="1"/>
    <xf numFmtId="166" fontId="2" fillId="0" borderId="0" xfId="0" applyNumberFormat="1" applyFont="1"/>
    <xf numFmtId="3" fontId="2" fillId="0" borderId="0" xfId="0" applyNumberFormat="1" applyFont="1"/>
    <xf numFmtId="0" fontId="2" fillId="0" borderId="0" xfId="0" applyNumberFormat="1" applyFont="1"/>
    <xf numFmtId="0" fontId="1" fillId="0" borderId="1" xfId="0" applyFont="1" applyBorder="1"/>
    <xf numFmtId="0" fontId="1" fillId="0" borderId="0" xfId="0" applyFont="1"/>
    <xf numFmtId="0" fontId="2" fillId="0" borderId="1" xfId="0" quotePrefix="1" applyFont="1" applyBorder="1"/>
    <xf numFmtId="0" fontId="2" fillId="0" borderId="2" xfId="0" applyFont="1" applyBorder="1"/>
    <xf numFmtId="0" fontId="2" fillId="0" borderId="0" xfId="0" applyFont="1" applyBorder="1"/>
    <xf numFmtId="0" fontId="1" fillId="0" borderId="1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" xfId="0" applyFont="1" applyBorder="1" applyAlignment="1">
      <alignment horizontal="centerContinuous"/>
    </xf>
  </cellXfs>
  <cellStyles count="1">
    <cellStyle name="Normal" xfId="0" builtinId="0"/>
  </cellStyles>
  <dxfs count="6">
    <dxf>
      <font>
        <b val="0"/>
        <i val="0"/>
        <strike val="0"/>
        <u val="none"/>
        <color theme="0" tint="-4.9989318521683403E-2"/>
      </font>
    </dxf>
    <dxf>
      <font>
        <b/>
        <i val="0"/>
        <strike val="0"/>
        <u val="none"/>
      </font>
      <fill>
        <patternFill>
          <bgColor theme="7" tint="0.39994506668294322"/>
        </patternFill>
      </fill>
    </dxf>
    <dxf>
      <font>
        <b/>
        <i val="0"/>
        <strike val="0"/>
        <u val="none"/>
      </font>
      <fill>
        <patternFill>
          <bgColor theme="5" tint="0.39994506668294322"/>
        </patternFill>
      </fill>
    </dxf>
    <dxf>
      <font>
        <b val="0"/>
        <i val="0"/>
        <strike val="0"/>
        <u val="none"/>
        <color theme="0" tint="-4.9989318521683403E-2"/>
      </font>
    </dxf>
    <dxf>
      <font>
        <b val="0"/>
        <i val="0"/>
        <strike val="0"/>
        <color theme="0" tint="-0.24994659260841701"/>
      </font>
    </dxf>
    <dxf>
      <font>
        <b val="0"/>
        <i val="0"/>
        <strike val="0"/>
      </font>
      <fill>
        <gradientFill type="path" left="0.5" right="0.5" top="0.5" bottom="0.5">
          <stop position="0">
            <color rgb="FFFF00FF"/>
          </stop>
          <stop position="1">
            <color rgb="FF00FF00"/>
          </stop>
        </gradientFill>
      </fill>
    </dxf>
  </dxfs>
  <tableStyles count="0" defaultTableStyle="TableStyleMedium2" defaultPivotStyle="PivotStyleLight16"/>
  <colors>
    <mruColors>
      <color rgb="FFFF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HL%202018-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Team by Team Information"/>
      <sheetName val="Standing"/>
      <sheetName val="Game Input"/>
      <sheetName val="Variance Worksheet"/>
      <sheetName val="Team by Team Schedule Scores"/>
      <sheetName val="Recon Sheet"/>
      <sheetName val="Penalty Shot Detail"/>
      <sheetName val="Standing Worksheet"/>
      <sheetName val="Team Stat"/>
      <sheetName val="Record Detail"/>
      <sheetName val="Scoring First Record Detail"/>
      <sheetName val="Goals For And Against Detail"/>
      <sheetName val="SOG For And Against Detail"/>
      <sheetName val="Power Play Detail"/>
      <sheetName val="Penalty Kill Detail"/>
      <sheetName val="Special Team Index Detail"/>
      <sheetName val="Special Team Adjusted Detail"/>
      <sheetName val="Outshooting Opp. Record Detail"/>
      <sheetName val="Outshot Opp. Record Detail"/>
      <sheetName val="Equal SOG Record Detail"/>
      <sheetName val="OT &amp; SO Record Detail"/>
      <sheetName val="SO Goals For &amp; Against Detail"/>
      <sheetName val="Penalties Detail"/>
      <sheetName val="Miscellaneous Detail"/>
      <sheetName val="Attendance Detail"/>
      <sheetName val="USHL Power Ranking"/>
      <sheetName val="Adjusted Point Standing"/>
      <sheetName val="Sheet1"/>
    </sheetNames>
    <sheetDataSet>
      <sheetData sheetId="0">
        <row r="2">
          <cell r="A2" t="str">
            <v>CEDAR RAPIDS</v>
          </cell>
        </row>
        <row r="3">
          <cell r="A3" t="str">
            <v>CENTRAL ILLINOIS</v>
          </cell>
        </row>
        <row r="4">
          <cell r="A4" t="str">
            <v>CHICAGO</v>
          </cell>
        </row>
        <row r="5">
          <cell r="A5" t="str">
            <v>DES MOINES</v>
          </cell>
        </row>
        <row r="6">
          <cell r="A6" t="str">
            <v>DUBUQUE</v>
          </cell>
        </row>
        <row r="7">
          <cell r="A7" t="str">
            <v>FARGO</v>
          </cell>
        </row>
        <row r="8">
          <cell r="A8" t="str">
            <v>GREEN BAY</v>
          </cell>
        </row>
        <row r="9">
          <cell r="A9" t="str">
            <v>LINCOLN</v>
          </cell>
        </row>
        <row r="10">
          <cell r="A10" t="str">
            <v>MADISON</v>
          </cell>
        </row>
        <row r="11">
          <cell r="A11" t="str">
            <v>MUSKEGON</v>
          </cell>
        </row>
        <row r="12">
          <cell r="A12" t="str">
            <v>OMAHA</v>
          </cell>
        </row>
        <row r="13">
          <cell r="A13" t="str">
            <v>SIOUX CITY</v>
          </cell>
        </row>
        <row r="14">
          <cell r="A14" t="str">
            <v>SIOUX FALLS</v>
          </cell>
        </row>
        <row r="15">
          <cell r="A15" t="str">
            <v>TEAM USA</v>
          </cell>
        </row>
        <row r="16">
          <cell r="A16" t="str">
            <v>TRI-CITY</v>
          </cell>
        </row>
        <row r="17">
          <cell r="A17" t="str">
            <v>WATERLOO</v>
          </cell>
        </row>
        <row r="18">
          <cell r="A18" t="str">
            <v>YOUNGSTOWN</v>
          </cell>
        </row>
      </sheetData>
      <sheetData sheetId="1"/>
      <sheetData sheetId="2"/>
      <sheetData sheetId="3">
        <row r="4">
          <cell r="A4">
            <v>43370</v>
          </cell>
          <cell r="B4">
            <v>0.45833333333333331</v>
          </cell>
          <cell r="C4">
            <v>0.41666666666666669</v>
          </cell>
          <cell r="D4" t="str">
            <v>Daylight</v>
          </cell>
          <cell r="G4" t="str">
            <v>CR @ FGO</v>
          </cell>
          <cell r="H4" t="str">
            <v>Vs. Non-Conference</v>
          </cell>
          <cell r="I4" t="str">
            <v>CEDAR RAPIDS</v>
          </cell>
          <cell r="AC4">
            <v>8</v>
          </cell>
          <cell r="AD4">
            <v>4</v>
          </cell>
          <cell r="AJ4">
            <v>0</v>
          </cell>
          <cell r="AK4">
            <v>0</v>
          </cell>
          <cell r="AN4">
            <v>4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BA4" t="str">
            <v>FARGO</v>
          </cell>
          <cell r="BU4">
            <v>8</v>
          </cell>
          <cell r="BV4">
            <v>4</v>
          </cell>
          <cell r="CB4">
            <v>0</v>
          </cell>
          <cell r="CC4">
            <v>0</v>
          </cell>
          <cell r="CF4">
            <v>4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</row>
        <row r="5">
          <cell r="A5">
            <v>43370</v>
          </cell>
          <cell r="B5">
            <v>0.58333333333333337</v>
          </cell>
          <cell r="C5">
            <v>0.54166666666666663</v>
          </cell>
          <cell r="D5" t="str">
            <v>Daylight</v>
          </cell>
          <cell r="G5" t="str">
            <v>MAD @ DM</v>
          </cell>
          <cell r="H5" t="str">
            <v>Vs. Non-Conference</v>
          </cell>
          <cell r="I5" t="str">
            <v>MADISON</v>
          </cell>
          <cell r="AC5">
            <v>12</v>
          </cell>
          <cell r="AD5">
            <v>6</v>
          </cell>
          <cell r="AJ5">
            <v>0</v>
          </cell>
          <cell r="AK5">
            <v>0</v>
          </cell>
          <cell r="AN5">
            <v>6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BA5" t="str">
            <v>DES MOINES</v>
          </cell>
          <cell r="BU5">
            <v>14</v>
          </cell>
          <cell r="BV5">
            <v>7</v>
          </cell>
          <cell r="CB5">
            <v>0</v>
          </cell>
          <cell r="CC5">
            <v>0</v>
          </cell>
          <cell r="CF5">
            <v>7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</row>
        <row r="6">
          <cell r="A6">
            <v>43370</v>
          </cell>
          <cell r="B6">
            <v>0.70833333333333337</v>
          </cell>
          <cell r="C6">
            <v>0.66666666666666663</v>
          </cell>
          <cell r="D6" t="str">
            <v>Daylight</v>
          </cell>
          <cell r="G6" t="str">
            <v>YNG @ TC</v>
          </cell>
          <cell r="H6" t="str">
            <v>Vs. Non-Conference</v>
          </cell>
          <cell r="I6" t="str">
            <v>YOUNGSTOWN</v>
          </cell>
          <cell r="AC6">
            <v>10</v>
          </cell>
          <cell r="AD6">
            <v>5</v>
          </cell>
          <cell r="AJ6">
            <v>0</v>
          </cell>
          <cell r="AK6">
            <v>0</v>
          </cell>
          <cell r="AN6">
            <v>5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BA6" t="str">
            <v>TRI-CITY</v>
          </cell>
          <cell r="BU6">
            <v>8</v>
          </cell>
          <cell r="BV6">
            <v>4</v>
          </cell>
          <cell r="CB6">
            <v>0</v>
          </cell>
          <cell r="CC6">
            <v>0</v>
          </cell>
          <cell r="CF6">
            <v>4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</row>
        <row r="7">
          <cell r="A7">
            <v>43370</v>
          </cell>
          <cell r="B7">
            <v>0.79166666666666663</v>
          </cell>
          <cell r="C7">
            <v>0.75</v>
          </cell>
          <cell r="D7" t="str">
            <v>Daylight</v>
          </cell>
          <cell r="G7" t="str">
            <v>CHI @ LIN</v>
          </cell>
          <cell r="H7" t="str">
            <v>Vs. Non-Conference</v>
          </cell>
          <cell r="I7" t="str">
            <v>CHICAGO</v>
          </cell>
          <cell r="AC7">
            <v>10</v>
          </cell>
          <cell r="AD7">
            <v>5</v>
          </cell>
          <cell r="AJ7">
            <v>0</v>
          </cell>
          <cell r="AK7">
            <v>0</v>
          </cell>
          <cell r="AN7">
            <v>5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BA7" t="str">
            <v>LINCOLN</v>
          </cell>
          <cell r="BU7">
            <v>16</v>
          </cell>
          <cell r="BV7">
            <v>8</v>
          </cell>
          <cell r="CB7">
            <v>0</v>
          </cell>
          <cell r="CC7">
            <v>0</v>
          </cell>
          <cell r="CF7">
            <v>8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</row>
        <row r="8">
          <cell r="A8">
            <v>43370</v>
          </cell>
          <cell r="B8">
            <v>0.83333333333333337</v>
          </cell>
          <cell r="C8">
            <v>0.79166666666666663</v>
          </cell>
          <cell r="D8" t="str">
            <v>Daylight</v>
          </cell>
          <cell r="G8" t="str">
            <v>SF @ CIL</v>
          </cell>
          <cell r="H8" t="str">
            <v>Vs. Non-Conference</v>
          </cell>
          <cell r="I8" t="str">
            <v>SIOUX FALLS</v>
          </cell>
          <cell r="AC8">
            <v>24</v>
          </cell>
          <cell r="AD8">
            <v>8</v>
          </cell>
          <cell r="AJ8">
            <v>0</v>
          </cell>
          <cell r="AK8">
            <v>0</v>
          </cell>
          <cell r="AN8">
            <v>7</v>
          </cell>
          <cell r="AO8">
            <v>0</v>
          </cell>
          <cell r="AP8">
            <v>1</v>
          </cell>
          <cell r="AQ8">
            <v>0</v>
          </cell>
          <cell r="AR8">
            <v>0</v>
          </cell>
          <cell r="AS8">
            <v>0</v>
          </cell>
          <cell r="BA8" t="str">
            <v>CENTRAL ILLINOIS</v>
          </cell>
          <cell r="BU8">
            <v>10</v>
          </cell>
          <cell r="BV8">
            <v>5</v>
          </cell>
          <cell r="CB8">
            <v>0</v>
          </cell>
          <cell r="CC8">
            <v>0</v>
          </cell>
          <cell r="CF8">
            <v>5</v>
          </cell>
          <cell r="CG8">
            <v>0</v>
          </cell>
          <cell r="CH8">
            <v>0</v>
          </cell>
          <cell r="CI8">
            <v>0</v>
          </cell>
          <cell r="CJ8">
            <v>0</v>
          </cell>
          <cell r="CK8">
            <v>0</v>
          </cell>
        </row>
        <row r="9">
          <cell r="A9">
            <v>43371</v>
          </cell>
          <cell r="B9">
            <v>0.41666666666666669</v>
          </cell>
          <cell r="C9">
            <v>0.375</v>
          </cell>
          <cell r="D9" t="str">
            <v>Daylight</v>
          </cell>
          <cell r="G9" t="str">
            <v>SC @ GB</v>
          </cell>
          <cell r="H9" t="str">
            <v>Vs. Non-Conference</v>
          </cell>
          <cell r="I9" t="str">
            <v>SIOUX CITY</v>
          </cell>
          <cell r="AC9">
            <v>8</v>
          </cell>
          <cell r="AD9">
            <v>4</v>
          </cell>
          <cell r="AJ9">
            <v>0</v>
          </cell>
          <cell r="AK9">
            <v>0</v>
          </cell>
          <cell r="AN9">
            <v>4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BA9" t="str">
            <v>GREEN BAY</v>
          </cell>
          <cell r="BU9">
            <v>10</v>
          </cell>
          <cell r="BV9">
            <v>5</v>
          </cell>
          <cell r="CB9">
            <v>0</v>
          </cell>
          <cell r="CC9">
            <v>0</v>
          </cell>
          <cell r="CF9">
            <v>5</v>
          </cell>
          <cell r="CG9">
            <v>0</v>
          </cell>
          <cell r="CH9">
            <v>0</v>
          </cell>
          <cell r="CI9">
            <v>0</v>
          </cell>
          <cell r="CJ9">
            <v>0</v>
          </cell>
          <cell r="CK9">
            <v>0</v>
          </cell>
        </row>
        <row r="10">
          <cell r="A10">
            <v>43371</v>
          </cell>
          <cell r="B10">
            <v>0.58333333333333337</v>
          </cell>
          <cell r="C10">
            <v>0.54166666666666663</v>
          </cell>
          <cell r="D10" t="str">
            <v>Daylight</v>
          </cell>
          <cell r="G10" t="str">
            <v>FGO @ MUS</v>
          </cell>
          <cell r="H10" t="str">
            <v>Vs. Non-Conference</v>
          </cell>
          <cell r="I10" t="str">
            <v>FARGO</v>
          </cell>
          <cell r="AC10">
            <v>24</v>
          </cell>
          <cell r="AD10">
            <v>8</v>
          </cell>
          <cell r="AJ10">
            <v>0</v>
          </cell>
          <cell r="AK10">
            <v>0</v>
          </cell>
          <cell r="AN10">
            <v>7</v>
          </cell>
          <cell r="AO10">
            <v>0</v>
          </cell>
          <cell r="AP10">
            <v>1</v>
          </cell>
          <cell r="AQ10">
            <v>0</v>
          </cell>
          <cell r="AR10">
            <v>0</v>
          </cell>
          <cell r="AS10">
            <v>0</v>
          </cell>
          <cell r="BA10" t="str">
            <v>MUSKEGON</v>
          </cell>
          <cell r="BU10">
            <v>10</v>
          </cell>
          <cell r="BV10">
            <v>5</v>
          </cell>
          <cell r="CB10">
            <v>0</v>
          </cell>
          <cell r="CC10">
            <v>0</v>
          </cell>
          <cell r="CF10">
            <v>5</v>
          </cell>
          <cell r="CG10">
            <v>0</v>
          </cell>
          <cell r="CH10">
            <v>0</v>
          </cell>
          <cell r="CI10">
            <v>0</v>
          </cell>
          <cell r="CJ10">
            <v>0</v>
          </cell>
          <cell r="CK10">
            <v>0</v>
          </cell>
        </row>
        <row r="11">
          <cell r="A11">
            <v>43371</v>
          </cell>
          <cell r="B11">
            <v>0.66666666666666663</v>
          </cell>
          <cell r="C11">
            <v>0.625</v>
          </cell>
          <cell r="D11" t="str">
            <v>Daylight</v>
          </cell>
          <cell r="G11" t="str">
            <v>TC @ MAD</v>
          </cell>
          <cell r="H11" t="str">
            <v>Vs. Non-Conference</v>
          </cell>
          <cell r="I11" t="str">
            <v>TRI-CITY</v>
          </cell>
          <cell r="AC11">
            <v>22</v>
          </cell>
          <cell r="AD11">
            <v>7</v>
          </cell>
          <cell r="AJ11">
            <v>0</v>
          </cell>
          <cell r="AK11">
            <v>0</v>
          </cell>
          <cell r="AN11">
            <v>6</v>
          </cell>
          <cell r="AO11">
            <v>0</v>
          </cell>
          <cell r="AP11">
            <v>1</v>
          </cell>
          <cell r="AQ11">
            <v>0</v>
          </cell>
          <cell r="AR11">
            <v>0</v>
          </cell>
          <cell r="AS11">
            <v>0</v>
          </cell>
          <cell r="BA11" t="str">
            <v>MADISON</v>
          </cell>
          <cell r="BU11">
            <v>6</v>
          </cell>
          <cell r="BV11">
            <v>3</v>
          </cell>
          <cell r="CB11">
            <v>0</v>
          </cell>
          <cell r="CC11">
            <v>0</v>
          </cell>
          <cell r="CF11">
            <v>3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>
            <v>0</v>
          </cell>
        </row>
        <row r="12">
          <cell r="A12">
            <v>43371</v>
          </cell>
          <cell r="B12">
            <v>0.70833333333333337</v>
          </cell>
          <cell r="C12">
            <v>0.66666666666666663</v>
          </cell>
          <cell r="D12" t="str">
            <v>Daylight</v>
          </cell>
          <cell r="G12" t="str">
            <v>CIL @ WAT</v>
          </cell>
          <cell r="H12" t="str">
            <v>Vs. Non-Conference</v>
          </cell>
          <cell r="I12" t="str">
            <v>CENTRAL ILLINOIS</v>
          </cell>
          <cell r="AC12">
            <v>6</v>
          </cell>
          <cell r="AD12">
            <v>3</v>
          </cell>
          <cell r="AJ12">
            <v>0</v>
          </cell>
          <cell r="AK12">
            <v>0</v>
          </cell>
          <cell r="AN12">
            <v>3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BA12" t="str">
            <v>WATERLOO</v>
          </cell>
          <cell r="BU12">
            <v>8</v>
          </cell>
          <cell r="BV12">
            <v>4</v>
          </cell>
          <cell r="CB12">
            <v>0</v>
          </cell>
          <cell r="CC12">
            <v>0</v>
          </cell>
          <cell r="CF12">
            <v>4</v>
          </cell>
          <cell r="CG12">
            <v>0</v>
          </cell>
          <cell r="CH12">
            <v>0</v>
          </cell>
          <cell r="CI12">
            <v>0</v>
          </cell>
          <cell r="CJ12">
            <v>0</v>
          </cell>
          <cell r="CK12">
            <v>0</v>
          </cell>
        </row>
        <row r="13">
          <cell r="A13">
            <v>43371</v>
          </cell>
          <cell r="B13">
            <v>0.79166666666666663</v>
          </cell>
          <cell r="C13">
            <v>0.75</v>
          </cell>
          <cell r="D13" t="str">
            <v>Daylight</v>
          </cell>
          <cell r="G13" t="str">
            <v>LIN @ CR</v>
          </cell>
          <cell r="H13" t="str">
            <v>Vs. Non-Conference</v>
          </cell>
          <cell r="I13" t="str">
            <v>LINCOLN</v>
          </cell>
          <cell r="AC13">
            <v>12</v>
          </cell>
          <cell r="AD13">
            <v>6</v>
          </cell>
          <cell r="AJ13">
            <v>0</v>
          </cell>
          <cell r="AK13">
            <v>0</v>
          </cell>
          <cell r="AN13">
            <v>6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BA13" t="str">
            <v>CEDAR RAPIDS</v>
          </cell>
          <cell r="BU13">
            <v>6</v>
          </cell>
          <cell r="BV13">
            <v>3</v>
          </cell>
          <cell r="CB13">
            <v>0</v>
          </cell>
          <cell r="CC13">
            <v>0</v>
          </cell>
          <cell r="CF13">
            <v>3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</row>
        <row r="14">
          <cell r="A14">
            <v>43371</v>
          </cell>
          <cell r="B14">
            <v>0.83333333333333337</v>
          </cell>
          <cell r="C14">
            <v>0.79166666666666663</v>
          </cell>
          <cell r="D14" t="str">
            <v>Daylight</v>
          </cell>
          <cell r="G14" t="str">
            <v>DM @ CHI</v>
          </cell>
          <cell r="H14" t="str">
            <v>Vs. Non-Conference</v>
          </cell>
          <cell r="I14" t="str">
            <v>DES MOINES</v>
          </cell>
          <cell r="AC14">
            <v>12</v>
          </cell>
          <cell r="AD14">
            <v>6</v>
          </cell>
          <cell r="AJ14">
            <v>0</v>
          </cell>
          <cell r="AK14">
            <v>0</v>
          </cell>
          <cell r="AN14">
            <v>6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BA14" t="str">
            <v>CHICAGO</v>
          </cell>
          <cell r="BU14">
            <v>10</v>
          </cell>
          <cell r="BV14">
            <v>5</v>
          </cell>
          <cell r="CB14">
            <v>0</v>
          </cell>
          <cell r="CC14">
            <v>0</v>
          </cell>
          <cell r="CF14">
            <v>5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</row>
        <row r="15">
          <cell r="A15">
            <v>43372</v>
          </cell>
          <cell r="B15">
            <v>0.45833333333333331</v>
          </cell>
          <cell r="C15">
            <v>0.41666666666666669</v>
          </cell>
          <cell r="D15" t="str">
            <v>Daylight</v>
          </cell>
          <cell r="G15" t="str">
            <v>GB @ DUB</v>
          </cell>
          <cell r="H15" t="str">
            <v>Vs. Conference</v>
          </cell>
          <cell r="I15" t="str">
            <v>GREEN BAY</v>
          </cell>
          <cell r="AC15">
            <v>8</v>
          </cell>
          <cell r="AD15">
            <v>4</v>
          </cell>
          <cell r="AJ15">
            <v>0</v>
          </cell>
          <cell r="AK15">
            <v>0</v>
          </cell>
          <cell r="AN15">
            <v>4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BA15" t="str">
            <v>DUBUQUE</v>
          </cell>
          <cell r="BU15">
            <v>10</v>
          </cell>
          <cell r="BV15">
            <v>5</v>
          </cell>
          <cell r="CB15">
            <v>0</v>
          </cell>
          <cell r="CC15">
            <v>0</v>
          </cell>
          <cell r="CF15">
            <v>5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</row>
        <row r="16">
          <cell r="A16">
            <v>43372</v>
          </cell>
          <cell r="B16">
            <v>0.58333333333333337</v>
          </cell>
          <cell r="C16">
            <v>0.54166666666666663</v>
          </cell>
          <cell r="D16" t="str">
            <v>Daylight</v>
          </cell>
          <cell r="G16" t="str">
            <v>USA @ SF</v>
          </cell>
          <cell r="H16" t="str">
            <v>Vs. Non-Conference</v>
          </cell>
          <cell r="I16" t="str">
            <v>TEAM USA</v>
          </cell>
          <cell r="AC16">
            <v>10</v>
          </cell>
          <cell r="AD16">
            <v>5</v>
          </cell>
          <cell r="AJ16">
            <v>0</v>
          </cell>
          <cell r="AK16">
            <v>0</v>
          </cell>
          <cell r="AN16">
            <v>5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BA16" t="str">
            <v>SIOUX FALLS</v>
          </cell>
          <cell r="BU16">
            <v>8</v>
          </cell>
          <cell r="BV16">
            <v>4</v>
          </cell>
          <cell r="CB16">
            <v>0</v>
          </cell>
          <cell r="CC16">
            <v>0</v>
          </cell>
          <cell r="CF16">
            <v>4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</row>
        <row r="17">
          <cell r="A17">
            <v>43372</v>
          </cell>
          <cell r="B17">
            <v>0.70833333333333337</v>
          </cell>
          <cell r="C17">
            <v>0.66666666666666663</v>
          </cell>
          <cell r="D17" t="str">
            <v>Daylight</v>
          </cell>
          <cell r="G17" t="str">
            <v>WAT @ OMA</v>
          </cell>
          <cell r="H17" t="str">
            <v>Vs. Conference</v>
          </cell>
          <cell r="I17" t="str">
            <v>WATERLOO</v>
          </cell>
          <cell r="AC17">
            <v>14</v>
          </cell>
          <cell r="AD17">
            <v>7</v>
          </cell>
          <cell r="AJ17">
            <v>0</v>
          </cell>
          <cell r="AK17">
            <v>0</v>
          </cell>
          <cell r="AN17">
            <v>7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BA17" t="str">
            <v>OMAHA</v>
          </cell>
          <cell r="BU17">
            <v>6</v>
          </cell>
          <cell r="BV17">
            <v>3</v>
          </cell>
          <cell r="CB17">
            <v>0</v>
          </cell>
          <cell r="CC17">
            <v>0</v>
          </cell>
          <cell r="CF17">
            <v>3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</row>
        <row r="18">
          <cell r="A18">
            <v>43372</v>
          </cell>
          <cell r="B18">
            <v>0.83333333333333337</v>
          </cell>
          <cell r="C18">
            <v>0.79166666666666663</v>
          </cell>
          <cell r="D18" t="str">
            <v>Daylight</v>
          </cell>
          <cell r="G18" t="str">
            <v>MUS @ SC</v>
          </cell>
          <cell r="H18" t="str">
            <v>Vs. Non-Conference</v>
          </cell>
          <cell r="I18" t="str">
            <v>MUSKEGON</v>
          </cell>
          <cell r="AC18">
            <v>26</v>
          </cell>
          <cell r="AD18">
            <v>9</v>
          </cell>
          <cell r="AJ18">
            <v>0</v>
          </cell>
          <cell r="AK18">
            <v>0</v>
          </cell>
          <cell r="AN18">
            <v>8</v>
          </cell>
          <cell r="AO18">
            <v>0</v>
          </cell>
          <cell r="AP18">
            <v>1</v>
          </cell>
          <cell r="AQ18">
            <v>0</v>
          </cell>
          <cell r="AR18">
            <v>0</v>
          </cell>
          <cell r="AS18">
            <v>0</v>
          </cell>
          <cell r="BA18" t="str">
            <v>SIOUX CITY</v>
          </cell>
          <cell r="BU18">
            <v>12</v>
          </cell>
          <cell r="BV18">
            <v>6</v>
          </cell>
          <cell r="CB18">
            <v>0</v>
          </cell>
          <cell r="CC18">
            <v>0</v>
          </cell>
          <cell r="CF18">
            <v>6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</row>
        <row r="19">
          <cell r="A19">
            <v>43373</v>
          </cell>
          <cell r="B19">
            <v>0.54166666666666663</v>
          </cell>
          <cell r="C19">
            <v>0.5</v>
          </cell>
          <cell r="D19" t="str">
            <v>Daylight</v>
          </cell>
          <cell r="G19" t="str">
            <v>DUB @ YNG</v>
          </cell>
          <cell r="H19" t="str">
            <v>Vs. Conference</v>
          </cell>
          <cell r="I19" t="str">
            <v>DUBUQUE</v>
          </cell>
          <cell r="AC19">
            <v>8</v>
          </cell>
          <cell r="AD19">
            <v>4</v>
          </cell>
          <cell r="AJ19">
            <v>0</v>
          </cell>
          <cell r="AK19">
            <v>0</v>
          </cell>
          <cell r="AN19">
            <v>4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BA19" t="str">
            <v>YOUNGSTOWN</v>
          </cell>
          <cell r="BU19">
            <v>12</v>
          </cell>
          <cell r="BV19">
            <v>6</v>
          </cell>
          <cell r="CB19">
            <v>0</v>
          </cell>
          <cell r="CC19">
            <v>0</v>
          </cell>
          <cell r="CF19">
            <v>6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</row>
        <row r="20">
          <cell r="A20">
            <v>43373</v>
          </cell>
          <cell r="B20">
            <v>0.66666666666666663</v>
          </cell>
          <cell r="C20">
            <v>0.625</v>
          </cell>
          <cell r="D20" t="str">
            <v>Daylight</v>
          </cell>
          <cell r="G20" t="str">
            <v>OMA @ USA</v>
          </cell>
          <cell r="H20" t="str">
            <v>Vs. Non-Conference</v>
          </cell>
          <cell r="I20" t="str">
            <v>OMAHA</v>
          </cell>
          <cell r="AC20">
            <v>12</v>
          </cell>
          <cell r="AD20">
            <v>6</v>
          </cell>
          <cell r="AJ20">
            <v>0</v>
          </cell>
          <cell r="AK20">
            <v>0</v>
          </cell>
          <cell r="AN20">
            <v>6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BA20" t="str">
            <v>TEAM USA</v>
          </cell>
          <cell r="BU20">
            <v>4</v>
          </cell>
          <cell r="BV20">
            <v>2</v>
          </cell>
          <cell r="CB20">
            <v>0</v>
          </cell>
          <cell r="CC20">
            <v>0</v>
          </cell>
          <cell r="CF20">
            <v>2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</row>
        <row r="21">
          <cell r="A21">
            <v>43378</v>
          </cell>
          <cell r="B21">
            <v>0.79166666666666663</v>
          </cell>
          <cell r="C21">
            <v>0.75</v>
          </cell>
          <cell r="D21" t="str">
            <v>Daylight</v>
          </cell>
          <cell r="G21" t="str">
            <v>MAD @ USA</v>
          </cell>
          <cell r="H21" t="str">
            <v>Vs. Conference</v>
          </cell>
          <cell r="I21" t="str">
            <v>MADISON</v>
          </cell>
          <cell r="AC21">
            <v>22</v>
          </cell>
          <cell r="AD21">
            <v>7</v>
          </cell>
          <cell r="AJ21">
            <v>0</v>
          </cell>
          <cell r="AK21">
            <v>0</v>
          </cell>
          <cell r="AN21">
            <v>6</v>
          </cell>
          <cell r="AO21">
            <v>0</v>
          </cell>
          <cell r="AP21">
            <v>1</v>
          </cell>
          <cell r="AQ21">
            <v>0</v>
          </cell>
          <cell r="AR21">
            <v>0</v>
          </cell>
          <cell r="AS21">
            <v>0</v>
          </cell>
          <cell r="BA21" t="str">
            <v>TEAM USA</v>
          </cell>
          <cell r="BU21">
            <v>8</v>
          </cell>
          <cell r="BV21">
            <v>4</v>
          </cell>
          <cell r="CB21">
            <v>0</v>
          </cell>
          <cell r="CC21">
            <v>0</v>
          </cell>
          <cell r="CF21">
            <v>4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</row>
        <row r="22">
          <cell r="A22">
            <v>43378</v>
          </cell>
          <cell r="B22">
            <v>0.79513888888888884</v>
          </cell>
          <cell r="C22">
            <v>0.75347222222222221</v>
          </cell>
          <cell r="D22" t="str">
            <v>Daylight</v>
          </cell>
          <cell r="G22" t="str">
            <v>MUS @ YNG</v>
          </cell>
          <cell r="H22" t="str">
            <v>Vs. Conference</v>
          </cell>
          <cell r="I22" t="str">
            <v>MUSKEGON</v>
          </cell>
          <cell r="AC22">
            <v>12</v>
          </cell>
          <cell r="AD22">
            <v>6</v>
          </cell>
          <cell r="AJ22">
            <v>0</v>
          </cell>
          <cell r="AK22">
            <v>0</v>
          </cell>
          <cell r="AN22">
            <v>6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BA22" t="str">
            <v>YOUNGSTOWN</v>
          </cell>
          <cell r="BU22">
            <v>12</v>
          </cell>
          <cell r="BV22">
            <v>6</v>
          </cell>
          <cell r="CB22">
            <v>0</v>
          </cell>
          <cell r="CC22">
            <v>0</v>
          </cell>
          <cell r="CF22">
            <v>6</v>
          </cell>
          <cell r="CG22">
            <v>0</v>
          </cell>
          <cell r="CH22">
            <v>0</v>
          </cell>
          <cell r="CI22">
            <v>0</v>
          </cell>
          <cell r="CJ22">
            <v>0</v>
          </cell>
          <cell r="CK22">
            <v>0</v>
          </cell>
        </row>
        <row r="23">
          <cell r="A23">
            <v>43378</v>
          </cell>
          <cell r="B23">
            <v>0.83680555555555547</v>
          </cell>
          <cell r="C23">
            <v>0.79513888888888884</v>
          </cell>
          <cell r="D23" t="str">
            <v>Daylight</v>
          </cell>
          <cell r="G23" t="str">
            <v>CR @ CHI</v>
          </cell>
          <cell r="H23" t="str">
            <v>Vs. Conference</v>
          </cell>
          <cell r="I23" t="str">
            <v>CEDAR RAPIDS</v>
          </cell>
          <cell r="AC23">
            <v>27</v>
          </cell>
          <cell r="AD23">
            <v>8</v>
          </cell>
          <cell r="AJ23">
            <v>0</v>
          </cell>
          <cell r="AK23">
            <v>0</v>
          </cell>
          <cell r="AN23">
            <v>6</v>
          </cell>
          <cell r="AO23">
            <v>1</v>
          </cell>
          <cell r="AP23">
            <v>1</v>
          </cell>
          <cell r="AQ23">
            <v>0</v>
          </cell>
          <cell r="AR23">
            <v>0</v>
          </cell>
          <cell r="AS23">
            <v>0</v>
          </cell>
          <cell r="BA23" t="str">
            <v>CHICAGO</v>
          </cell>
          <cell r="BU23">
            <v>23</v>
          </cell>
          <cell r="BV23">
            <v>6</v>
          </cell>
          <cell r="CB23">
            <v>0</v>
          </cell>
          <cell r="CC23">
            <v>0</v>
          </cell>
          <cell r="CF23">
            <v>4</v>
          </cell>
          <cell r="CG23">
            <v>1</v>
          </cell>
          <cell r="CH23">
            <v>1</v>
          </cell>
          <cell r="CI23">
            <v>0</v>
          </cell>
          <cell r="CJ23">
            <v>0</v>
          </cell>
          <cell r="CK23">
            <v>0</v>
          </cell>
        </row>
        <row r="24">
          <cell r="A24">
            <v>43378</v>
          </cell>
          <cell r="B24">
            <v>0.83680555555555547</v>
          </cell>
          <cell r="C24">
            <v>0.79513888888888884</v>
          </cell>
          <cell r="D24" t="str">
            <v>Daylight</v>
          </cell>
          <cell r="G24" t="str">
            <v>WAT @ DM</v>
          </cell>
          <cell r="H24" t="str">
            <v>Vs. Conference</v>
          </cell>
          <cell r="I24" t="str">
            <v>WATERLOO</v>
          </cell>
          <cell r="AC24">
            <v>12</v>
          </cell>
          <cell r="AD24">
            <v>6</v>
          </cell>
          <cell r="AJ24">
            <v>0</v>
          </cell>
          <cell r="AK24">
            <v>0</v>
          </cell>
          <cell r="AN24">
            <v>6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BA24" t="str">
            <v>DES MOINES</v>
          </cell>
          <cell r="BU24">
            <v>23</v>
          </cell>
          <cell r="BV24">
            <v>6</v>
          </cell>
          <cell r="CB24">
            <v>0</v>
          </cell>
          <cell r="CC24">
            <v>0</v>
          </cell>
          <cell r="CF24">
            <v>4</v>
          </cell>
          <cell r="CG24">
            <v>1</v>
          </cell>
          <cell r="CH24">
            <v>0</v>
          </cell>
          <cell r="CI24">
            <v>1</v>
          </cell>
          <cell r="CJ24">
            <v>0</v>
          </cell>
          <cell r="CK24">
            <v>0</v>
          </cell>
        </row>
        <row r="25">
          <cell r="A25">
            <v>43378</v>
          </cell>
          <cell r="B25">
            <v>0.83680555555555547</v>
          </cell>
          <cell r="C25">
            <v>0.79513888888888884</v>
          </cell>
          <cell r="D25" t="str">
            <v>Daylight</v>
          </cell>
          <cell r="G25" t="str">
            <v>SF @ FGO</v>
          </cell>
          <cell r="H25" t="str">
            <v>Vs. Conference</v>
          </cell>
          <cell r="I25" t="str">
            <v>SIOUX FALLS</v>
          </cell>
          <cell r="AC25">
            <v>4</v>
          </cell>
          <cell r="AD25">
            <v>2</v>
          </cell>
          <cell r="AJ25">
            <v>0</v>
          </cell>
          <cell r="AK25">
            <v>0</v>
          </cell>
          <cell r="AN25">
            <v>2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BA25" t="str">
            <v>FARGO</v>
          </cell>
          <cell r="BU25">
            <v>8</v>
          </cell>
          <cell r="BV25">
            <v>4</v>
          </cell>
          <cell r="CB25">
            <v>0</v>
          </cell>
          <cell r="CC25">
            <v>0</v>
          </cell>
          <cell r="CF25">
            <v>4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</row>
        <row r="26">
          <cell r="A26">
            <v>43378</v>
          </cell>
          <cell r="B26">
            <v>0.83680555555555547</v>
          </cell>
          <cell r="C26">
            <v>0.79513888888888884</v>
          </cell>
          <cell r="D26" t="str">
            <v>Daylight</v>
          </cell>
          <cell r="G26" t="str">
            <v>OMA @ LIN</v>
          </cell>
          <cell r="H26" t="str">
            <v>Vs. Conference</v>
          </cell>
          <cell r="I26" t="str">
            <v>OMAHA</v>
          </cell>
          <cell r="AC26">
            <v>61</v>
          </cell>
          <cell r="AD26">
            <v>14</v>
          </cell>
          <cell r="AJ26">
            <v>0</v>
          </cell>
          <cell r="AK26">
            <v>0</v>
          </cell>
          <cell r="AN26">
            <v>8</v>
          </cell>
          <cell r="AO26">
            <v>3</v>
          </cell>
          <cell r="AP26">
            <v>3</v>
          </cell>
          <cell r="AQ26">
            <v>0</v>
          </cell>
          <cell r="AR26">
            <v>0</v>
          </cell>
          <cell r="AS26">
            <v>0</v>
          </cell>
          <cell r="BA26" t="str">
            <v>LINCOLN</v>
          </cell>
          <cell r="BU26">
            <v>57</v>
          </cell>
          <cell r="BV26">
            <v>12</v>
          </cell>
          <cell r="CB26">
            <v>0</v>
          </cell>
          <cell r="CC26">
            <v>0</v>
          </cell>
          <cell r="CF26">
            <v>6</v>
          </cell>
          <cell r="CG26">
            <v>3</v>
          </cell>
          <cell r="CH26">
            <v>3</v>
          </cell>
          <cell r="CI26">
            <v>0</v>
          </cell>
          <cell r="CJ26">
            <v>0</v>
          </cell>
          <cell r="CK26">
            <v>0</v>
          </cell>
        </row>
        <row r="27">
          <cell r="A27">
            <v>43378</v>
          </cell>
          <cell r="B27">
            <v>0.83680555555555547</v>
          </cell>
          <cell r="C27">
            <v>0.79513888888888884</v>
          </cell>
          <cell r="D27" t="str">
            <v>Daylight</v>
          </cell>
          <cell r="G27" t="str">
            <v>SC @ GB</v>
          </cell>
          <cell r="H27" t="str">
            <v>Vs. Non-Conference</v>
          </cell>
          <cell r="I27" t="str">
            <v>SIOUX CITY</v>
          </cell>
          <cell r="AC27">
            <v>8</v>
          </cell>
          <cell r="AD27">
            <v>4</v>
          </cell>
          <cell r="AJ27">
            <v>0</v>
          </cell>
          <cell r="AK27">
            <v>0</v>
          </cell>
          <cell r="AN27">
            <v>4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BA27" t="str">
            <v>GREEN BAY</v>
          </cell>
          <cell r="BU27">
            <v>2</v>
          </cell>
          <cell r="BV27">
            <v>1</v>
          </cell>
          <cell r="CB27">
            <v>0</v>
          </cell>
          <cell r="CC27">
            <v>0</v>
          </cell>
          <cell r="CF27">
            <v>1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</row>
        <row r="28">
          <cell r="A28">
            <v>43379</v>
          </cell>
          <cell r="B28">
            <v>0.79166666666666663</v>
          </cell>
          <cell r="C28">
            <v>0.75</v>
          </cell>
          <cell r="D28" t="str">
            <v>Daylight</v>
          </cell>
          <cell r="G28" t="str">
            <v>MAD @ USA</v>
          </cell>
          <cell r="H28" t="str">
            <v>Vs. Conference</v>
          </cell>
          <cell r="I28" t="str">
            <v>MADISON</v>
          </cell>
          <cell r="AC28">
            <v>14</v>
          </cell>
          <cell r="AD28">
            <v>4</v>
          </cell>
          <cell r="AJ28">
            <v>0</v>
          </cell>
          <cell r="AK28">
            <v>0</v>
          </cell>
          <cell r="AN28">
            <v>2</v>
          </cell>
          <cell r="AO28">
            <v>2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BA28" t="str">
            <v>TEAM USA</v>
          </cell>
          <cell r="BU28">
            <v>6</v>
          </cell>
          <cell r="BV28">
            <v>3</v>
          </cell>
          <cell r="CB28">
            <v>0</v>
          </cell>
          <cell r="CC28">
            <v>0</v>
          </cell>
          <cell r="CF28">
            <v>3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</row>
        <row r="29">
          <cell r="A29">
            <v>43379</v>
          </cell>
          <cell r="B29">
            <v>0.79513888888888884</v>
          </cell>
          <cell r="C29">
            <v>0.75347222222222221</v>
          </cell>
          <cell r="D29" t="str">
            <v>Daylight</v>
          </cell>
          <cell r="G29" t="str">
            <v>MUS @ YNG</v>
          </cell>
          <cell r="H29" t="str">
            <v>Vs. Conference</v>
          </cell>
          <cell r="I29" t="str">
            <v>MUSKEGON</v>
          </cell>
          <cell r="AC29">
            <v>26</v>
          </cell>
          <cell r="AD29">
            <v>9</v>
          </cell>
          <cell r="AJ29">
            <v>0</v>
          </cell>
          <cell r="AK29">
            <v>0</v>
          </cell>
          <cell r="AN29">
            <v>8</v>
          </cell>
          <cell r="AO29">
            <v>0</v>
          </cell>
          <cell r="AP29">
            <v>1</v>
          </cell>
          <cell r="AQ29">
            <v>0</v>
          </cell>
          <cell r="AR29">
            <v>0</v>
          </cell>
          <cell r="AS29">
            <v>0</v>
          </cell>
          <cell r="BA29" t="str">
            <v>YOUNGSTOWN</v>
          </cell>
          <cell r="BU29">
            <v>16</v>
          </cell>
          <cell r="BV29">
            <v>8</v>
          </cell>
          <cell r="CB29">
            <v>0</v>
          </cell>
          <cell r="CC29">
            <v>0</v>
          </cell>
          <cell r="CF29">
            <v>8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</row>
        <row r="30">
          <cell r="A30">
            <v>43379</v>
          </cell>
          <cell r="B30">
            <v>0.83680555555555547</v>
          </cell>
          <cell r="C30">
            <v>0.79513888888888884</v>
          </cell>
          <cell r="D30" t="str">
            <v>Daylight</v>
          </cell>
          <cell r="G30" t="str">
            <v>GB @ CHI</v>
          </cell>
          <cell r="H30" t="str">
            <v>Vs. Conference</v>
          </cell>
          <cell r="I30" t="str">
            <v>GREEN BAY</v>
          </cell>
          <cell r="AC30">
            <v>12</v>
          </cell>
          <cell r="AD30">
            <v>6</v>
          </cell>
          <cell r="AJ30">
            <v>0</v>
          </cell>
          <cell r="AK30">
            <v>0</v>
          </cell>
          <cell r="AN30">
            <v>6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BA30" t="str">
            <v>CHICAGO</v>
          </cell>
          <cell r="BU30">
            <v>14</v>
          </cell>
          <cell r="BV30">
            <v>7</v>
          </cell>
          <cell r="CB30">
            <v>0</v>
          </cell>
          <cell r="CC30">
            <v>0</v>
          </cell>
          <cell r="CF30">
            <v>7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</row>
        <row r="31">
          <cell r="A31">
            <v>43379</v>
          </cell>
          <cell r="B31">
            <v>0.83680555555555547</v>
          </cell>
          <cell r="C31">
            <v>0.79513888888888884</v>
          </cell>
          <cell r="D31" t="str">
            <v>Daylight</v>
          </cell>
          <cell r="G31" t="str">
            <v>LIN @ DM</v>
          </cell>
          <cell r="H31" t="str">
            <v>Vs. Conference</v>
          </cell>
          <cell r="I31" t="str">
            <v>LINCOLN</v>
          </cell>
          <cell r="AC31">
            <v>25</v>
          </cell>
          <cell r="AD31">
            <v>7</v>
          </cell>
          <cell r="AJ31">
            <v>0</v>
          </cell>
          <cell r="AK31">
            <v>0</v>
          </cell>
          <cell r="AN31">
            <v>5</v>
          </cell>
          <cell r="AO31">
            <v>1</v>
          </cell>
          <cell r="AP31">
            <v>1</v>
          </cell>
          <cell r="AQ31">
            <v>0</v>
          </cell>
          <cell r="AR31">
            <v>0</v>
          </cell>
          <cell r="AS31">
            <v>0</v>
          </cell>
          <cell r="BA31" t="str">
            <v>DES MOINES</v>
          </cell>
          <cell r="BU31">
            <v>31</v>
          </cell>
          <cell r="BV31">
            <v>10</v>
          </cell>
          <cell r="CB31">
            <v>0</v>
          </cell>
          <cell r="CC31">
            <v>0</v>
          </cell>
          <cell r="CF31">
            <v>8</v>
          </cell>
          <cell r="CG31">
            <v>1</v>
          </cell>
          <cell r="CH31">
            <v>1</v>
          </cell>
          <cell r="CI31">
            <v>0</v>
          </cell>
          <cell r="CJ31">
            <v>0</v>
          </cell>
          <cell r="CK31">
            <v>0</v>
          </cell>
        </row>
        <row r="32">
          <cell r="A32">
            <v>43379</v>
          </cell>
          <cell r="B32">
            <v>0.83680555555555547</v>
          </cell>
          <cell r="C32">
            <v>0.79513888888888884</v>
          </cell>
          <cell r="D32" t="str">
            <v>Daylight</v>
          </cell>
          <cell r="G32" t="str">
            <v>CR @ DUB</v>
          </cell>
          <cell r="H32" t="str">
            <v>Vs. Conference</v>
          </cell>
          <cell r="I32" t="str">
            <v>CEDAR RAPIDS</v>
          </cell>
          <cell r="AC32">
            <v>10</v>
          </cell>
          <cell r="AD32">
            <v>5</v>
          </cell>
          <cell r="AJ32">
            <v>0</v>
          </cell>
          <cell r="AK32">
            <v>0</v>
          </cell>
          <cell r="AN32">
            <v>5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BA32" t="str">
            <v>DUBUQUE</v>
          </cell>
          <cell r="BU32">
            <v>12</v>
          </cell>
          <cell r="BV32">
            <v>6</v>
          </cell>
          <cell r="CB32">
            <v>0</v>
          </cell>
          <cell r="CC32">
            <v>0</v>
          </cell>
          <cell r="CF32">
            <v>6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</row>
        <row r="33">
          <cell r="A33">
            <v>43379</v>
          </cell>
          <cell r="B33">
            <v>0.83680555555555547</v>
          </cell>
          <cell r="C33">
            <v>0.79513888888888884</v>
          </cell>
          <cell r="D33" t="str">
            <v>Daylight</v>
          </cell>
          <cell r="G33" t="str">
            <v>SF @ FGO</v>
          </cell>
          <cell r="H33" t="str">
            <v>Vs. Conference</v>
          </cell>
          <cell r="I33" t="str">
            <v>SIOUX FALLS</v>
          </cell>
          <cell r="AC33">
            <v>29</v>
          </cell>
          <cell r="AD33">
            <v>9</v>
          </cell>
          <cell r="AJ33">
            <v>0</v>
          </cell>
          <cell r="AK33">
            <v>0</v>
          </cell>
          <cell r="AN33">
            <v>7</v>
          </cell>
          <cell r="AO33">
            <v>1</v>
          </cell>
          <cell r="AP33">
            <v>0</v>
          </cell>
          <cell r="AQ33">
            <v>1</v>
          </cell>
          <cell r="AR33">
            <v>0</v>
          </cell>
          <cell r="AS33">
            <v>0</v>
          </cell>
          <cell r="BA33" t="str">
            <v>FARGO</v>
          </cell>
          <cell r="BU33">
            <v>19</v>
          </cell>
          <cell r="BV33">
            <v>8</v>
          </cell>
          <cell r="CB33">
            <v>0</v>
          </cell>
          <cell r="CC33">
            <v>0</v>
          </cell>
          <cell r="CF33">
            <v>7</v>
          </cell>
          <cell r="CG33">
            <v>1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</row>
        <row r="34">
          <cell r="A34">
            <v>43379</v>
          </cell>
          <cell r="B34">
            <v>0.83680555555555547</v>
          </cell>
          <cell r="C34">
            <v>0.79513888888888884</v>
          </cell>
          <cell r="D34" t="str">
            <v>Daylight</v>
          </cell>
          <cell r="G34" t="str">
            <v>TC @ OMA</v>
          </cell>
          <cell r="H34" t="str">
            <v>Vs. Conference</v>
          </cell>
          <cell r="I34" t="str">
            <v>TRI-CITY</v>
          </cell>
          <cell r="AC34">
            <v>27</v>
          </cell>
          <cell r="AD34">
            <v>8</v>
          </cell>
          <cell r="AJ34">
            <v>0</v>
          </cell>
          <cell r="AK34">
            <v>0</v>
          </cell>
          <cell r="AN34">
            <v>6</v>
          </cell>
          <cell r="AO34">
            <v>1</v>
          </cell>
          <cell r="AP34">
            <v>1</v>
          </cell>
          <cell r="AQ34">
            <v>0</v>
          </cell>
          <cell r="AR34">
            <v>0</v>
          </cell>
          <cell r="AS34">
            <v>0</v>
          </cell>
          <cell r="BA34" t="str">
            <v>OMAHA</v>
          </cell>
          <cell r="BU34">
            <v>29</v>
          </cell>
          <cell r="BV34">
            <v>9</v>
          </cell>
          <cell r="CB34">
            <v>0</v>
          </cell>
          <cell r="CC34">
            <v>0</v>
          </cell>
          <cell r="CF34">
            <v>7</v>
          </cell>
          <cell r="CG34">
            <v>1</v>
          </cell>
          <cell r="CH34">
            <v>1</v>
          </cell>
          <cell r="CI34">
            <v>0</v>
          </cell>
          <cell r="CJ34">
            <v>0</v>
          </cell>
          <cell r="CK34">
            <v>0</v>
          </cell>
        </row>
        <row r="35">
          <cell r="A35">
            <v>43379</v>
          </cell>
          <cell r="B35">
            <v>0.83819444444444446</v>
          </cell>
          <cell r="C35">
            <v>0.79652777777777783</v>
          </cell>
          <cell r="D35" t="str">
            <v>Daylight</v>
          </cell>
          <cell r="G35" t="str">
            <v>WAT @ CIL</v>
          </cell>
          <cell r="H35" t="str">
            <v>Vs. Non-Conference</v>
          </cell>
          <cell r="I35" t="str">
            <v>WATERLOO</v>
          </cell>
          <cell r="AC35">
            <v>14</v>
          </cell>
          <cell r="AD35">
            <v>7</v>
          </cell>
          <cell r="AJ35">
            <v>0</v>
          </cell>
          <cell r="AK35">
            <v>0</v>
          </cell>
          <cell r="AN35">
            <v>7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BA35" t="str">
            <v>CENTRAL ILLINOIS</v>
          </cell>
          <cell r="BU35">
            <v>10</v>
          </cell>
          <cell r="BV35">
            <v>5</v>
          </cell>
          <cell r="CB35">
            <v>0</v>
          </cell>
          <cell r="CC35">
            <v>0</v>
          </cell>
          <cell r="CF35">
            <v>5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</row>
        <row r="36">
          <cell r="A36">
            <v>43380</v>
          </cell>
          <cell r="B36">
            <v>0.71319444444444446</v>
          </cell>
          <cell r="C36">
            <v>0.67152777777777783</v>
          </cell>
          <cell r="D36" t="str">
            <v>Daylight</v>
          </cell>
          <cell r="G36" t="str">
            <v>GB @ CIL</v>
          </cell>
          <cell r="H36" t="str">
            <v>Vs. Conference</v>
          </cell>
          <cell r="I36" t="str">
            <v>GREEN BAY</v>
          </cell>
          <cell r="AC36">
            <v>16</v>
          </cell>
          <cell r="AD36">
            <v>8</v>
          </cell>
          <cell r="AJ36">
            <v>0</v>
          </cell>
          <cell r="AK36">
            <v>0</v>
          </cell>
          <cell r="AN36">
            <v>8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BA36" t="str">
            <v>CENTRAL ILLINOIS</v>
          </cell>
          <cell r="BU36">
            <v>18</v>
          </cell>
          <cell r="BV36">
            <v>9</v>
          </cell>
          <cell r="CB36">
            <v>0</v>
          </cell>
          <cell r="CC36">
            <v>0</v>
          </cell>
          <cell r="CF36">
            <v>9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</row>
        <row r="37">
          <cell r="A37">
            <v>43385</v>
          </cell>
          <cell r="B37">
            <v>0.83680555555555547</v>
          </cell>
          <cell r="C37">
            <v>0.79513888888888884</v>
          </cell>
          <cell r="D37" t="str">
            <v>Daylight</v>
          </cell>
          <cell r="G37" t="str">
            <v>CHI @ MAD</v>
          </cell>
          <cell r="H37" t="str">
            <v>Vs. Conference</v>
          </cell>
          <cell r="I37" t="str">
            <v>CHICAGO</v>
          </cell>
          <cell r="AC37">
            <v>8</v>
          </cell>
          <cell r="AD37">
            <v>4</v>
          </cell>
          <cell r="AJ37">
            <v>0</v>
          </cell>
          <cell r="AK37">
            <v>0</v>
          </cell>
          <cell r="AN37">
            <v>4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BA37" t="str">
            <v>MADISON</v>
          </cell>
          <cell r="BU37">
            <v>8</v>
          </cell>
          <cell r="BV37">
            <v>4</v>
          </cell>
          <cell r="CB37">
            <v>0</v>
          </cell>
          <cell r="CC37">
            <v>0</v>
          </cell>
          <cell r="CF37">
            <v>4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</row>
        <row r="38">
          <cell r="A38">
            <v>43385</v>
          </cell>
          <cell r="B38">
            <v>0.83680555555555547</v>
          </cell>
          <cell r="C38">
            <v>0.79513888888888884</v>
          </cell>
          <cell r="D38" t="str">
            <v>Daylight</v>
          </cell>
          <cell r="G38" t="str">
            <v>DM @ TC</v>
          </cell>
          <cell r="H38" t="str">
            <v>Vs. Conference</v>
          </cell>
          <cell r="I38" t="str">
            <v>DES MOINES</v>
          </cell>
          <cell r="AC38">
            <v>10</v>
          </cell>
          <cell r="AD38">
            <v>5</v>
          </cell>
          <cell r="AJ38">
            <v>0</v>
          </cell>
          <cell r="AK38">
            <v>0</v>
          </cell>
          <cell r="AN38">
            <v>5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BA38" t="str">
            <v>TRI-CITY</v>
          </cell>
          <cell r="BU38">
            <v>12</v>
          </cell>
          <cell r="BV38">
            <v>6</v>
          </cell>
          <cell r="CB38">
            <v>0</v>
          </cell>
          <cell r="CC38">
            <v>0</v>
          </cell>
          <cell r="CF38">
            <v>6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</row>
        <row r="39">
          <cell r="A39">
            <v>43385</v>
          </cell>
          <cell r="B39">
            <v>0.83680555555555547</v>
          </cell>
          <cell r="C39">
            <v>0.79513888888888884</v>
          </cell>
          <cell r="D39" t="str">
            <v>Daylight</v>
          </cell>
          <cell r="G39" t="str">
            <v>DUB @ LIN</v>
          </cell>
          <cell r="H39" t="str">
            <v>Vs. Non-Conference</v>
          </cell>
          <cell r="I39" t="str">
            <v>DUBUQUE</v>
          </cell>
          <cell r="AC39">
            <v>8</v>
          </cell>
          <cell r="AD39">
            <v>4</v>
          </cell>
          <cell r="AJ39">
            <v>0</v>
          </cell>
          <cell r="AK39">
            <v>0</v>
          </cell>
          <cell r="AN39">
            <v>4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BA39" t="str">
            <v>LINCOLN</v>
          </cell>
          <cell r="BU39">
            <v>4</v>
          </cell>
          <cell r="BV39">
            <v>2</v>
          </cell>
          <cell r="CB39">
            <v>0</v>
          </cell>
          <cell r="CC39">
            <v>0</v>
          </cell>
          <cell r="CF39">
            <v>2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</row>
        <row r="40">
          <cell r="A40">
            <v>43385</v>
          </cell>
          <cell r="B40">
            <v>0.83819444444444446</v>
          </cell>
          <cell r="C40">
            <v>0.79652777777777783</v>
          </cell>
          <cell r="D40" t="str">
            <v>Daylight</v>
          </cell>
          <cell r="G40" t="str">
            <v>GB @ CIL</v>
          </cell>
          <cell r="H40" t="str">
            <v>Vs. Conference</v>
          </cell>
          <cell r="I40" t="str">
            <v>GREEN BAY</v>
          </cell>
          <cell r="AC40">
            <v>16</v>
          </cell>
          <cell r="AD40">
            <v>4</v>
          </cell>
          <cell r="AJ40">
            <v>0</v>
          </cell>
          <cell r="AK40">
            <v>0</v>
          </cell>
          <cell r="AN40">
            <v>3</v>
          </cell>
          <cell r="AO40">
            <v>0</v>
          </cell>
          <cell r="AP40">
            <v>1</v>
          </cell>
          <cell r="AQ40">
            <v>0</v>
          </cell>
          <cell r="AR40">
            <v>0</v>
          </cell>
          <cell r="AS40">
            <v>0</v>
          </cell>
          <cell r="BA40" t="str">
            <v>CENTRAL ILLINOIS</v>
          </cell>
          <cell r="BU40">
            <v>24</v>
          </cell>
          <cell r="BV40">
            <v>8</v>
          </cell>
          <cell r="CB40">
            <v>0</v>
          </cell>
          <cell r="CC40">
            <v>0</v>
          </cell>
          <cell r="CF40">
            <v>7</v>
          </cell>
          <cell r="CG40">
            <v>0</v>
          </cell>
          <cell r="CH40">
            <v>1</v>
          </cell>
          <cell r="CI40">
            <v>0</v>
          </cell>
          <cell r="CJ40">
            <v>0</v>
          </cell>
          <cell r="CK40">
            <v>0</v>
          </cell>
        </row>
        <row r="41">
          <cell r="A41">
            <v>43385</v>
          </cell>
          <cell r="B41">
            <v>0.85763888888888884</v>
          </cell>
          <cell r="C41">
            <v>0.81597222222222221</v>
          </cell>
          <cell r="D41" t="str">
            <v>Daylight</v>
          </cell>
          <cell r="G41" t="str">
            <v>FGO @ OMA</v>
          </cell>
          <cell r="H41" t="str">
            <v>Vs. Conference</v>
          </cell>
          <cell r="I41" t="str">
            <v>FARGO</v>
          </cell>
          <cell r="AC41">
            <v>4</v>
          </cell>
          <cell r="AD41">
            <v>2</v>
          </cell>
          <cell r="AJ41">
            <v>0</v>
          </cell>
          <cell r="AK41">
            <v>0</v>
          </cell>
          <cell r="AN41">
            <v>2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BA41" t="str">
            <v>OMAHA</v>
          </cell>
          <cell r="BU41">
            <v>18</v>
          </cell>
          <cell r="BV41">
            <v>5</v>
          </cell>
          <cell r="CB41">
            <v>0</v>
          </cell>
          <cell r="CC41">
            <v>0</v>
          </cell>
          <cell r="CF41">
            <v>4</v>
          </cell>
          <cell r="CG41">
            <v>0</v>
          </cell>
          <cell r="CH41">
            <v>1</v>
          </cell>
          <cell r="CI41">
            <v>0</v>
          </cell>
          <cell r="CJ41">
            <v>0</v>
          </cell>
          <cell r="CK41">
            <v>0</v>
          </cell>
        </row>
        <row r="42">
          <cell r="A42">
            <v>43386</v>
          </cell>
          <cell r="B42">
            <v>0.80208333333333337</v>
          </cell>
          <cell r="C42">
            <v>0.76041666666666674</v>
          </cell>
          <cell r="D42" t="str">
            <v>Daylight</v>
          </cell>
          <cell r="G42" t="str">
            <v>CHI @ MUS</v>
          </cell>
          <cell r="H42" t="str">
            <v>Vs. Conference</v>
          </cell>
          <cell r="I42" t="str">
            <v>CHICAGO</v>
          </cell>
          <cell r="AC42">
            <v>12</v>
          </cell>
          <cell r="AD42">
            <v>6</v>
          </cell>
          <cell r="AJ42">
            <v>0</v>
          </cell>
          <cell r="AK42">
            <v>0</v>
          </cell>
          <cell r="AN42">
            <v>6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BA42" t="str">
            <v>MUSKEGON</v>
          </cell>
          <cell r="BU42">
            <v>10</v>
          </cell>
          <cell r="BV42">
            <v>5</v>
          </cell>
          <cell r="CB42">
            <v>0</v>
          </cell>
          <cell r="CC42">
            <v>0</v>
          </cell>
          <cell r="CF42">
            <v>5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</row>
        <row r="43">
          <cell r="A43">
            <v>43386</v>
          </cell>
          <cell r="B43">
            <v>0.83680555555555547</v>
          </cell>
          <cell r="C43">
            <v>0.79513888888888884</v>
          </cell>
          <cell r="D43" t="str">
            <v>Daylight</v>
          </cell>
          <cell r="G43" t="str">
            <v>LIN @ DM</v>
          </cell>
          <cell r="H43" t="str">
            <v>Vs. Conference</v>
          </cell>
          <cell r="I43" t="str">
            <v>LINCOLN</v>
          </cell>
          <cell r="AC43">
            <v>8</v>
          </cell>
          <cell r="AD43">
            <v>4</v>
          </cell>
          <cell r="AJ43">
            <v>0</v>
          </cell>
          <cell r="AK43">
            <v>0</v>
          </cell>
          <cell r="AN43">
            <v>4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BA43" t="str">
            <v>DES MOINES</v>
          </cell>
          <cell r="BU43">
            <v>10</v>
          </cell>
          <cell r="BV43">
            <v>5</v>
          </cell>
          <cell r="CB43">
            <v>0</v>
          </cell>
          <cell r="CC43">
            <v>0</v>
          </cell>
          <cell r="CF43">
            <v>5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</row>
        <row r="44">
          <cell r="A44">
            <v>43386</v>
          </cell>
          <cell r="B44">
            <v>0.83680555555555547</v>
          </cell>
          <cell r="C44">
            <v>0.79513888888888884</v>
          </cell>
          <cell r="D44" t="str">
            <v>Daylight</v>
          </cell>
          <cell r="G44" t="str">
            <v>CIL @ MAD</v>
          </cell>
          <cell r="H44" t="str">
            <v>Vs. Conference</v>
          </cell>
          <cell r="I44" t="str">
            <v>CENTRAL ILLINOIS</v>
          </cell>
          <cell r="AC44">
            <v>14</v>
          </cell>
          <cell r="AD44">
            <v>7</v>
          </cell>
          <cell r="AJ44">
            <v>0</v>
          </cell>
          <cell r="AK44">
            <v>0</v>
          </cell>
          <cell r="AN44">
            <v>7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BA44" t="str">
            <v>MADISON</v>
          </cell>
          <cell r="BU44">
            <v>27</v>
          </cell>
          <cell r="BV44">
            <v>8</v>
          </cell>
          <cell r="CB44">
            <v>0</v>
          </cell>
          <cell r="CC44">
            <v>0</v>
          </cell>
          <cell r="CF44">
            <v>6</v>
          </cell>
          <cell r="CG44">
            <v>1</v>
          </cell>
          <cell r="CH44">
            <v>0</v>
          </cell>
          <cell r="CI44">
            <v>1</v>
          </cell>
          <cell r="CJ44">
            <v>0</v>
          </cell>
          <cell r="CK44">
            <v>0</v>
          </cell>
        </row>
        <row r="45">
          <cell r="A45">
            <v>43386</v>
          </cell>
          <cell r="B45">
            <v>0.83680555555555547</v>
          </cell>
          <cell r="C45">
            <v>0.79513888888888884</v>
          </cell>
          <cell r="D45" t="str">
            <v>Daylight</v>
          </cell>
          <cell r="G45" t="str">
            <v>FGO @ SF</v>
          </cell>
          <cell r="H45" t="str">
            <v>Vs. Conference</v>
          </cell>
          <cell r="I45" t="str">
            <v>FARGO</v>
          </cell>
          <cell r="AC45">
            <v>2</v>
          </cell>
          <cell r="AD45">
            <v>1</v>
          </cell>
          <cell r="AJ45">
            <v>0</v>
          </cell>
          <cell r="AK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BA45" t="str">
            <v>SIOUX FALLS</v>
          </cell>
          <cell r="BU45">
            <v>2</v>
          </cell>
          <cell r="BV45">
            <v>1</v>
          </cell>
          <cell r="CB45">
            <v>0</v>
          </cell>
          <cell r="CC45">
            <v>0</v>
          </cell>
          <cell r="CF45">
            <v>1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</row>
        <row r="46">
          <cell r="A46">
            <v>43386</v>
          </cell>
          <cell r="B46">
            <v>0.83680555555555547</v>
          </cell>
          <cell r="C46">
            <v>0.79513888888888884</v>
          </cell>
          <cell r="D46" t="str">
            <v>Daylight</v>
          </cell>
          <cell r="G46" t="str">
            <v>SC @ CR</v>
          </cell>
          <cell r="H46" t="str">
            <v>Vs. Non-Conference</v>
          </cell>
          <cell r="I46" t="str">
            <v>SIOUX CITY</v>
          </cell>
          <cell r="AC46">
            <v>16</v>
          </cell>
          <cell r="AD46">
            <v>8</v>
          </cell>
          <cell r="AJ46">
            <v>0</v>
          </cell>
          <cell r="AK46">
            <v>0</v>
          </cell>
          <cell r="AN46">
            <v>8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BA46" t="str">
            <v>CEDAR RAPIDS</v>
          </cell>
          <cell r="BU46">
            <v>16</v>
          </cell>
          <cell r="BV46">
            <v>8</v>
          </cell>
          <cell r="CB46">
            <v>0</v>
          </cell>
          <cell r="CC46">
            <v>0</v>
          </cell>
          <cell r="CF46">
            <v>8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</row>
        <row r="47">
          <cell r="A47">
            <v>43386</v>
          </cell>
          <cell r="B47">
            <v>0.83680555555555547</v>
          </cell>
          <cell r="C47">
            <v>0.79513888888888884</v>
          </cell>
          <cell r="D47" t="str">
            <v>Daylight</v>
          </cell>
          <cell r="G47" t="str">
            <v>DUB @ OMA</v>
          </cell>
          <cell r="H47" t="str">
            <v>Vs. Non-Conference</v>
          </cell>
          <cell r="I47" t="str">
            <v>DUBUQUE</v>
          </cell>
          <cell r="AC47">
            <v>6</v>
          </cell>
          <cell r="AD47">
            <v>3</v>
          </cell>
          <cell r="AJ47">
            <v>0</v>
          </cell>
          <cell r="AK47">
            <v>0</v>
          </cell>
          <cell r="AN47">
            <v>3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BA47" t="str">
            <v>OMAHA</v>
          </cell>
          <cell r="BU47">
            <v>23</v>
          </cell>
          <cell r="BV47">
            <v>6</v>
          </cell>
          <cell r="CB47">
            <v>0</v>
          </cell>
          <cell r="CC47">
            <v>0</v>
          </cell>
          <cell r="CF47">
            <v>4</v>
          </cell>
          <cell r="CG47">
            <v>1</v>
          </cell>
          <cell r="CH47">
            <v>0</v>
          </cell>
          <cell r="CI47">
            <v>1</v>
          </cell>
          <cell r="CJ47">
            <v>0</v>
          </cell>
          <cell r="CK47">
            <v>0</v>
          </cell>
        </row>
        <row r="48">
          <cell r="A48">
            <v>43386</v>
          </cell>
          <cell r="B48">
            <v>0.83680555555555547</v>
          </cell>
          <cell r="C48">
            <v>0.79513888888888884</v>
          </cell>
          <cell r="D48" t="str">
            <v>Daylight</v>
          </cell>
          <cell r="G48" t="str">
            <v>GB @ WAT</v>
          </cell>
          <cell r="H48" t="str">
            <v>Vs. Non-Conference</v>
          </cell>
          <cell r="I48" t="str">
            <v>GREEN BAY</v>
          </cell>
          <cell r="AC48">
            <v>27</v>
          </cell>
          <cell r="AD48">
            <v>8</v>
          </cell>
          <cell r="AJ48">
            <v>0</v>
          </cell>
          <cell r="AK48">
            <v>0</v>
          </cell>
          <cell r="AN48">
            <v>6</v>
          </cell>
          <cell r="AO48">
            <v>1</v>
          </cell>
          <cell r="AP48">
            <v>1</v>
          </cell>
          <cell r="AQ48">
            <v>0</v>
          </cell>
          <cell r="AR48">
            <v>0</v>
          </cell>
          <cell r="AS48">
            <v>0</v>
          </cell>
          <cell r="BA48" t="str">
            <v>WATERLOO</v>
          </cell>
          <cell r="BU48">
            <v>25</v>
          </cell>
          <cell r="BV48">
            <v>7</v>
          </cell>
          <cell r="CB48">
            <v>0</v>
          </cell>
          <cell r="CC48">
            <v>0</v>
          </cell>
          <cell r="CF48">
            <v>5</v>
          </cell>
          <cell r="CG48">
            <v>1</v>
          </cell>
          <cell r="CH48">
            <v>1</v>
          </cell>
          <cell r="CI48">
            <v>0</v>
          </cell>
          <cell r="CJ48">
            <v>0</v>
          </cell>
          <cell r="CK48">
            <v>0</v>
          </cell>
        </row>
        <row r="49">
          <cell r="A49">
            <v>43387</v>
          </cell>
          <cell r="B49">
            <v>0.63541666666666663</v>
          </cell>
          <cell r="C49">
            <v>0.59375</v>
          </cell>
          <cell r="D49" t="str">
            <v>Daylight</v>
          </cell>
          <cell r="G49" t="str">
            <v>YNG @ MUS</v>
          </cell>
          <cell r="H49" t="str">
            <v>Vs. Conference</v>
          </cell>
          <cell r="I49" t="str">
            <v>YOUNGSTOWN</v>
          </cell>
          <cell r="AC49">
            <v>29</v>
          </cell>
          <cell r="AD49">
            <v>9</v>
          </cell>
          <cell r="AJ49">
            <v>0</v>
          </cell>
          <cell r="AK49">
            <v>0</v>
          </cell>
          <cell r="AN49">
            <v>7</v>
          </cell>
          <cell r="AO49">
            <v>1</v>
          </cell>
          <cell r="AP49">
            <v>1</v>
          </cell>
          <cell r="AQ49">
            <v>0</v>
          </cell>
          <cell r="AR49">
            <v>0</v>
          </cell>
          <cell r="AS49">
            <v>0</v>
          </cell>
          <cell r="BA49" t="str">
            <v>MUSKEGON</v>
          </cell>
          <cell r="BU49">
            <v>23</v>
          </cell>
          <cell r="BV49">
            <v>6</v>
          </cell>
          <cell r="CB49">
            <v>0</v>
          </cell>
          <cell r="CC49">
            <v>0</v>
          </cell>
          <cell r="CF49">
            <v>4</v>
          </cell>
          <cell r="CG49">
            <v>1</v>
          </cell>
          <cell r="CH49">
            <v>1</v>
          </cell>
          <cell r="CI49">
            <v>0</v>
          </cell>
          <cell r="CJ49">
            <v>0</v>
          </cell>
          <cell r="CK49">
            <v>0</v>
          </cell>
        </row>
        <row r="50">
          <cell r="A50">
            <v>43389</v>
          </cell>
          <cell r="B50">
            <v>0.83680555555555547</v>
          </cell>
          <cell r="C50">
            <v>0.79513888888888884</v>
          </cell>
          <cell r="D50" t="str">
            <v>Daylight</v>
          </cell>
          <cell r="G50" t="str">
            <v>LIN @ TC</v>
          </cell>
          <cell r="H50" t="str">
            <v>Vs. Conference</v>
          </cell>
          <cell r="I50" t="str">
            <v>LINCOLN</v>
          </cell>
          <cell r="AC50">
            <v>16</v>
          </cell>
          <cell r="AD50">
            <v>4</v>
          </cell>
          <cell r="AJ50">
            <v>0</v>
          </cell>
          <cell r="AK50">
            <v>0</v>
          </cell>
          <cell r="AN50">
            <v>3</v>
          </cell>
          <cell r="AO50">
            <v>0</v>
          </cell>
          <cell r="AP50">
            <v>1</v>
          </cell>
          <cell r="AQ50">
            <v>0</v>
          </cell>
          <cell r="AR50">
            <v>0</v>
          </cell>
          <cell r="AS50">
            <v>0</v>
          </cell>
          <cell r="BA50" t="str">
            <v>TRI-CITY</v>
          </cell>
          <cell r="BU50">
            <v>6</v>
          </cell>
          <cell r="BV50">
            <v>3</v>
          </cell>
          <cell r="CB50">
            <v>0</v>
          </cell>
          <cell r="CC50">
            <v>0</v>
          </cell>
          <cell r="CF50">
            <v>3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</row>
        <row r="51">
          <cell r="A51">
            <v>43390</v>
          </cell>
          <cell r="B51">
            <v>0.83680555555555547</v>
          </cell>
          <cell r="C51">
            <v>0.79513888888888884</v>
          </cell>
          <cell r="D51" t="str">
            <v>Daylight</v>
          </cell>
          <cell r="G51" t="str">
            <v>DUB @ CR</v>
          </cell>
          <cell r="H51" t="str">
            <v>Vs. Conference</v>
          </cell>
          <cell r="I51" t="str">
            <v>DUBUQUE</v>
          </cell>
          <cell r="AC51">
            <v>14</v>
          </cell>
          <cell r="AD51">
            <v>7</v>
          </cell>
          <cell r="AJ51">
            <v>0</v>
          </cell>
          <cell r="AK51">
            <v>0</v>
          </cell>
          <cell r="AN51">
            <v>7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BA51" t="str">
            <v>CEDAR RAPIDS</v>
          </cell>
          <cell r="BU51">
            <v>8</v>
          </cell>
          <cell r="BV51">
            <v>4</v>
          </cell>
          <cell r="CB51">
            <v>0</v>
          </cell>
          <cell r="CC51">
            <v>0</v>
          </cell>
          <cell r="CF51">
            <v>4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</row>
        <row r="52">
          <cell r="A52">
            <v>43391</v>
          </cell>
          <cell r="B52">
            <v>0.83680555555555547</v>
          </cell>
          <cell r="C52">
            <v>0.79513888888888884</v>
          </cell>
          <cell r="D52" t="str">
            <v>Daylight</v>
          </cell>
          <cell r="G52" t="str">
            <v>SC @ FGO</v>
          </cell>
          <cell r="H52" t="str">
            <v>Vs. Conference</v>
          </cell>
          <cell r="I52" t="str">
            <v>SIOUX CITY</v>
          </cell>
          <cell r="AC52">
            <v>12</v>
          </cell>
          <cell r="AD52">
            <v>6</v>
          </cell>
          <cell r="AJ52">
            <v>0</v>
          </cell>
          <cell r="AK52">
            <v>0</v>
          </cell>
          <cell r="AN52">
            <v>6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BA52" t="str">
            <v>FARGO</v>
          </cell>
          <cell r="BU52">
            <v>10</v>
          </cell>
          <cell r="BV52">
            <v>5</v>
          </cell>
          <cell r="CB52">
            <v>0</v>
          </cell>
          <cell r="CC52">
            <v>0</v>
          </cell>
          <cell r="CF52">
            <v>5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</row>
        <row r="53">
          <cell r="A53">
            <v>43391</v>
          </cell>
          <cell r="B53">
            <v>0.83680555555555547</v>
          </cell>
          <cell r="C53">
            <v>0.79513888888888884</v>
          </cell>
          <cell r="D53" t="str">
            <v>Daylight</v>
          </cell>
          <cell r="G53" t="str">
            <v>YNG @ WAT</v>
          </cell>
          <cell r="H53" t="str">
            <v>Vs. Non-Conference</v>
          </cell>
          <cell r="I53" t="str">
            <v>YOUNGSTOWN</v>
          </cell>
          <cell r="AC53">
            <v>34</v>
          </cell>
          <cell r="AD53">
            <v>9</v>
          </cell>
          <cell r="AJ53">
            <v>0</v>
          </cell>
          <cell r="AK53">
            <v>0</v>
          </cell>
          <cell r="AN53">
            <v>7</v>
          </cell>
          <cell r="AO53">
            <v>0</v>
          </cell>
          <cell r="AP53">
            <v>2</v>
          </cell>
          <cell r="AQ53">
            <v>0</v>
          </cell>
          <cell r="AR53">
            <v>0</v>
          </cell>
          <cell r="AS53">
            <v>0</v>
          </cell>
          <cell r="BA53" t="str">
            <v>WATERLOO</v>
          </cell>
          <cell r="BU53">
            <v>58</v>
          </cell>
          <cell r="BV53">
            <v>10</v>
          </cell>
          <cell r="CB53">
            <v>0</v>
          </cell>
          <cell r="CC53">
            <v>0</v>
          </cell>
          <cell r="CF53">
            <v>4</v>
          </cell>
          <cell r="CG53">
            <v>2</v>
          </cell>
          <cell r="CH53">
            <v>2</v>
          </cell>
          <cell r="CI53">
            <v>2</v>
          </cell>
          <cell r="CJ53">
            <v>0</v>
          </cell>
          <cell r="CK53">
            <v>0</v>
          </cell>
        </row>
        <row r="54">
          <cell r="A54">
            <v>43392</v>
          </cell>
          <cell r="B54">
            <v>0.83680555555555547</v>
          </cell>
          <cell r="C54">
            <v>0.79513888888888884</v>
          </cell>
          <cell r="D54" t="str">
            <v>Daylight</v>
          </cell>
          <cell r="G54" t="str">
            <v>MUS @ CHI</v>
          </cell>
          <cell r="H54" t="str">
            <v>Vs. Conference</v>
          </cell>
          <cell r="I54" t="str">
            <v>MUSKEGON</v>
          </cell>
          <cell r="AC54">
            <v>12</v>
          </cell>
          <cell r="AD54">
            <v>6</v>
          </cell>
          <cell r="AJ54">
            <v>0</v>
          </cell>
          <cell r="AK54">
            <v>0</v>
          </cell>
          <cell r="AN54">
            <v>6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BA54" t="str">
            <v>CHICAGO</v>
          </cell>
          <cell r="BU54">
            <v>4</v>
          </cell>
          <cell r="BV54">
            <v>2</v>
          </cell>
          <cell r="CB54">
            <v>0</v>
          </cell>
          <cell r="CC54">
            <v>0</v>
          </cell>
          <cell r="CF54">
            <v>2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</row>
        <row r="55">
          <cell r="A55">
            <v>43392</v>
          </cell>
          <cell r="B55">
            <v>0.83680555555555547</v>
          </cell>
          <cell r="C55">
            <v>0.79513888888888884</v>
          </cell>
          <cell r="D55" t="str">
            <v>Daylight</v>
          </cell>
          <cell r="G55" t="str">
            <v>TC @ DM</v>
          </cell>
          <cell r="H55" t="str">
            <v>Vs. Conference</v>
          </cell>
          <cell r="I55" t="str">
            <v>TRI-CITY</v>
          </cell>
          <cell r="AC55">
            <v>29</v>
          </cell>
          <cell r="AD55">
            <v>9</v>
          </cell>
          <cell r="AJ55">
            <v>0</v>
          </cell>
          <cell r="AK55">
            <v>0</v>
          </cell>
          <cell r="AN55">
            <v>7</v>
          </cell>
          <cell r="AO55">
            <v>1</v>
          </cell>
          <cell r="AP55">
            <v>1</v>
          </cell>
          <cell r="AQ55">
            <v>0</v>
          </cell>
          <cell r="AR55">
            <v>0</v>
          </cell>
          <cell r="AS55">
            <v>0</v>
          </cell>
          <cell r="BA55" t="str">
            <v>DES MOINES</v>
          </cell>
          <cell r="BU55">
            <v>33</v>
          </cell>
          <cell r="BV55">
            <v>7</v>
          </cell>
          <cell r="CB55">
            <v>0</v>
          </cell>
          <cell r="CC55">
            <v>0</v>
          </cell>
          <cell r="CF55">
            <v>4</v>
          </cell>
          <cell r="CG55">
            <v>1</v>
          </cell>
          <cell r="CH55">
            <v>2</v>
          </cell>
          <cell r="CI55">
            <v>0</v>
          </cell>
          <cell r="CJ55">
            <v>0</v>
          </cell>
          <cell r="CK55">
            <v>0</v>
          </cell>
        </row>
        <row r="56">
          <cell r="A56">
            <v>43392</v>
          </cell>
          <cell r="B56">
            <v>0.83680555555555547</v>
          </cell>
          <cell r="C56">
            <v>0.79513888888888884</v>
          </cell>
          <cell r="D56" t="str">
            <v>Daylight</v>
          </cell>
          <cell r="G56" t="str">
            <v>YNG @ DUB</v>
          </cell>
          <cell r="H56" t="str">
            <v>Vs. Conference</v>
          </cell>
          <cell r="I56" t="str">
            <v>YOUNGSTOWN</v>
          </cell>
          <cell r="AC56">
            <v>12</v>
          </cell>
          <cell r="AD56">
            <v>6</v>
          </cell>
          <cell r="AJ56">
            <v>0</v>
          </cell>
          <cell r="AK56">
            <v>0</v>
          </cell>
          <cell r="AN56">
            <v>6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BA56" t="str">
            <v>DUBUQUE</v>
          </cell>
          <cell r="BU56">
            <v>20</v>
          </cell>
          <cell r="BV56">
            <v>10</v>
          </cell>
          <cell r="CB56">
            <v>0</v>
          </cell>
          <cell r="CC56">
            <v>0</v>
          </cell>
          <cell r="CF56">
            <v>10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</row>
        <row r="57">
          <cell r="A57">
            <v>43392</v>
          </cell>
          <cell r="B57">
            <v>0.83680555555555547</v>
          </cell>
          <cell r="C57">
            <v>0.79513888888888884</v>
          </cell>
          <cell r="D57" t="str">
            <v>Daylight</v>
          </cell>
          <cell r="G57" t="str">
            <v>SC @ FGO</v>
          </cell>
          <cell r="H57" t="str">
            <v>Vs. Conference</v>
          </cell>
          <cell r="I57" t="str">
            <v>SIOUX CITY</v>
          </cell>
          <cell r="AC57">
            <v>16</v>
          </cell>
          <cell r="AD57">
            <v>8</v>
          </cell>
          <cell r="AJ57">
            <v>0</v>
          </cell>
          <cell r="AK57">
            <v>0</v>
          </cell>
          <cell r="AN57">
            <v>8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BA57" t="str">
            <v>FARGO</v>
          </cell>
          <cell r="BU57">
            <v>16</v>
          </cell>
          <cell r="BV57">
            <v>8</v>
          </cell>
          <cell r="CB57">
            <v>0</v>
          </cell>
          <cell r="CC57">
            <v>0</v>
          </cell>
          <cell r="CF57">
            <v>8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</row>
        <row r="58">
          <cell r="A58">
            <v>43392</v>
          </cell>
          <cell r="B58">
            <v>0.83680555555555547</v>
          </cell>
          <cell r="C58">
            <v>0.79513888888888884</v>
          </cell>
          <cell r="D58" t="str">
            <v>Daylight</v>
          </cell>
          <cell r="G58" t="str">
            <v>WAT @ SF</v>
          </cell>
          <cell r="H58" t="str">
            <v>Vs. Conference</v>
          </cell>
          <cell r="I58" t="str">
            <v>WATERLOO</v>
          </cell>
          <cell r="AC58">
            <v>23</v>
          </cell>
          <cell r="AD58">
            <v>6</v>
          </cell>
          <cell r="AJ58">
            <v>0</v>
          </cell>
          <cell r="AK58">
            <v>0</v>
          </cell>
          <cell r="AN58">
            <v>4</v>
          </cell>
          <cell r="AO58">
            <v>1</v>
          </cell>
          <cell r="AP58">
            <v>1</v>
          </cell>
          <cell r="AQ58">
            <v>0</v>
          </cell>
          <cell r="AR58">
            <v>0</v>
          </cell>
          <cell r="AS58">
            <v>0</v>
          </cell>
          <cell r="BA58" t="str">
            <v>SIOUX FALLS</v>
          </cell>
          <cell r="BU58">
            <v>25</v>
          </cell>
          <cell r="BV58">
            <v>7</v>
          </cell>
          <cell r="CB58">
            <v>0</v>
          </cell>
          <cell r="CC58">
            <v>0</v>
          </cell>
          <cell r="CF58">
            <v>5</v>
          </cell>
          <cell r="CG58">
            <v>1</v>
          </cell>
          <cell r="CH58">
            <v>1</v>
          </cell>
          <cell r="CI58">
            <v>0</v>
          </cell>
          <cell r="CJ58">
            <v>0</v>
          </cell>
          <cell r="CK58">
            <v>0</v>
          </cell>
        </row>
        <row r="59">
          <cell r="A59">
            <v>43392</v>
          </cell>
          <cell r="B59">
            <v>0.83680555555555547</v>
          </cell>
          <cell r="C59">
            <v>0.79513888888888884</v>
          </cell>
          <cell r="D59" t="str">
            <v>Daylight</v>
          </cell>
          <cell r="G59" t="str">
            <v>MAD @ LIN</v>
          </cell>
          <cell r="H59" t="str">
            <v>Vs. Non-Conference</v>
          </cell>
          <cell r="I59" t="str">
            <v>MADISON</v>
          </cell>
          <cell r="AC59">
            <v>4</v>
          </cell>
          <cell r="AD59">
            <v>3</v>
          </cell>
          <cell r="AJ59">
            <v>0</v>
          </cell>
          <cell r="AK59">
            <v>0</v>
          </cell>
          <cell r="AN59">
            <v>2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BA59" t="str">
            <v>LINCOLN</v>
          </cell>
          <cell r="BU59">
            <v>9</v>
          </cell>
          <cell r="BV59">
            <v>3</v>
          </cell>
          <cell r="CB59">
            <v>1</v>
          </cell>
          <cell r="CC59">
            <v>1</v>
          </cell>
          <cell r="CF59">
            <v>2</v>
          </cell>
          <cell r="CG59">
            <v>1</v>
          </cell>
          <cell r="CH59">
            <v>0</v>
          </cell>
          <cell r="CI59">
            <v>0</v>
          </cell>
          <cell r="CJ59">
            <v>0</v>
          </cell>
          <cell r="CK59">
            <v>1</v>
          </cell>
        </row>
        <row r="60">
          <cell r="A60">
            <v>43392</v>
          </cell>
          <cell r="B60">
            <v>0.83819444444444446</v>
          </cell>
          <cell r="C60">
            <v>0.79652777777777783</v>
          </cell>
          <cell r="D60" t="str">
            <v>Daylight</v>
          </cell>
          <cell r="G60" t="str">
            <v>USA @ CIL</v>
          </cell>
          <cell r="H60" t="str">
            <v>Vs. Conference</v>
          </cell>
          <cell r="I60" t="str">
            <v>TEAM USA</v>
          </cell>
          <cell r="AC60">
            <v>8</v>
          </cell>
          <cell r="AD60">
            <v>4</v>
          </cell>
          <cell r="AJ60">
            <v>0</v>
          </cell>
          <cell r="AK60">
            <v>0</v>
          </cell>
          <cell r="AN60">
            <v>4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BA60" t="str">
            <v>CENTRAL ILLINOIS</v>
          </cell>
          <cell r="BU60">
            <v>10</v>
          </cell>
          <cell r="BV60">
            <v>5</v>
          </cell>
          <cell r="CB60">
            <v>0</v>
          </cell>
          <cell r="CC60">
            <v>0</v>
          </cell>
          <cell r="CF60">
            <v>5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</row>
        <row r="61">
          <cell r="A61">
            <v>43393</v>
          </cell>
          <cell r="B61">
            <v>0.83680555555555547</v>
          </cell>
          <cell r="C61">
            <v>0.79513888888888884</v>
          </cell>
          <cell r="D61" t="str">
            <v>Daylight</v>
          </cell>
          <cell r="G61" t="str">
            <v>YNG @ CR</v>
          </cell>
          <cell r="H61" t="str">
            <v>Vs. Conference</v>
          </cell>
          <cell r="I61" t="str">
            <v>YOUNGSTOWN</v>
          </cell>
          <cell r="AC61">
            <v>27</v>
          </cell>
          <cell r="AD61">
            <v>8</v>
          </cell>
          <cell r="AJ61">
            <v>0</v>
          </cell>
          <cell r="AK61">
            <v>0</v>
          </cell>
          <cell r="AN61">
            <v>6</v>
          </cell>
          <cell r="AO61">
            <v>1</v>
          </cell>
          <cell r="AP61">
            <v>1</v>
          </cell>
          <cell r="AQ61">
            <v>0</v>
          </cell>
          <cell r="AR61">
            <v>0</v>
          </cell>
          <cell r="AS61">
            <v>0</v>
          </cell>
          <cell r="BA61" t="str">
            <v>CEDAR RAPIDS</v>
          </cell>
          <cell r="BU61">
            <v>23</v>
          </cell>
          <cell r="BV61">
            <v>6</v>
          </cell>
          <cell r="CB61">
            <v>0</v>
          </cell>
          <cell r="CC61">
            <v>0</v>
          </cell>
          <cell r="CF61">
            <v>4</v>
          </cell>
          <cell r="CG61">
            <v>1</v>
          </cell>
          <cell r="CH61">
            <v>1</v>
          </cell>
          <cell r="CI61">
            <v>0</v>
          </cell>
          <cell r="CJ61">
            <v>0</v>
          </cell>
          <cell r="CK61">
            <v>0</v>
          </cell>
        </row>
        <row r="62">
          <cell r="A62">
            <v>43393</v>
          </cell>
          <cell r="B62">
            <v>0.83680555555555547</v>
          </cell>
          <cell r="C62">
            <v>0.79513888888888884</v>
          </cell>
          <cell r="D62" t="str">
            <v>Daylight</v>
          </cell>
          <cell r="G62" t="str">
            <v>CHI @ GB</v>
          </cell>
          <cell r="H62" t="str">
            <v>Vs. Conference</v>
          </cell>
          <cell r="I62" t="str">
            <v>CHICAGO</v>
          </cell>
          <cell r="AC62">
            <v>10</v>
          </cell>
          <cell r="AD62">
            <v>5</v>
          </cell>
          <cell r="AJ62">
            <v>0</v>
          </cell>
          <cell r="AK62">
            <v>0</v>
          </cell>
          <cell r="AN62">
            <v>5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BA62" t="str">
            <v>GREEN BAY</v>
          </cell>
          <cell r="BU62">
            <v>8</v>
          </cell>
          <cell r="BV62">
            <v>4</v>
          </cell>
          <cell r="CB62">
            <v>0</v>
          </cell>
          <cell r="CC62">
            <v>0</v>
          </cell>
          <cell r="CF62">
            <v>4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</row>
        <row r="63">
          <cell r="A63">
            <v>43393</v>
          </cell>
          <cell r="B63">
            <v>0.83680555555555547</v>
          </cell>
          <cell r="C63">
            <v>0.79513888888888884</v>
          </cell>
          <cell r="D63" t="str">
            <v>Daylight</v>
          </cell>
          <cell r="G63" t="str">
            <v>WAT @ SC</v>
          </cell>
          <cell r="H63" t="str">
            <v>Vs. Conference</v>
          </cell>
          <cell r="I63" t="str">
            <v>WATERLOO</v>
          </cell>
          <cell r="AC63">
            <v>4</v>
          </cell>
          <cell r="AD63">
            <v>2</v>
          </cell>
          <cell r="AJ63">
            <v>0</v>
          </cell>
          <cell r="AK63">
            <v>0</v>
          </cell>
          <cell r="AN63">
            <v>2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BA63" t="str">
            <v>SIOUX CITY</v>
          </cell>
          <cell r="BU63">
            <v>19</v>
          </cell>
          <cell r="BV63">
            <v>4</v>
          </cell>
          <cell r="CB63">
            <v>0</v>
          </cell>
          <cell r="CC63">
            <v>0</v>
          </cell>
          <cell r="CF63">
            <v>2</v>
          </cell>
          <cell r="CG63">
            <v>1</v>
          </cell>
          <cell r="CH63">
            <v>0</v>
          </cell>
          <cell r="CI63">
            <v>1</v>
          </cell>
          <cell r="CJ63">
            <v>0</v>
          </cell>
          <cell r="CK63">
            <v>0</v>
          </cell>
        </row>
        <row r="64">
          <cell r="A64">
            <v>43393</v>
          </cell>
          <cell r="B64">
            <v>0.83680555555555547</v>
          </cell>
          <cell r="C64">
            <v>0.79513888888888884</v>
          </cell>
          <cell r="D64" t="str">
            <v>Daylight</v>
          </cell>
          <cell r="G64" t="str">
            <v>DM @ TC</v>
          </cell>
          <cell r="H64" t="str">
            <v>Vs. Conference</v>
          </cell>
          <cell r="I64" t="str">
            <v>DES MOINES</v>
          </cell>
          <cell r="AC64">
            <v>12</v>
          </cell>
          <cell r="AD64">
            <v>6</v>
          </cell>
          <cell r="AJ64">
            <v>0</v>
          </cell>
          <cell r="AK64">
            <v>0</v>
          </cell>
          <cell r="AN64">
            <v>6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BA64" t="str">
            <v>TRI-CITY</v>
          </cell>
          <cell r="BU64">
            <v>6</v>
          </cell>
          <cell r="BV64">
            <v>3</v>
          </cell>
          <cell r="CB64">
            <v>0</v>
          </cell>
          <cell r="CC64">
            <v>0</v>
          </cell>
          <cell r="CF64">
            <v>3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</row>
        <row r="65">
          <cell r="A65">
            <v>43393</v>
          </cell>
          <cell r="B65">
            <v>0.83680555555555547</v>
          </cell>
          <cell r="C65">
            <v>0.79513888888888884</v>
          </cell>
          <cell r="D65" t="str">
            <v>Daylight</v>
          </cell>
          <cell r="G65" t="str">
            <v>MAD @ SF</v>
          </cell>
          <cell r="H65" t="str">
            <v>Vs. Non-Conference</v>
          </cell>
          <cell r="I65" t="str">
            <v>MADISON</v>
          </cell>
          <cell r="AC65">
            <v>12</v>
          </cell>
          <cell r="AD65">
            <v>6</v>
          </cell>
          <cell r="AJ65">
            <v>0</v>
          </cell>
          <cell r="AK65">
            <v>0</v>
          </cell>
          <cell r="AN65">
            <v>6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BA65" t="str">
            <v>SIOUX FALLS</v>
          </cell>
          <cell r="BU65">
            <v>12</v>
          </cell>
          <cell r="BV65">
            <v>6</v>
          </cell>
          <cell r="CB65">
            <v>0</v>
          </cell>
          <cell r="CC65">
            <v>0</v>
          </cell>
          <cell r="CF65">
            <v>6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</row>
        <row r="66">
          <cell r="A66">
            <v>43393</v>
          </cell>
          <cell r="B66">
            <v>0.83819444444444446</v>
          </cell>
          <cell r="C66">
            <v>0.79652777777777783</v>
          </cell>
          <cell r="D66" t="str">
            <v>Daylight</v>
          </cell>
          <cell r="G66" t="str">
            <v>USA @ CIL</v>
          </cell>
          <cell r="H66" t="str">
            <v>Vs. Conference</v>
          </cell>
          <cell r="I66" t="str">
            <v>TEAM USA</v>
          </cell>
          <cell r="AC66">
            <v>37</v>
          </cell>
          <cell r="AD66">
            <v>9</v>
          </cell>
          <cell r="AJ66">
            <v>0</v>
          </cell>
          <cell r="AK66">
            <v>0</v>
          </cell>
          <cell r="AN66">
            <v>6</v>
          </cell>
          <cell r="AO66">
            <v>1</v>
          </cell>
          <cell r="AP66">
            <v>1</v>
          </cell>
          <cell r="AQ66">
            <v>1</v>
          </cell>
          <cell r="AR66">
            <v>0</v>
          </cell>
          <cell r="AS66">
            <v>0</v>
          </cell>
          <cell r="BA66" t="str">
            <v>CENTRAL ILLINOIS</v>
          </cell>
          <cell r="BU66">
            <v>31</v>
          </cell>
          <cell r="BV66">
            <v>6</v>
          </cell>
          <cell r="CB66">
            <v>0</v>
          </cell>
          <cell r="CC66">
            <v>0</v>
          </cell>
          <cell r="CF66">
            <v>3</v>
          </cell>
          <cell r="CG66">
            <v>1</v>
          </cell>
          <cell r="CH66">
            <v>1</v>
          </cell>
          <cell r="CI66">
            <v>1</v>
          </cell>
          <cell r="CJ66">
            <v>0</v>
          </cell>
          <cell r="CK66">
            <v>0</v>
          </cell>
        </row>
        <row r="67">
          <cell r="A67">
            <v>43394</v>
          </cell>
          <cell r="B67">
            <v>0.67013888888888884</v>
          </cell>
          <cell r="C67">
            <v>0.62847222222222221</v>
          </cell>
          <cell r="D67" t="str">
            <v>Daylight</v>
          </cell>
          <cell r="G67" t="str">
            <v>DUB @ GB</v>
          </cell>
          <cell r="H67" t="str">
            <v>Vs. Conference</v>
          </cell>
          <cell r="I67" t="str">
            <v>DUBUQUE</v>
          </cell>
          <cell r="AC67">
            <v>4</v>
          </cell>
          <cell r="AD67">
            <v>2</v>
          </cell>
          <cell r="AJ67">
            <v>0</v>
          </cell>
          <cell r="AK67">
            <v>0</v>
          </cell>
          <cell r="AN67">
            <v>2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BA67" t="str">
            <v>GREEN BAY</v>
          </cell>
          <cell r="BU67">
            <v>6</v>
          </cell>
          <cell r="BV67">
            <v>3</v>
          </cell>
          <cell r="CB67">
            <v>0</v>
          </cell>
          <cell r="CC67">
            <v>0</v>
          </cell>
          <cell r="CF67">
            <v>3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</row>
        <row r="68">
          <cell r="A68">
            <v>43394</v>
          </cell>
          <cell r="B68">
            <v>0.7534722222222221</v>
          </cell>
          <cell r="C68">
            <v>0.71180555555555547</v>
          </cell>
          <cell r="D68" t="str">
            <v>Daylight</v>
          </cell>
          <cell r="G68" t="str">
            <v>OMA @ TC</v>
          </cell>
          <cell r="H68" t="str">
            <v>Vs. Conference</v>
          </cell>
          <cell r="I68" t="str">
            <v>OMAHA</v>
          </cell>
          <cell r="AC68">
            <v>12</v>
          </cell>
          <cell r="AD68">
            <v>6</v>
          </cell>
          <cell r="AJ68">
            <v>0</v>
          </cell>
          <cell r="AK68">
            <v>0</v>
          </cell>
          <cell r="AN68">
            <v>6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BA68" t="str">
            <v>TRI-CITY</v>
          </cell>
          <cell r="BU68">
            <v>8</v>
          </cell>
          <cell r="BV68">
            <v>4</v>
          </cell>
          <cell r="CB68">
            <v>0</v>
          </cell>
          <cell r="CC68">
            <v>0</v>
          </cell>
          <cell r="CF68">
            <v>4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</row>
        <row r="69">
          <cell r="A69">
            <v>43396</v>
          </cell>
          <cell r="B69">
            <v>0.8159722222222221</v>
          </cell>
          <cell r="C69">
            <v>0.77430555555555547</v>
          </cell>
          <cell r="D69" t="str">
            <v>Daylight</v>
          </cell>
          <cell r="G69" t="str">
            <v>DM @ SC</v>
          </cell>
          <cell r="H69" t="str">
            <v>Vs. Conference</v>
          </cell>
          <cell r="I69" t="str">
            <v>DES MOINES</v>
          </cell>
          <cell r="AC69">
            <v>20</v>
          </cell>
          <cell r="AD69">
            <v>6</v>
          </cell>
          <cell r="AJ69">
            <v>0</v>
          </cell>
          <cell r="AK69">
            <v>0</v>
          </cell>
          <cell r="AN69">
            <v>5</v>
          </cell>
          <cell r="AO69">
            <v>0</v>
          </cell>
          <cell r="AP69">
            <v>1</v>
          </cell>
          <cell r="AQ69">
            <v>0</v>
          </cell>
          <cell r="AR69">
            <v>0</v>
          </cell>
          <cell r="AS69">
            <v>0</v>
          </cell>
          <cell r="BA69" t="str">
            <v>SIOUX CITY</v>
          </cell>
          <cell r="BU69">
            <v>12</v>
          </cell>
          <cell r="BV69">
            <v>6</v>
          </cell>
          <cell r="CB69">
            <v>0</v>
          </cell>
          <cell r="CC69">
            <v>0</v>
          </cell>
          <cell r="CF69">
            <v>6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</row>
        <row r="70">
          <cell r="A70">
            <v>43399</v>
          </cell>
          <cell r="B70">
            <v>0.79166666666666663</v>
          </cell>
          <cell r="C70">
            <v>0.75</v>
          </cell>
          <cell r="D70" t="str">
            <v>Daylight</v>
          </cell>
          <cell r="G70" t="str">
            <v>MUS @ USA</v>
          </cell>
          <cell r="H70" t="str">
            <v>Vs. Conference</v>
          </cell>
          <cell r="I70" t="str">
            <v>MUSKEGON</v>
          </cell>
          <cell r="AC70">
            <v>12</v>
          </cell>
          <cell r="AD70">
            <v>6</v>
          </cell>
          <cell r="AJ70">
            <v>0</v>
          </cell>
          <cell r="AK70">
            <v>0</v>
          </cell>
          <cell r="AN70">
            <v>6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BA70" t="str">
            <v>TEAM USA</v>
          </cell>
          <cell r="BU70">
            <v>6</v>
          </cell>
          <cell r="BV70">
            <v>3</v>
          </cell>
          <cell r="CB70">
            <v>0</v>
          </cell>
          <cell r="CC70">
            <v>0</v>
          </cell>
          <cell r="CF70">
            <v>3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</row>
        <row r="71">
          <cell r="A71">
            <v>43399</v>
          </cell>
          <cell r="B71">
            <v>0.79513888888888884</v>
          </cell>
          <cell r="C71">
            <v>0.75347222222222221</v>
          </cell>
          <cell r="D71" t="str">
            <v>Daylight</v>
          </cell>
          <cell r="G71" t="str">
            <v>DUB @ YNG</v>
          </cell>
          <cell r="H71" t="str">
            <v>Vs. Conference</v>
          </cell>
          <cell r="I71" t="str">
            <v>DUBUQUE</v>
          </cell>
          <cell r="AC71">
            <v>12</v>
          </cell>
          <cell r="AD71">
            <v>6</v>
          </cell>
          <cell r="AJ71">
            <v>1</v>
          </cell>
          <cell r="AK71">
            <v>1</v>
          </cell>
          <cell r="AN71">
            <v>6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1</v>
          </cell>
          <cell r="BA71" t="str">
            <v>YOUNGSTOWN</v>
          </cell>
          <cell r="BU71">
            <v>10</v>
          </cell>
          <cell r="BV71">
            <v>6</v>
          </cell>
          <cell r="CB71">
            <v>0</v>
          </cell>
          <cell r="CC71">
            <v>0</v>
          </cell>
          <cell r="CF71">
            <v>5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</row>
        <row r="72">
          <cell r="A72">
            <v>43399</v>
          </cell>
          <cell r="B72">
            <v>0.83680555555555547</v>
          </cell>
          <cell r="C72">
            <v>0.79513888888888884</v>
          </cell>
          <cell r="D72" t="str">
            <v>Daylight</v>
          </cell>
          <cell r="G72" t="str">
            <v>CIL @ MAD</v>
          </cell>
          <cell r="H72" t="str">
            <v>Vs. Conference</v>
          </cell>
          <cell r="I72" t="str">
            <v>CENTRAL ILLINOIS</v>
          </cell>
          <cell r="AC72">
            <v>18</v>
          </cell>
          <cell r="AD72">
            <v>9</v>
          </cell>
          <cell r="AJ72">
            <v>0</v>
          </cell>
          <cell r="AK72">
            <v>0</v>
          </cell>
          <cell r="AN72">
            <v>9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BA72" t="str">
            <v>MADISON</v>
          </cell>
          <cell r="BU72">
            <v>16</v>
          </cell>
          <cell r="BV72">
            <v>8</v>
          </cell>
          <cell r="CB72">
            <v>0</v>
          </cell>
          <cell r="CC72">
            <v>0</v>
          </cell>
          <cell r="CF72">
            <v>8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</row>
        <row r="73">
          <cell r="A73">
            <v>43399</v>
          </cell>
          <cell r="B73">
            <v>0.83680555555555547</v>
          </cell>
          <cell r="C73">
            <v>0.79513888888888884</v>
          </cell>
          <cell r="D73" t="str">
            <v>Daylight</v>
          </cell>
          <cell r="G73" t="str">
            <v>SC @ SF</v>
          </cell>
          <cell r="H73" t="str">
            <v>Vs. Conference</v>
          </cell>
          <cell r="I73" t="str">
            <v>SIOUX CITY</v>
          </cell>
          <cell r="AC73">
            <v>8</v>
          </cell>
          <cell r="AD73">
            <v>4</v>
          </cell>
          <cell r="AJ73">
            <v>0</v>
          </cell>
          <cell r="AK73">
            <v>0</v>
          </cell>
          <cell r="AN73">
            <v>4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BA73" t="str">
            <v>SIOUX FALLS</v>
          </cell>
          <cell r="BU73">
            <v>21</v>
          </cell>
          <cell r="BV73">
            <v>5</v>
          </cell>
          <cell r="CB73">
            <v>0</v>
          </cell>
          <cell r="CC73">
            <v>0</v>
          </cell>
          <cell r="CF73">
            <v>3</v>
          </cell>
          <cell r="CG73">
            <v>1</v>
          </cell>
          <cell r="CH73">
            <v>0</v>
          </cell>
          <cell r="CI73">
            <v>1</v>
          </cell>
          <cell r="CJ73">
            <v>0</v>
          </cell>
          <cell r="CK73">
            <v>0</v>
          </cell>
        </row>
        <row r="74">
          <cell r="A74">
            <v>43399</v>
          </cell>
          <cell r="B74">
            <v>0.83680555555555547</v>
          </cell>
          <cell r="C74">
            <v>0.79513888888888884</v>
          </cell>
          <cell r="D74" t="str">
            <v>Daylight</v>
          </cell>
          <cell r="G74" t="str">
            <v>FGO @ WAT</v>
          </cell>
          <cell r="H74" t="str">
            <v>Vs. Conference</v>
          </cell>
          <cell r="I74" t="str">
            <v>FARGO</v>
          </cell>
          <cell r="AC74">
            <v>12</v>
          </cell>
          <cell r="AD74">
            <v>6</v>
          </cell>
          <cell r="AJ74">
            <v>0</v>
          </cell>
          <cell r="AK74">
            <v>0</v>
          </cell>
          <cell r="AN74">
            <v>6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BA74" t="str">
            <v>WATERLOO</v>
          </cell>
          <cell r="BU74">
            <v>12</v>
          </cell>
          <cell r="BV74">
            <v>6</v>
          </cell>
          <cell r="CB74">
            <v>0</v>
          </cell>
          <cell r="CC74">
            <v>0</v>
          </cell>
          <cell r="CF74">
            <v>6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</row>
        <row r="75">
          <cell r="A75">
            <v>43399</v>
          </cell>
          <cell r="B75">
            <v>0.83680555555555547</v>
          </cell>
          <cell r="C75">
            <v>0.79513888888888884</v>
          </cell>
          <cell r="D75" t="str">
            <v>Daylight</v>
          </cell>
          <cell r="G75" t="str">
            <v>GB @ DM</v>
          </cell>
          <cell r="H75" t="str">
            <v>Vs. Non-Conference</v>
          </cell>
          <cell r="I75" t="str">
            <v>GREEN BAY</v>
          </cell>
          <cell r="AC75">
            <v>23</v>
          </cell>
          <cell r="AD75">
            <v>6</v>
          </cell>
          <cell r="AJ75">
            <v>0</v>
          </cell>
          <cell r="AK75">
            <v>0</v>
          </cell>
          <cell r="AN75">
            <v>4</v>
          </cell>
          <cell r="AO75">
            <v>1</v>
          </cell>
          <cell r="AP75">
            <v>1</v>
          </cell>
          <cell r="AQ75">
            <v>0</v>
          </cell>
          <cell r="AR75">
            <v>0</v>
          </cell>
          <cell r="AS75">
            <v>0</v>
          </cell>
          <cell r="BA75" t="str">
            <v>DES MOINES</v>
          </cell>
          <cell r="BU75">
            <v>25</v>
          </cell>
          <cell r="BV75">
            <v>7</v>
          </cell>
          <cell r="CB75">
            <v>0</v>
          </cell>
          <cell r="CC75">
            <v>0</v>
          </cell>
          <cell r="CF75">
            <v>5</v>
          </cell>
          <cell r="CG75">
            <v>1</v>
          </cell>
          <cell r="CH75">
            <v>1</v>
          </cell>
          <cell r="CI75">
            <v>0</v>
          </cell>
          <cell r="CJ75">
            <v>0</v>
          </cell>
          <cell r="CK75">
            <v>0</v>
          </cell>
        </row>
        <row r="76">
          <cell r="A76">
            <v>43399</v>
          </cell>
          <cell r="B76">
            <v>0.83680555555555547</v>
          </cell>
          <cell r="C76">
            <v>0.79513888888888884</v>
          </cell>
          <cell r="D76" t="str">
            <v>Daylight</v>
          </cell>
          <cell r="G76" t="str">
            <v>CR @ LIN</v>
          </cell>
          <cell r="H76" t="str">
            <v>Vs. Non-Conference</v>
          </cell>
          <cell r="I76" t="str">
            <v>CEDAR RAPIDS</v>
          </cell>
          <cell r="AC76">
            <v>38</v>
          </cell>
          <cell r="AD76">
            <v>11</v>
          </cell>
          <cell r="AJ76">
            <v>0</v>
          </cell>
          <cell r="AK76">
            <v>0</v>
          </cell>
          <cell r="AN76">
            <v>9</v>
          </cell>
          <cell r="AO76">
            <v>0</v>
          </cell>
          <cell r="AP76">
            <v>2</v>
          </cell>
          <cell r="AQ76">
            <v>0</v>
          </cell>
          <cell r="AR76">
            <v>0</v>
          </cell>
          <cell r="AS76">
            <v>0</v>
          </cell>
          <cell r="BA76" t="str">
            <v>LINCOLN</v>
          </cell>
          <cell r="BU76">
            <v>22</v>
          </cell>
          <cell r="BV76">
            <v>7</v>
          </cell>
          <cell r="CB76">
            <v>0</v>
          </cell>
          <cell r="CC76">
            <v>0</v>
          </cell>
          <cell r="CF76">
            <v>6</v>
          </cell>
          <cell r="CG76">
            <v>0</v>
          </cell>
          <cell r="CH76">
            <v>1</v>
          </cell>
          <cell r="CI76">
            <v>0</v>
          </cell>
          <cell r="CJ76">
            <v>0</v>
          </cell>
          <cell r="CK76">
            <v>0</v>
          </cell>
        </row>
        <row r="77">
          <cell r="A77">
            <v>43399</v>
          </cell>
          <cell r="B77">
            <v>0.85763888888888884</v>
          </cell>
          <cell r="C77">
            <v>0.81597222222222221</v>
          </cell>
          <cell r="D77" t="str">
            <v>Daylight</v>
          </cell>
          <cell r="G77" t="str">
            <v>TC @ OMA</v>
          </cell>
          <cell r="H77" t="str">
            <v>Vs. Conference</v>
          </cell>
          <cell r="I77" t="str">
            <v>TRI-CITY</v>
          </cell>
          <cell r="AC77">
            <v>16</v>
          </cell>
          <cell r="AD77">
            <v>8</v>
          </cell>
          <cell r="AJ77">
            <v>0</v>
          </cell>
          <cell r="AK77">
            <v>0</v>
          </cell>
          <cell r="AN77">
            <v>8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BA77" t="str">
            <v>OMAHA</v>
          </cell>
          <cell r="BU77">
            <v>18</v>
          </cell>
          <cell r="BV77">
            <v>9</v>
          </cell>
          <cell r="CB77">
            <v>0</v>
          </cell>
          <cell r="CC77">
            <v>0</v>
          </cell>
          <cell r="CF77">
            <v>9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</row>
        <row r="78">
          <cell r="A78">
            <v>43400</v>
          </cell>
          <cell r="B78">
            <v>0.79166666666666663</v>
          </cell>
          <cell r="C78">
            <v>0.75</v>
          </cell>
          <cell r="D78" t="str">
            <v>Daylight</v>
          </cell>
          <cell r="G78" t="str">
            <v>DUB @ USA</v>
          </cell>
          <cell r="H78" t="str">
            <v>Vs. Conference</v>
          </cell>
          <cell r="I78" t="str">
            <v>DUBUQUE</v>
          </cell>
          <cell r="AC78">
            <v>8</v>
          </cell>
          <cell r="AD78">
            <v>4</v>
          </cell>
          <cell r="AJ78">
            <v>0</v>
          </cell>
          <cell r="AK78">
            <v>0</v>
          </cell>
          <cell r="AN78">
            <v>4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BA78" t="str">
            <v>TEAM USA</v>
          </cell>
          <cell r="BU78">
            <v>6</v>
          </cell>
          <cell r="BV78">
            <v>3</v>
          </cell>
          <cell r="CB78">
            <v>0</v>
          </cell>
          <cell r="CC78">
            <v>0</v>
          </cell>
          <cell r="CF78">
            <v>3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</row>
        <row r="79">
          <cell r="A79">
            <v>43400</v>
          </cell>
          <cell r="B79">
            <v>0.80208333333333337</v>
          </cell>
          <cell r="C79">
            <v>0.76041666666666674</v>
          </cell>
          <cell r="D79" t="str">
            <v>Daylight</v>
          </cell>
          <cell r="G79" t="str">
            <v>USA @ MUS</v>
          </cell>
          <cell r="H79" t="str">
            <v>Vs. Conference</v>
          </cell>
          <cell r="I79" t="str">
            <v>TEAM USA</v>
          </cell>
          <cell r="AC79">
            <v>14</v>
          </cell>
          <cell r="AD79">
            <v>7</v>
          </cell>
          <cell r="AJ79">
            <v>0</v>
          </cell>
          <cell r="AK79">
            <v>0</v>
          </cell>
          <cell r="AN79">
            <v>7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BA79" t="str">
            <v>MUSKEGON</v>
          </cell>
          <cell r="BU79">
            <v>18</v>
          </cell>
          <cell r="BV79">
            <v>9</v>
          </cell>
          <cell r="CB79">
            <v>0</v>
          </cell>
          <cell r="CC79">
            <v>0</v>
          </cell>
          <cell r="CF79">
            <v>9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</row>
        <row r="80">
          <cell r="A80">
            <v>43400</v>
          </cell>
          <cell r="B80">
            <v>0.83680555555555547</v>
          </cell>
          <cell r="C80">
            <v>0.79513888888888884</v>
          </cell>
          <cell r="D80" t="str">
            <v>Daylight</v>
          </cell>
          <cell r="G80" t="str">
            <v>CHI @ CR</v>
          </cell>
          <cell r="H80" t="str">
            <v>Vs. Conference</v>
          </cell>
          <cell r="I80" t="str">
            <v>CHICAGO</v>
          </cell>
          <cell r="AC80">
            <v>8</v>
          </cell>
          <cell r="AD80">
            <v>4</v>
          </cell>
          <cell r="AJ80">
            <v>0</v>
          </cell>
          <cell r="AK80">
            <v>0</v>
          </cell>
          <cell r="AN80">
            <v>4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BA80" t="str">
            <v>CEDAR RAPIDS</v>
          </cell>
          <cell r="BU80">
            <v>14</v>
          </cell>
          <cell r="BV80">
            <v>3</v>
          </cell>
          <cell r="CB80">
            <v>0</v>
          </cell>
          <cell r="CC80">
            <v>0</v>
          </cell>
          <cell r="CF80">
            <v>2</v>
          </cell>
          <cell r="CG80">
            <v>0</v>
          </cell>
          <cell r="CH80">
            <v>1</v>
          </cell>
          <cell r="CI80">
            <v>0</v>
          </cell>
          <cell r="CJ80">
            <v>0</v>
          </cell>
          <cell r="CK80">
            <v>0</v>
          </cell>
        </row>
        <row r="81">
          <cell r="A81">
            <v>43400</v>
          </cell>
          <cell r="B81">
            <v>0.83680555555555547</v>
          </cell>
          <cell r="C81">
            <v>0.79513888888888884</v>
          </cell>
          <cell r="D81" t="str">
            <v>Daylight</v>
          </cell>
          <cell r="G81" t="str">
            <v>TC @ LIN</v>
          </cell>
          <cell r="H81" t="str">
            <v>Vs. Conference</v>
          </cell>
          <cell r="I81" t="str">
            <v>TRI-CITY</v>
          </cell>
          <cell r="AC81">
            <v>8</v>
          </cell>
          <cell r="AD81">
            <v>4</v>
          </cell>
          <cell r="AJ81">
            <v>0</v>
          </cell>
          <cell r="AK81">
            <v>0</v>
          </cell>
          <cell r="AN81">
            <v>4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BA81" t="str">
            <v>LINCOLN</v>
          </cell>
          <cell r="BU81">
            <v>10</v>
          </cell>
          <cell r="BV81">
            <v>5</v>
          </cell>
          <cell r="CB81">
            <v>0</v>
          </cell>
          <cell r="CC81">
            <v>0</v>
          </cell>
          <cell r="CF81">
            <v>5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</row>
        <row r="82">
          <cell r="A82">
            <v>43400</v>
          </cell>
          <cell r="B82">
            <v>0.83680555555555547</v>
          </cell>
          <cell r="C82">
            <v>0.79513888888888884</v>
          </cell>
          <cell r="D82" t="str">
            <v>Daylight</v>
          </cell>
          <cell r="G82" t="str">
            <v>DM @ OMA</v>
          </cell>
          <cell r="H82" t="str">
            <v>Vs. Conference</v>
          </cell>
          <cell r="I82" t="str">
            <v>DES MOINES</v>
          </cell>
          <cell r="AC82">
            <v>21</v>
          </cell>
          <cell r="AD82">
            <v>5</v>
          </cell>
          <cell r="AJ82">
            <v>0</v>
          </cell>
          <cell r="AK82">
            <v>0</v>
          </cell>
          <cell r="AN82">
            <v>3</v>
          </cell>
          <cell r="AO82">
            <v>1</v>
          </cell>
          <cell r="AP82">
            <v>1</v>
          </cell>
          <cell r="AQ82">
            <v>0</v>
          </cell>
          <cell r="AR82">
            <v>0</v>
          </cell>
          <cell r="AS82">
            <v>0</v>
          </cell>
          <cell r="BA82" t="str">
            <v>OMAHA</v>
          </cell>
          <cell r="BU82">
            <v>21</v>
          </cell>
          <cell r="BV82">
            <v>5</v>
          </cell>
          <cell r="CB82">
            <v>0</v>
          </cell>
          <cell r="CC82">
            <v>0</v>
          </cell>
          <cell r="CF82">
            <v>3</v>
          </cell>
          <cell r="CG82">
            <v>1</v>
          </cell>
          <cell r="CH82">
            <v>1</v>
          </cell>
          <cell r="CI82">
            <v>0</v>
          </cell>
          <cell r="CJ82">
            <v>0</v>
          </cell>
          <cell r="CK82">
            <v>0</v>
          </cell>
        </row>
        <row r="83">
          <cell r="A83">
            <v>43400</v>
          </cell>
          <cell r="B83">
            <v>0.83680555555555547</v>
          </cell>
          <cell r="C83">
            <v>0.79513888888888884</v>
          </cell>
          <cell r="D83" t="str">
            <v>Daylight</v>
          </cell>
          <cell r="G83" t="str">
            <v>SF @ SC</v>
          </cell>
          <cell r="H83" t="str">
            <v>Vs. Conference</v>
          </cell>
          <cell r="I83" t="str">
            <v>SIOUX FALLS</v>
          </cell>
          <cell r="AC83">
            <v>6</v>
          </cell>
          <cell r="AD83">
            <v>3</v>
          </cell>
          <cell r="AJ83">
            <v>0</v>
          </cell>
          <cell r="AK83">
            <v>0</v>
          </cell>
          <cell r="AN83">
            <v>3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BA83" t="str">
            <v>SIOUX CITY</v>
          </cell>
          <cell r="BU83">
            <v>8</v>
          </cell>
          <cell r="BV83">
            <v>4</v>
          </cell>
          <cell r="CB83">
            <v>0</v>
          </cell>
          <cell r="CC83">
            <v>0</v>
          </cell>
          <cell r="CF83">
            <v>4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</row>
        <row r="84">
          <cell r="A84">
            <v>43400</v>
          </cell>
          <cell r="B84">
            <v>0.83680555555555547</v>
          </cell>
          <cell r="C84">
            <v>0.79513888888888884</v>
          </cell>
          <cell r="D84" t="str">
            <v>Daylight</v>
          </cell>
          <cell r="G84" t="str">
            <v>FGO @ WAT</v>
          </cell>
          <cell r="H84" t="str">
            <v>Vs. Conference</v>
          </cell>
          <cell r="I84" t="str">
            <v>FARGO</v>
          </cell>
          <cell r="AC84">
            <v>4</v>
          </cell>
          <cell r="AD84">
            <v>2</v>
          </cell>
          <cell r="AJ84">
            <v>0</v>
          </cell>
          <cell r="AK84">
            <v>0</v>
          </cell>
          <cell r="AN84">
            <v>2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BA84" t="str">
            <v>WATERLOO</v>
          </cell>
          <cell r="BU84">
            <v>4</v>
          </cell>
          <cell r="BV84">
            <v>2</v>
          </cell>
          <cell r="CB84">
            <v>0</v>
          </cell>
          <cell r="CC84">
            <v>0</v>
          </cell>
          <cell r="CF84">
            <v>2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</row>
        <row r="85">
          <cell r="A85">
            <v>43400</v>
          </cell>
          <cell r="B85">
            <v>0.83819444444444446</v>
          </cell>
          <cell r="C85">
            <v>0.79652777777777783</v>
          </cell>
          <cell r="D85" t="str">
            <v>Daylight</v>
          </cell>
          <cell r="G85" t="str">
            <v>GB @ CIL</v>
          </cell>
          <cell r="H85" t="str">
            <v>Vs. Conference</v>
          </cell>
          <cell r="I85" t="str">
            <v>GREEN BAY</v>
          </cell>
          <cell r="AC85">
            <v>21</v>
          </cell>
          <cell r="AD85">
            <v>5</v>
          </cell>
          <cell r="AJ85">
            <v>0</v>
          </cell>
          <cell r="AK85">
            <v>0</v>
          </cell>
          <cell r="AN85">
            <v>3</v>
          </cell>
          <cell r="AO85">
            <v>1</v>
          </cell>
          <cell r="AP85">
            <v>1</v>
          </cell>
          <cell r="AQ85">
            <v>0</v>
          </cell>
          <cell r="AR85">
            <v>0</v>
          </cell>
          <cell r="AS85">
            <v>0</v>
          </cell>
          <cell r="BA85" t="str">
            <v>CENTRAL ILLINOIS</v>
          </cell>
          <cell r="BU85">
            <v>21</v>
          </cell>
          <cell r="BV85">
            <v>5</v>
          </cell>
          <cell r="CB85">
            <v>0</v>
          </cell>
          <cell r="CC85">
            <v>0</v>
          </cell>
          <cell r="CF85">
            <v>3</v>
          </cell>
          <cell r="CG85">
            <v>1</v>
          </cell>
          <cell r="CH85">
            <v>1</v>
          </cell>
          <cell r="CI85">
            <v>0</v>
          </cell>
          <cell r="CJ85">
            <v>0</v>
          </cell>
          <cell r="CK85">
            <v>0</v>
          </cell>
        </row>
        <row r="86">
          <cell r="A86">
            <v>43401</v>
          </cell>
          <cell r="B86">
            <v>0.58333333333333337</v>
          </cell>
          <cell r="C86">
            <v>0.54166666666666674</v>
          </cell>
          <cell r="D86" t="str">
            <v>Daylight</v>
          </cell>
          <cell r="G86" t="str">
            <v>DUB @ USA</v>
          </cell>
          <cell r="H86" t="str">
            <v>Vs. Conference</v>
          </cell>
          <cell r="I86" t="str">
            <v>DUBUQUE</v>
          </cell>
          <cell r="AC86">
            <v>10</v>
          </cell>
          <cell r="AD86">
            <v>5</v>
          </cell>
          <cell r="AJ86">
            <v>0</v>
          </cell>
          <cell r="AK86">
            <v>0</v>
          </cell>
          <cell r="AN86">
            <v>5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BA86" t="str">
            <v>TEAM USA</v>
          </cell>
          <cell r="BU86">
            <v>8</v>
          </cell>
          <cell r="BV86">
            <v>4</v>
          </cell>
          <cell r="CB86">
            <v>0</v>
          </cell>
          <cell r="CC86">
            <v>0</v>
          </cell>
          <cell r="CF86">
            <v>4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</row>
        <row r="87">
          <cell r="A87">
            <v>43403</v>
          </cell>
          <cell r="B87">
            <v>0.8159722222222221</v>
          </cell>
          <cell r="C87">
            <v>0.77430555555555547</v>
          </cell>
          <cell r="D87" t="str">
            <v>Daylight</v>
          </cell>
          <cell r="G87" t="str">
            <v>WAT @ SC</v>
          </cell>
          <cell r="H87" t="str">
            <v>Vs. Conference</v>
          </cell>
          <cell r="I87" t="str">
            <v>WATERLOO</v>
          </cell>
          <cell r="AC87">
            <v>27</v>
          </cell>
          <cell r="AD87">
            <v>8</v>
          </cell>
          <cell r="AJ87">
            <v>0</v>
          </cell>
          <cell r="AK87">
            <v>0</v>
          </cell>
          <cell r="AN87">
            <v>6</v>
          </cell>
          <cell r="AO87">
            <v>1</v>
          </cell>
          <cell r="AP87">
            <v>1</v>
          </cell>
          <cell r="AQ87">
            <v>0</v>
          </cell>
          <cell r="AR87">
            <v>0</v>
          </cell>
          <cell r="AS87">
            <v>0</v>
          </cell>
          <cell r="BA87" t="str">
            <v>SIOUX CITY</v>
          </cell>
          <cell r="BU87">
            <v>27</v>
          </cell>
          <cell r="BV87">
            <v>8</v>
          </cell>
          <cell r="CB87">
            <v>0</v>
          </cell>
          <cell r="CC87">
            <v>0</v>
          </cell>
          <cell r="CF87">
            <v>6</v>
          </cell>
          <cell r="CG87">
            <v>1</v>
          </cell>
          <cell r="CH87">
            <v>1</v>
          </cell>
          <cell r="CI87">
            <v>0</v>
          </cell>
          <cell r="CJ87">
            <v>0</v>
          </cell>
          <cell r="CK87">
            <v>0</v>
          </cell>
        </row>
        <row r="88">
          <cell r="A88">
            <v>43405</v>
          </cell>
          <cell r="B88">
            <v>0.4375</v>
          </cell>
          <cell r="C88">
            <v>0.39583333333333337</v>
          </cell>
          <cell r="D88" t="str">
            <v>Daylight</v>
          </cell>
          <cell r="G88" t="str">
            <v>USA @ MUS</v>
          </cell>
          <cell r="H88" t="str">
            <v>Vs. Conference</v>
          </cell>
          <cell r="I88" t="str">
            <v>TEAM USA</v>
          </cell>
          <cell r="AC88">
            <v>12</v>
          </cell>
          <cell r="AD88">
            <v>6</v>
          </cell>
          <cell r="AJ88">
            <v>0</v>
          </cell>
          <cell r="AK88">
            <v>0</v>
          </cell>
          <cell r="AN88">
            <v>6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BA88" t="str">
            <v>MUSKEGON</v>
          </cell>
          <cell r="BU88">
            <v>16</v>
          </cell>
          <cell r="BV88">
            <v>8</v>
          </cell>
          <cell r="CB88">
            <v>0</v>
          </cell>
          <cell r="CC88">
            <v>0</v>
          </cell>
          <cell r="CF88">
            <v>8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</row>
        <row r="89">
          <cell r="A89">
            <v>43406</v>
          </cell>
          <cell r="B89">
            <v>0.79513888888888884</v>
          </cell>
          <cell r="C89">
            <v>0.75347222222222221</v>
          </cell>
          <cell r="D89" t="str">
            <v>Daylight</v>
          </cell>
          <cell r="G89" t="str">
            <v>CIL @ YNG</v>
          </cell>
          <cell r="H89" t="str">
            <v>Vs. Conference</v>
          </cell>
          <cell r="I89" t="str">
            <v>CENTRAL ILLINOIS</v>
          </cell>
          <cell r="AC89">
            <v>16</v>
          </cell>
          <cell r="AD89">
            <v>8</v>
          </cell>
          <cell r="AJ89">
            <v>0</v>
          </cell>
          <cell r="AK89">
            <v>0</v>
          </cell>
          <cell r="AN89">
            <v>8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BA89" t="str">
            <v>YOUNGSTOWN</v>
          </cell>
          <cell r="BU89">
            <v>8</v>
          </cell>
          <cell r="BV89">
            <v>4</v>
          </cell>
          <cell r="CB89">
            <v>0</v>
          </cell>
          <cell r="CC89">
            <v>0</v>
          </cell>
          <cell r="CF89">
            <v>4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</row>
        <row r="90">
          <cell r="A90">
            <v>43406</v>
          </cell>
          <cell r="B90">
            <v>0.83680555555555547</v>
          </cell>
          <cell r="C90">
            <v>0.79513888888888884</v>
          </cell>
          <cell r="D90" t="str">
            <v>Daylight</v>
          </cell>
          <cell r="G90" t="str">
            <v>MAD @ CR</v>
          </cell>
          <cell r="H90" t="str">
            <v>Vs. Conference</v>
          </cell>
          <cell r="I90" t="str">
            <v>MADISON</v>
          </cell>
          <cell r="AC90">
            <v>16</v>
          </cell>
          <cell r="AD90">
            <v>8</v>
          </cell>
          <cell r="AJ90">
            <v>0</v>
          </cell>
          <cell r="AK90">
            <v>0</v>
          </cell>
          <cell r="AN90">
            <v>8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BA90" t="str">
            <v>CEDAR RAPIDS</v>
          </cell>
          <cell r="BU90">
            <v>14</v>
          </cell>
          <cell r="BV90">
            <v>7</v>
          </cell>
          <cell r="CB90">
            <v>0</v>
          </cell>
          <cell r="CC90">
            <v>0</v>
          </cell>
          <cell r="CF90">
            <v>7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</row>
        <row r="91">
          <cell r="A91">
            <v>43406</v>
          </cell>
          <cell r="B91">
            <v>0.83680555555555547</v>
          </cell>
          <cell r="C91">
            <v>0.79513888888888884</v>
          </cell>
          <cell r="D91" t="str">
            <v>Daylight</v>
          </cell>
          <cell r="G91" t="str">
            <v>GB @ CHI</v>
          </cell>
          <cell r="H91" t="str">
            <v>Vs. Conference</v>
          </cell>
          <cell r="I91" t="str">
            <v>GREEN BAY</v>
          </cell>
          <cell r="AC91">
            <v>8</v>
          </cell>
          <cell r="AD91">
            <v>4</v>
          </cell>
          <cell r="AJ91">
            <v>0</v>
          </cell>
          <cell r="AK91">
            <v>0</v>
          </cell>
          <cell r="AN91">
            <v>4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BA91" t="str">
            <v>CHICAGO</v>
          </cell>
          <cell r="BU91">
            <v>4</v>
          </cell>
          <cell r="BV91">
            <v>2</v>
          </cell>
          <cell r="CB91">
            <v>0</v>
          </cell>
          <cell r="CC91">
            <v>0</v>
          </cell>
          <cell r="CF91">
            <v>2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</row>
        <row r="92">
          <cell r="A92">
            <v>43406</v>
          </cell>
          <cell r="B92">
            <v>0.83680555555555547</v>
          </cell>
          <cell r="C92">
            <v>0.79513888888888884</v>
          </cell>
          <cell r="D92" t="str">
            <v>Daylight</v>
          </cell>
          <cell r="G92" t="str">
            <v>TC @ DM</v>
          </cell>
          <cell r="H92" t="str">
            <v>Vs. Conference</v>
          </cell>
          <cell r="I92" t="str">
            <v>TRI-CITY</v>
          </cell>
          <cell r="AC92">
            <v>32</v>
          </cell>
          <cell r="AD92">
            <v>12</v>
          </cell>
          <cell r="AJ92">
            <v>0</v>
          </cell>
          <cell r="AK92">
            <v>0</v>
          </cell>
          <cell r="AN92">
            <v>11</v>
          </cell>
          <cell r="AO92">
            <v>0</v>
          </cell>
          <cell r="AP92">
            <v>1</v>
          </cell>
          <cell r="AQ92">
            <v>0</v>
          </cell>
          <cell r="AR92">
            <v>0</v>
          </cell>
          <cell r="AS92">
            <v>0</v>
          </cell>
          <cell r="BA92" t="str">
            <v>DES MOINES</v>
          </cell>
          <cell r="BU92">
            <v>18</v>
          </cell>
          <cell r="BV92">
            <v>9</v>
          </cell>
          <cell r="CB92">
            <v>0</v>
          </cell>
          <cell r="CC92">
            <v>0</v>
          </cell>
          <cell r="CF92">
            <v>9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</row>
        <row r="93">
          <cell r="A93">
            <v>43406</v>
          </cell>
          <cell r="B93">
            <v>0.83680555555555547</v>
          </cell>
          <cell r="C93">
            <v>0.79513888888888884</v>
          </cell>
          <cell r="D93" t="str">
            <v>Daylight</v>
          </cell>
          <cell r="G93" t="str">
            <v>SC @ FGO</v>
          </cell>
          <cell r="H93" t="str">
            <v>Vs. Conference</v>
          </cell>
          <cell r="I93" t="str">
            <v>SIOUX CITY</v>
          </cell>
          <cell r="AC93">
            <v>4</v>
          </cell>
          <cell r="AD93">
            <v>2</v>
          </cell>
          <cell r="AJ93">
            <v>0</v>
          </cell>
          <cell r="AK93">
            <v>0</v>
          </cell>
          <cell r="AN93">
            <v>2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BA93" t="str">
            <v>FARGO</v>
          </cell>
          <cell r="BU93">
            <v>4</v>
          </cell>
          <cell r="BV93">
            <v>2</v>
          </cell>
          <cell r="CB93">
            <v>0</v>
          </cell>
          <cell r="CC93">
            <v>0</v>
          </cell>
          <cell r="CF93">
            <v>2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</row>
        <row r="94">
          <cell r="A94">
            <v>43406</v>
          </cell>
          <cell r="B94">
            <v>0.83680555555555547</v>
          </cell>
          <cell r="C94">
            <v>0.79513888888888884</v>
          </cell>
          <cell r="D94" t="str">
            <v>Daylight</v>
          </cell>
          <cell r="G94" t="str">
            <v>OMA @ LIN</v>
          </cell>
          <cell r="H94" t="str">
            <v>Vs. Conference</v>
          </cell>
          <cell r="I94" t="str">
            <v>OMAHA</v>
          </cell>
          <cell r="AC94">
            <v>12</v>
          </cell>
          <cell r="AD94">
            <v>6</v>
          </cell>
          <cell r="AJ94">
            <v>0</v>
          </cell>
          <cell r="AK94">
            <v>0</v>
          </cell>
          <cell r="AN94">
            <v>6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BA94" t="str">
            <v>LINCOLN</v>
          </cell>
          <cell r="BU94">
            <v>10</v>
          </cell>
          <cell r="BV94">
            <v>5</v>
          </cell>
          <cell r="CB94">
            <v>0</v>
          </cell>
          <cell r="CC94">
            <v>0</v>
          </cell>
          <cell r="CF94">
            <v>5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</row>
        <row r="95">
          <cell r="A95">
            <v>43406</v>
          </cell>
          <cell r="B95">
            <v>0.83680555555555547</v>
          </cell>
          <cell r="C95">
            <v>0.79513888888888884</v>
          </cell>
          <cell r="D95" t="str">
            <v>Daylight</v>
          </cell>
          <cell r="G95" t="str">
            <v>DUB @ WAT</v>
          </cell>
          <cell r="H95" t="str">
            <v>Vs. Non-Conference</v>
          </cell>
          <cell r="I95" t="str">
            <v>DUBUQUE</v>
          </cell>
          <cell r="AC95">
            <v>34</v>
          </cell>
          <cell r="AD95">
            <v>9</v>
          </cell>
          <cell r="AJ95">
            <v>0</v>
          </cell>
          <cell r="AK95">
            <v>0</v>
          </cell>
          <cell r="AN95">
            <v>7</v>
          </cell>
          <cell r="AO95">
            <v>0</v>
          </cell>
          <cell r="AP95">
            <v>1</v>
          </cell>
          <cell r="AQ95">
            <v>1</v>
          </cell>
          <cell r="AR95">
            <v>0</v>
          </cell>
          <cell r="AS95">
            <v>0</v>
          </cell>
          <cell r="BA95" t="str">
            <v>WATERLOO</v>
          </cell>
          <cell r="BU95">
            <v>6</v>
          </cell>
          <cell r="BV95">
            <v>3</v>
          </cell>
          <cell r="CB95">
            <v>0</v>
          </cell>
          <cell r="CC95">
            <v>0</v>
          </cell>
          <cell r="CF95">
            <v>3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</row>
        <row r="96">
          <cell r="A96">
            <v>43407</v>
          </cell>
          <cell r="B96">
            <v>0.79513888888888884</v>
          </cell>
          <cell r="C96">
            <v>0.75347222222222221</v>
          </cell>
          <cell r="D96" t="str">
            <v>Daylight</v>
          </cell>
          <cell r="G96" t="str">
            <v>CIL @ YNG</v>
          </cell>
          <cell r="H96" t="str">
            <v>Vs. Conference</v>
          </cell>
          <cell r="I96" t="str">
            <v>CENTRAL ILLINOIS</v>
          </cell>
          <cell r="AC96">
            <v>27</v>
          </cell>
          <cell r="AD96">
            <v>8</v>
          </cell>
          <cell r="AJ96">
            <v>0</v>
          </cell>
          <cell r="AK96">
            <v>0</v>
          </cell>
          <cell r="AN96">
            <v>6</v>
          </cell>
          <cell r="AO96">
            <v>1</v>
          </cell>
          <cell r="AP96">
            <v>0</v>
          </cell>
          <cell r="AQ96">
            <v>1</v>
          </cell>
          <cell r="AR96">
            <v>0</v>
          </cell>
          <cell r="AS96">
            <v>0</v>
          </cell>
          <cell r="BA96" t="str">
            <v>YOUNGSTOWN</v>
          </cell>
          <cell r="BU96">
            <v>14</v>
          </cell>
          <cell r="BV96">
            <v>7</v>
          </cell>
          <cell r="CB96">
            <v>0</v>
          </cell>
          <cell r="CC96">
            <v>0</v>
          </cell>
          <cell r="CF96">
            <v>7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</row>
        <row r="97">
          <cell r="A97">
            <v>43407</v>
          </cell>
          <cell r="B97">
            <v>0.83680555555555547</v>
          </cell>
          <cell r="C97">
            <v>0.79513888888888884</v>
          </cell>
          <cell r="D97" t="str">
            <v>Daylight</v>
          </cell>
          <cell r="G97" t="str">
            <v>GB @ CR</v>
          </cell>
          <cell r="H97" t="str">
            <v>Vs. Conference</v>
          </cell>
          <cell r="I97" t="str">
            <v>GREEN BAY</v>
          </cell>
          <cell r="AC97">
            <v>26</v>
          </cell>
          <cell r="AD97">
            <v>9</v>
          </cell>
          <cell r="AJ97">
            <v>0</v>
          </cell>
          <cell r="AK97">
            <v>0</v>
          </cell>
          <cell r="AN97">
            <v>8</v>
          </cell>
          <cell r="AO97">
            <v>0</v>
          </cell>
          <cell r="AP97">
            <v>1</v>
          </cell>
          <cell r="AQ97">
            <v>0</v>
          </cell>
          <cell r="AR97">
            <v>0</v>
          </cell>
          <cell r="AS97">
            <v>0</v>
          </cell>
          <cell r="BA97" t="str">
            <v>CEDAR RAPIDS</v>
          </cell>
          <cell r="BU97">
            <v>20</v>
          </cell>
          <cell r="BV97">
            <v>6</v>
          </cell>
          <cell r="CB97">
            <v>0</v>
          </cell>
          <cell r="CC97">
            <v>0</v>
          </cell>
          <cell r="CF97">
            <v>5</v>
          </cell>
          <cell r="CG97">
            <v>0</v>
          </cell>
          <cell r="CH97">
            <v>1</v>
          </cell>
          <cell r="CI97">
            <v>0</v>
          </cell>
          <cell r="CJ97">
            <v>0</v>
          </cell>
          <cell r="CK97">
            <v>0</v>
          </cell>
        </row>
        <row r="98">
          <cell r="A98">
            <v>43407</v>
          </cell>
          <cell r="B98">
            <v>0.83680555555555547</v>
          </cell>
          <cell r="C98">
            <v>0.79513888888888884</v>
          </cell>
          <cell r="D98" t="str">
            <v>Daylight</v>
          </cell>
          <cell r="G98" t="str">
            <v>MUS @ CHI</v>
          </cell>
          <cell r="H98" t="str">
            <v>Vs. Conference</v>
          </cell>
          <cell r="I98" t="str">
            <v>MUSKEGON</v>
          </cell>
          <cell r="AC98">
            <v>12</v>
          </cell>
          <cell r="AD98">
            <v>6</v>
          </cell>
          <cell r="AJ98">
            <v>0</v>
          </cell>
          <cell r="AK98">
            <v>0</v>
          </cell>
          <cell r="AN98">
            <v>6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BA98" t="str">
            <v>CHICAGO</v>
          </cell>
          <cell r="BU98">
            <v>6</v>
          </cell>
          <cell r="BV98">
            <v>3</v>
          </cell>
          <cell r="CB98">
            <v>0</v>
          </cell>
          <cell r="CC98">
            <v>0</v>
          </cell>
          <cell r="CF98">
            <v>3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</row>
        <row r="99">
          <cell r="A99">
            <v>43407</v>
          </cell>
          <cell r="B99">
            <v>0.83680555555555547</v>
          </cell>
          <cell r="C99">
            <v>0.79513888888888884</v>
          </cell>
          <cell r="D99" t="str">
            <v>Daylight</v>
          </cell>
          <cell r="G99" t="str">
            <v>OMA @ SC</v>
          </cell>
          <cell r="H99" t="str">
            <v>Vs. Conference</v>
          </cell>
          <cell r="I99" t="str">
            <v>OMAHA</v>
          </cell>
          <cell r="AC99">
            <v>6</v>
          </cell>
          <cell r="AD99">
            <v>3</v>
          </cell>
          <cell r="AJ99">
            <v>0</v>
          </cell>
          <cell r="AK99">
            <v>0</v>
          </cell>
          <cell r="AN99">
            <v>3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BA99" t="str">
            <v>SIOUX CITY</v>
          </cell>
          <cell r="BU99">
            <v>4</v>
          </cell>
          <cell r="BV99">
            <v>2</v>
          </cell>
          <cell r="CB99">
            <v>0</v>
          </cell>
          <cell r="CC99">
            <v>0</v>
          </cell>
          <cell r="CF99">
            <v>2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</row>
        <row r="100">
          <cell r="A100">
            <v>43407</v>
          </cell>
          <cell r="B100">
            <v>0.83680555555555547</v>
          </cell>
          <cell r="C100">
            <v>0.79513888888888884</v>
          </cell>
          <cell r="D100" t="str">
            <v>Daylight</v>
          </cell>
          <cell r="G100" t="str">
            <v>FGO @ SF</v>
          </cell>
          <cell r="H100" t="str">
            <v>Vs. Conference</v>
          </cell>
          <cell r="I100" t="str">
            <v>FARGO</v>
          </cell>
          <cell r="AC100">
            <v>27</v>
          </cell>
          <cell r="AD100">
            <v>8</v>
          </cell>
          <cell r="AJ100">
            <v>0</v>
          </cell>
          <cell r="AK100">
            <v>0</v>
          </cell>
          <cell r="AN100">
            <v>6</v>
          </cell>
          <cell r="AO100">
            <v>1</v>
          </cell>
          <cell r="AP100">
            <v>1</v>
          </cell>
          <cell r="AQ100">
            <v>0</v>
          </cell>
          <cell r="AR100">
            <v>0</v>
          </cell>
          <cell r="AS100">
            <v>0</v>
          </cell>
          <cell r="BA100" t="str">
            <v>SIOUX FALLS</v>
          </cell>
          <cell r="BU100">
            <v>25</v>
          </cell>
          <cell r="BV100">
            <v>7</v>
          </cell>
          <cell r="CB100">
            <v>0</v>
          </cell>
          <cell r="CC100">
            <v>0</v>
          </cell>
          <cell r="CF100">
            <v>5</v>
          </cell>
          <cell r="CG100">
            <v>1</v>
          </cell>
          <cell r="CH100">
            <v>1</v>
          </cell>
          <cell r="CI100">
            <v>0</v>
          </cell>
          <cell r="CJ100">
            <v>0</v>
          </cell>
          <cell r="CK100">
            <v>0</v>
          </cell>
        </row>
        <row r="101">
          <cell r="A101">
            <v>43407</v>
          </cell>
          <cell r="B101">
            <v>0.83680555555555547</v>
          </cell>
          <cell r="C101">
            <v>0.79513888888888884</v>
          </cell>
          <cell r="D101" t="str">
            <v>Daylight</v>
          </cell>
          <cell r="G101" t="str">
            <v>WAT @ DUB</v>
          </cell>
          <cell r="H101" t="str">
            <v>Vs. Non-Conference</v>
          </cell>
          <cell r="I101" t="str">
            <v>WATERLOO</v>
          </cell>
          <cell r="AC101">
            <v>4</v>
          </cell>
          <cell r="AD101">
            <v>2</v>
          </cell>
          <cell r="AJ101">
            <v>0</v>
          </cell>
          <cell r="AK101">
            <v>0</v>
          </cell>
          <cell r="AN101">
            <v>2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BA101" t="str">
            <v>DUBUQUE</v>
          </cell>
          <cell r="BU101">
            <v>8</v>
          </cell>
          <cell r="BV101">
            <v>4</v>
          </cell>
          <cell r="CB101">
            <v>0</v>
          </cell>
          <cell r="CC101">
            <v>0</v>
          </cell>
          <cell r="CF101">
            <v>4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</row>
        <row r="102">
          <cell r="A102">
            <v>43408</v>
          </cell>
          <cell r="B102">
            <v>0.67013888888888884</v>
          </cell>
          <cell r="C102">
            <v>0.62847222222222221</v>
          </cell>
          <cell r="D102" t="str">
            <v>Standard</v>
          </cell>
          <cell r="G102" t="str">
            <v>SF @ DM</v>
          </cell>
          <cell r="H102" t="str">
            <v>Vs. Conference</v>
          </cell>
          <cell r="I102" t="str">
            <v>SIOUX FALLS</v>
          </cell>
          <cell r="AC102">
            <v>12</v>
          </cell>
          <cell r="AD102">
            <v>6</v>
          </cell>
          <cell r="AJ102">
            <v>0</v>
          </cell>
          <cell r="AK102">
            <v>0</v>
          </cell>
          <cell r="AN102">
            <v>6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BA102" t="str">
            <v>DES MOINES</v>
          </cell>
          <cell r="BU102">
            <v>12</v>
          </cell>
          <cell r="BV102">
            <v>6</v>
          </cell>
          <cell r="CB102">
            <v>0</v>
          </cell>
          <cell r="CC102">
            <v>0</v>
          </cell>
          <cell r="CF102">
            <v>6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</row>
        <row r="103">
          <cell r="A103">
            <v>43409</v>
          </cell>
          <cell r="B103">
            <v>0.41666666666666669</v>
          </cell>
          <cell r="C103">
            <v>0.37500000000000006</v>
          </cell>
          <cell r="D103" t="str">
            <v>Standard</v>
          </cell>
          <cell r="G103" t="str">
            <v>CIL @ YNG</v>
          </cell>
          <cell r="H103" t="str">
            <v>Vs. Conference</v>
          </cell>
          <cell r="I103" t="str">
            <v>CENTRAL ILLINOIS</v>
          </cell>
          <cell r="AC103">
            <v>16</v>
          </cell>
          <cell r="AD103">
            <v>8</v>
          </cell>
          <cell r="AJ103">
            <v>0</v>
          </cell>
          <cell r="AK103">
            <v>0</v>
          </cell>
          <cell r="AN103">
            <v>8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BA103" t="str">
            <v>YOUNGSTOWN</v>
          </cell>
          <cell r="BU103">
            <v>14</v>
          </cell>
          <cell r="BV103">
            <v>7</v>
          </cell>
          <cell r="CB103">
            <v>0</v>
          </cell>
          <cell r="CC103">
            <v>0</v>
          </cell>
          <cell r="CF103">
            <v>7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</row>
        <row r="104">
          <cell r="A104">
            <v>43410</v>
          </cell>
          <cell r="B104">
            <v>0.83680555555555547</v>
          </cell>
          <cell r="C104">
            <v>0.79513888888888884</v>
          </cell>
          <cell r="D104" t="str">
            <v>Standard</v>
          </cell>
          <cell r="G104" t="str">
            <v>OMA @ TC</v>
          </cell>
          <cell r="H104" t="str">
            <v>Vs. Conference</v>
          </cell>
          <cell r="I104" t="str">
            <v>OMAHA</v>
          </cell>
          <cell r="AC104">
            <v>10</v>
          </cell>
          <cell r="AD104">
            <v>5</v>
          </cell>
          <cell r="AJ104">
            <v>0</v>
          </cell>
          <cell r="AK104">
            <v>0</v>
          </cell>
          <cell r="AN104">
            <v>5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BA104" t="str">
            <v>TRI-CITY</v>
          </cell>
          <cell r="BU104">
            <v>8</v>
          </cell>
          <cell r="BV104">
            <v>4</v>
          </cell>
          <cell r="CB104">
            <v>0</v>
          </cell>
          <cell r="CC104">
            <v>0</v>
          </cell>
          <cell r="CF104">
            <v>4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</row>
        <row r="105">
          <cell r="A105">
            <v>43413</v>
          </cell>
          <cell r="B105">
            <v>0.80208333333333337</v>
          </cell>
          <cell r="C105">
            <v>0.76041666666666674</v>
          </cell>
          <cell r="D105" t="str">
            <v>Standard</v>
          </cell>
          <cell r="G105" t="str">
            <v>YNG @ MUS</v>
          </cell>
          <cell r="H105" t="str">
            <v>Vs. Conference</v>
          </cell>
          <cell r="I105" t="str">
            <v>YOUNGSTOWN</v>
          </cell>
          <cell r="AC105">
            <v>25</v>
          </cell>
          <cell r="AD105">
            <v>7</v>
          </cell>
          <cell r="AJ105">
            <v>0</v>
          </cell>
          <cell r="AK105">
            <v>0</v>
          </cell>
          <cell r="AN105">
            <v>5</v>
          </cell>
          <cell r="AO105">
            <v>1</v>
          </cell>
          <cell r="AP105">
            <v>0</v>
          </cell>
          <cell r="AQ105">
            <v>1</v>
          </cell>
          <cell r="AR105">
            <v>0</v>
          </cell>
          <cell r="AS105">
            <v>0</v>
          </cell>
          <cell r="BA105" t="str">
            <v>MUSKEGON</v>
          </cell>
          <cell r="BU105">
            <v>14</v>
          </cell>
          <cell r="BV105">
            <v>7</v>
          </cell>
          <cell r="CB105">
            <v>0</v>
          </cell>
          <cell r="CC105">
            <v>0</v>
          </cell>
          <cell r="CF105">
            <v>7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</row>
        <row r="106">
          <cell r="A106">
            <v>43413</v>
          </cell>
          <cell r="B106">
            <v>0.83680555555555547</v>
          </cell>
          <cell r="C106">
            <v>0.79513888888888884</v>
          </cell>
          <cell r="D106" t="str">
            <v>Standard</v>
          </cell>
          <cell r="G106" t="str">
            <v>CIL @ DUB</v>
          </cell>
          <cell r="H106" t="str">
            <v>Vs. Conference</v>
          </cell>
          <cell r="I106" t="str">
            <v>CENTRAL ILLINOIS</v>
          </cell>
          <cell r="AC106">
            <v>25</v>
          </cell>
          <cell r="AD106">
            <v>7</v>
          </cell>
          <cell r="AJ106">
            <v>0</v>
          </cell>
          <cell r="AK106">
            <v>0</v>
          </cell>
          <cell r="AN106">
            <v>5</v>
          </cell>
          <cell r="AO106">
            <v>1</v>
          </cell>
          <cell r="AP106">
            <v>1</v>
          </cell>
          <cell r="AQ106">
            <v>0</v>
          </cell>
          <cell r="AR106">
            <v>0</v>
          </cell>
          <cell r="AS106">
            <v>0</v>
          </cell>
          <cell r="BA106" t="str">
            <v>DUBUQUE</v>
          </cell>
          <cell r="BU106">
            <v>27</v>
          </cell>
          <cell r="BV106">
            <v>8</v>
          </cell>
          <cell r="CB106">
            <v>0</v>
          </cell>
          <cell r="CC106">
            <v>0</v>
          </cell>
          <cell r="CF106">
            <v>6</v>
          </cell>
          <cell r="CG106">
            <v>1</v>
          </cell>
          <cell r="CH106">
            <v>1</v>
          </cell>
          <cell r="CI106">
            <v>0</v>
          </cell>
          <cell r="CJ106">
            <v>0</v>
          </cell>
          <cell r="CK106">
            <v>0</v>
          </cell>
        </row>
        <row r="107">
          <cell r="A107">
            <v>43413</v>
          </cell>
          <cell r="B107">
            <v>0.83680555555555547</v>
          </cell>
          <cell r="C107">
            <v>0.79513888888888884</v>
          </cell>
          <cell r="D107" t="str">
            <v>Standard</v>
          </cell>
          <cell r="G107" t="str">
            <v>DM @ FGO</v>
          </cell>
          <cell r="H107" t="str">
            <v>Vs. Conference</v>
          </cell>
          <cell r="I107" t="str">
            <v>DES MOINES</v>
          </cell>
          <cell r="AC107">
            <v>16</v>
          </cell>
          <cell r="AD107">
            <v>8</v>
          </cell>
          <cell r="AJ107">
            <v>0</v>
          </cell>
          <cell r="AK107">
            <v>0</v>
          </cell>
          <cell r="AN107">
            <v>8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BA107" t="str">
            <v>FARGO</v>
          </cell>
          <cell r="BU107">
            <v>18</v>
          </cell>
          <cell r="BV107">
            <v>9</v>
          </cell>
          <cell r="CB107">
            <v>0</v>
          </cell>
          <cell r="CC107">
            <v>0</v>
          </cell>
          <cell r="CF107">
            <v>9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</row>
        <row r="108">
          <cell r="A108">
            <v>43413</v>
          </cell>
          <cell r="B108">
            <v>0.83680555555555547</v>
          </cell>
          <cell r="C108">
            <v>0.79513888888888884</v>
          </cell>
          <cell r="D108" t="str">
            <v>Standard</v>
          </cell>
          <cell r="G108" t="str">
            <v>SF @ LIN</v>
          </cell>
          <cell r="H108" t="str">
            <v>Vs. Conference</v>
          </cell>
          <cell r="I108" t="str">
            <v>SIOUX FALLS</v>
          </cell>
          <cell r="AC108">
            <v>10</v>
          </cell>
          <cell r="AD108">
            <v>5</v>
          </cell>
          <cell r="AJ108">
            <v>0</v>
          </cell>
          <cell r="AK108">
            <v>0</v>
          </cell>
          <cell r="AN108">
            <v>5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BA108" t="str">
            <v>LINCOLN</v>
          </cell>
          <cell r="BU108">
            <v>8</v>
          </cell>
          <cell r="BV108">
            <v>4</v>
          </cell>
          <cell r="CB108">
            <v>0</v>
          </cell>
          <cell r="CC108">
            <v>0</v>
          </cell>
          <cell r="CF108">
            <v>4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</row>
        <row r="109">
          <cell r="A109">
            <v>43413</v>
          </cell>
          <cell r="B109">
            <v>0.83680555555555547</v>
          </cell>
          <cell r="C109">
            <v>0.79513888888888884</v>
          </cell>
          <cell r="D109" t="str">
            <v>Standard</v>
          </cell>
          <cell r="G109" t="str">
            <v>GB @ MAD</v>
          </cell>
          <cell r="H109" t="str">
            <v>Vs. Conference</v>
          </cell>
          <cell r="I109" t="str">
            <v>GREEN BAY</v>
          </cell>
          <cell r="AC109">
            <v>4</v>
          </cell>
          <cell r="AD109">
            <v>2</v>
          </cell>
          <cell r="AJ109">
            <v>0</v>
          </cell>
          <cell r="AK109">
            <v>0</v>
          </cell>
          <cell r="AN109">
            <v>2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BA109" t="str">
            <v>MADISON</v>
          </cell>
          <cell r="BU109">
            <v>10</v>
          </cell>
          <cell r="BV109">
            <v>5</v>
          </cell>
          <cell r="CB109">
            <v>0</v>
          </cell>
          <cell r="CC109">
            <v>0</v>
          </cell>
          <cell r="CF109">
            <v>5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</row>
        <row r="110">
          <cell r="A110">
            <v>43413</v>
          </cell>
          <cell r="B110">
            <v>0.83680555555555547</v>
          </cell>
          <cell r="C110">
            <v>0.79513888888888884</v>
          </cell>
          <cell r="D110" t="str">
            <v>Standard</v>
          </cell>
          <cell r="G110" t="str">
            <v>WAT @ CHI</v>
          </cell>
          <cell r="H110" t="str">
            <v>Vs. Non-Conference</v>
          </cell>
          <cell r="I110" t="str">
            <v>WATERLOO</v>
          </cell>
          <cell r="AC110">
            <v>10</v>
          </cell>
          <cell r="AD110">
            <v>5</v>
          </cell>
          <cell r="AJ110">
            <v>0</v>
          </cell>
          <cell r="AK110">
            <v>0</v>
          </cell>
          <cell r="AN110">
            <v>5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BA110" t="str">
            <v>CHICAGO</v>
          </cell>
          <cell r="BU110">
            <v>6</v>
          </cell>
          <cell r="BV110">
            <v>3</v>
          </cell>
          <cell r="CB110">
            <v>0</v>
          </cell>
          <cell r="CC110">
            <v>0</v>
          </cell>
          <cell r="CF110">
            <v>3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</row>
        <row r="111">
          <cell r="A111">
            <v>43413</v>
          </cell>
          <cell r="B111">
            <v>0.83680555555555547</v>
          </cell>
          <cell r="C111">
            <v>0.79513888888888884</v>
          </cell>
          <cell r="D111" t="str">
            <v>Standard</v>
          </cell>
          <cell r="G111" t="str">
            <v>CR @ SC</v>
          </cell>
          <cell r="H111" t="str">
            <v>Vs. Non-Conference</v>
          </cell>
          <cell r="I111" t="str">
            <v>CEDAR RAPIDS</v>
          </cell>
          <cell r="AC111">
            <v>6</v>
          </cell>
          <cell r="AD111">
            <v>3</v>
          </cell>
          <cell r="AJ111">
            <v>0</v>
          </cell>
          <cell r="AK111">
            <v>0</v>
          </cell>
          <cell r="AN111">
            <v>3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BA111" t="str">
            <v>SIOUX CITY</v>
          </cell>
          <cell r="BU111">
            <v>4</v>
          </cell>
          <cell r="BV111">
            <v>2</v>
          </cell>
          <cell r="CB111">
            <v>0</v>
          </cell>
          <cell r="CC111">
            <v>0</v>
          </cell>
          <cell r="CF111">
            <v>2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</row>
        <row r="112">
          <cell r="A112">
            <v>43413</v>
          </cell>
          <cell r="B112">
            <v>0.85763888888888884</v>
          </cell>
          <cell r="C112">
            <v>0.81597222222222221</v>
          </cell>
          <cell r="D112" t="str">
            <v>Standard</v>
          </cell>
          <cell r="G112" t="str">
            <v>TC @ OMA</v>
          </cell>
          <cell r="H112" t="str">
            <v>Vs. Conference</v>
          </cell>
          <cell r="I112" t="str">
            <v>TRI-CITY</v>
          </cell>
          <cell r="AC112">
            <v>2</v>
          </cell>
          <cell r="AD112">
            <v>1</v>
          </cell>
          <cell r="AJ112">
            <v>0</v>
          </cell>
          <cell r="AK112">
            <v>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BA112" t="str">
            <v>OMAHA</v>
          </cell>
          <cell r="BU112">
            <v>0</v>
          </cell>
          <cell r="BV112">
            <v>0</v>
          </cell>
          <cell r="CB112">
            <v>0</v>
          </cell>
          <cell r="CC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</row>
        <row r="113">
          <cell r="A113">
            <v>43414</v>
          </cell>
          <cell r="B113">
            <v>0.80208333333333337</v>
          </cell>
          <cell r="C113">
            <v>0.76041666666666674</v>
          </cell>
          <cell r="D113" t="str">
            <v>Standard</v>
          </cell>
          <cell r="G113" t="str">
            <v>YNG @ MUS</v>
          </cell>
          <cell r="H113" t="str">
            <v>Vs. Conference</v>
          </cell>
          <cell r="I113" t="str">
            <v>YOUNGSTOWN</v>
          </cell>
          <cell r="AC113">
            <v>6</v>
          </cell>
          <cell r="AD113">
            <v>3</v>
          </cell>
          <cell r="AJ113">
            <v>0</v>
          </cell>
          <cell r="AK113">
            <v>0</v>
          </cell>
          <cell r="AN113">
            <v>3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BA113" t="str">
            <v>MUSKEGON</v>
          </cell>
          <cell r="BU113">
            <v>6</v>
          </cell>
          <cell r="BV113">
            <v>3</v>
          </cell>
          <cell r="CB113">
            <v>0</v>
          </cell>
          <cell r="CC113">
            <v>0</v>
          </cell>
          <cell r="CF113">
            <v>3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</row>
        <row r="114">
          <cell r="A114">
            <v>43414</v>
          </cell>
          <cell r="B114">
            <v>0.83680555555555547</v>
          </cell>
          <cell r="C114">
            <v>0.79513888888888884</v>
          </cell>
          <cell r="D114" t="str">
            <v>Standard</v>
          </cell>
          <cell r="G114" t="str">
            <v>DM @ FGO</v>
          </cell>
          <cell r="H114" t="str">
            <v>Vs. Conference</v>
          </cell>
          <cell r="I114" t="str">
            <v>DES MOINES</v>
          </cell>
          <cell r="AC114">
            <v>25</v>
          </cell>
          <cell r="AD114">
            <v>7</v>
          </cell>
          <cell r="AJ114">
            <v>0</v>
          </cell>
          <cell r="AK114">
            <v>0</v>
          </cell>
          <cell r="AN114">
            <v>5</v>
          </cell>
          <cell r="AO114">
            <v>1</v>
          </cell>
          <cell r="AP114">
            <v>1</v>
          </cell>
          <cell r="AQ114">
            <v>0</v>
          </cell>
          <cell r="AR114">
            <v>0</v>
          </cell>
          <cell r="AS114">
            <v>0</v>
          </cell>
          <cell r="BA114" t="str">
            <v>FARGO</v>
          </cell>
          <cell r="BU114">
            <v>27</v>
          </cell>
          <cell r="BV114">
            <v>8</v>
          </cell>
          <cell r="CB114">
            <v>0</v>
          </cell>
          <cell r="CC114">
            <v>0</v>
          </cell>
          <cell r="CF114">
            <v>6</v>
          </cell>
          <cell r="CG114">
            <v>1</v>
          </cell>
          <cell r="CH114">
            <v>1</v>
          </cell>
          <cell r="CI114">
            <v>0</v>
          </cell>
          <cell r="CJ114">
            <v>0</v>
          </cell>
          <cell r="CK114">
            <v>0</v>
          </cell>
        </row>
        <row r="115">
          <cell r="A115">
            <v>43414</v>
          </cell>
          <cell r="B115">
            <v>0.83680555555555547</v>
          </cell>
          <cell r="C115">
            <v>0.79513888888888884</v>
          </cell>
          <cell r="D115" t="str">
            <v>Standard</v>
          </cell>
          <cell r="G115" t="str">
            <v>CHI @ MAD</v>
          </cell>
          <cell r="H115" t="str">
            <v>Vs. Conference</v>
          </cell>
          <cell r="I115" t="str">
            <v>CHICAGO</v>
          </cell>
          <cell r="AC115">
            <v>41</v>
          </cell>
          <cell r="AD115">
            <v>11</v>
          </cell>
          <cell r="AJ115">
            <v>0</v>
          </cell>
          <cell r="AK115">
            <v>0</v>
          </cell>
          <cell r="AN115">
            <v>8</v>
          </cell>
          <cell r="AO115">
            <v>1</v>
          </cell>
          <cell r="AP115">
            <v>2</v>
          </cell>
          <cell r="AQ115">
            <v>0</v>
          </cell>
          <cell r="AR115">
            <v>0</v>
          </cell>
          <cell r="AS115">
            <v>0</v>
          </cell>
          <cell r="BA115" t="str">
            <v>MADISON</v>
          </cell>
          <cell r="BU115">
            <v>29</v>
          </cell>
          <cell r="BV115">
            <v>9</v>
          </cell>
          <cell r="CB115">
            <v>0</v>
          </cell>
          <cell r="CC115">
            <v>0</v>
          </cell>
          <cell r="CF115">
            <v>7</v>
          </cell>
          <cell r="CG115">
            <v>1</v>
          </cell>
          <cell r="CH115">
            <v>1</v>
          </cell>
          <cell r="CI115">
            <v>0</v>
          </cell>
          <cell r="CJ115">
            <v>0</v>
          </cell>
          <cell r="CK115">
            <v>0</v>
          </cell>
        </row>
        <row r="116">
          <cell r="A116">
            <v>43414</v>
          </cell>
          <cell r="B116">
            <v>0.83680555555555547</v>
          </cell>
          <cell r="C116">
            <v>0.79513888888888884</v>
          </cell>
          <cell r="D116" t="str">
            <v>Standard</v>
          </cell>
          <cell r="G116" t="str">
            <v>LIN @ SC</v>
          </cell>
          <cell r="H116" t="str">
            <v>Vs. Conference</v>
          </cell>
          <cell r="I116" t="str">
            <v>LINCOLN</v>
          </cell>
          <cell r="AC116">
            <v>6</v>
          </cell>
          <cell r="AD116">
            <v>3</v>
          </cell>
          <cell r="AJ116">
            <v>0</v>
          </cell>
          <cell r="AK116">
            <v>0</v>
          </cell>
          <cell r="AN116">
            <v>3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BA116" t="str">
            <v>SIOUX CITY</v>
          </cell>
          <cell r="BU116">
            <v>2</v>
          </cell>
          <cell r="BV116">
            <v>1</v>
          </cell>
          <cell r="CB116">
            <v>0</v>
          </cell>
          <cell r="CC116">
            <v>0</v>
          </cell>
          <cell r="CF116">
            <v>1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</row>
        <row r="117">
          <cell r="A117">
            <v>43414</v>
          </cell>
          <cell r="B117">
            <v>0.83680555555555547</v>
          </cell>
          <cell r="C117">
            <v>0.79513888888888884</v>
          </cell>
          <cell r="D117" t="str">
            <v>Standard</v>
          </cell>
          <cell r="G117" t="str">
            <v>SF @ TC</v>
          </cell>
          <cell r="H117" t="str">
            <v>Vs. Conference</v>
          </cell>
          <cell r="I117" t="str">
            <v>SIOUX FALLS</v>
          </cell>
          <cell r="AC117">
            <v>8</v>
          </cell>
          <cell r="AD117">
            <v>4</v>
          </cell>
          <cell r="AJ117">
            <v>0</v>
          </cell>
          <cell r="AK117">
            <v>0</v>
          </cell>
          <cell r="AN117">
            <v>4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BA117" t="str">
            <v>TRI-CITY</v>
          </cell>
          <cell r="BU117">
            <v>10</v>
          </cell>
          <cell r="BV117">
            <v>5</v>
          </cell>
          <cell r="CB117">
            <v>0</v>
          </cell>
          <cell r="CC117">
            <v>0</v>
          </cell>
          <cell r="CF117">
            <v>5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</row>
        <row r="118">
          <cell r="A118">
            <v>43414</v>
          </cell>
          <cell r="B118">
            <v>0.83680555555555547</v>
          </cell>
          <cell r="C118">
            <v>0.79513888888888884</v>
          </cell>
          <cell r="D118" t="str">
            <v>Standard</v>
          </cell>
          <cell r="G118" t="str">
            <v>OMA @ CR</v>
          </cell>
          <cell r="H118" t="str">
            <v>Vs. Non-Conference</v>
          </cell>
          <cell r="I118" t="str">
            <v>OMAHA</v>
          </cell>
          <cell r="AC118">
            <v>23</v>
          </cell>
          <cell r="AD118">
            <v>6</v>
          </cell>
          <cell r="AJ118">
            <v>0</v>
          </cell>
          <cell r="AK118">
            <v>0</v>
          </cell>
          <cell r="AN118">
            <v>4</v>
          </cell>
          <cell r="AO118">
            <v>1</v>
          </cell>
          <cell r="AP118">
            <v>1</v>
          </cell>
          <cell r="AQ118">
            <v>0</v>
          </cell>
          <cell r="AR118">
            <v>0</v>
          </cell>
          <cell r="AS118">
            <v>0</v>
          </cell>
          <cell r="BA118" t="str">
            <v>CEDAR RAPIDS</v>
          </cell>
          <cell r="BU118">
            <v>23</v>
          </cell>
          <cell r="BV118">
            <v>6</v>
          </cell>
          <cell r="CB118">
            <v>0</v>
          </cell>
          <cell r="CC118">
            <v>0</v>
          </cell>
          <cell r="CF118">
            <v>4</v>
          </cell>
          <cell r="CG118">
            <v>1</v>
          </cell>
          <cell r="CH118">
            <v>1</v>
          </cell>
          <cell r="CI118">
            <v>0</v>
          </cell>
          <cell r="CJ118">
            <v>0</v>
          </cell>
          <cell r="CK118">
            <v>0</v>
          </cell>
        </row>
        <row r="119">
          <cell r="A119">
            <v>43414</v>
          </cell>
          <cell r="B119">
            <v>0.83680555555555547</v>
          </cell>
          <cell r="C119">
            <v>0.79513888888888884</v>
          </cell>
          <cell r="D119" t="str">
            <v>Standard</v>
          </cell>
          <cell r="G119" t="str">
            <v>WAT @ GB</v>
          </cell>
          <cell r="H119" t="str">
            <v>Vs. Non-Conference</v>
          </cell>
          <cell r="I119" t="str">
            <v>WATERLOO</v>
          </cell>
          <cell r="AC119">
            <v>19</v>
          </cell>
          <cell r="AD119">
            <v>4</v>
          </cell>
          <cell r="AJ119">
            <v>0</v>
          </cell>
          <cell r="AK119">
            <v>0</v>
          </cell>
          <cell r="AN119">
            <v>2</v>
          </cell>
          <cell r="AO119">
            <v>1</v>
          </cell>
          <cell r="AP119">
            <v>1</v>
          </cell>
          <cell r="AQ119">
            <v>0</v>
          </cell>
          <cell r="AR119">
            <v>0</v>
          </cell>
          <cell r="AS119">
            <v>0</v>
          </cell>
          <cell r="BA119" t="str">
            <v>GREEN BAY</v>
          </cell>
          <cell r="BU119">
            <v>25</v>
          </cell>
          <cell r="BV119">
            <v>7</v>
          </cell>
          <cell r="CB119">
            <v>0</v>
          </cell>
          <cell r="CC119">
            <v>0</v>
          </cell>
          <cell r="CF119">
            <v>5</v>
          </cell>
          <cell r="CG119">
            <v>1</v>
          </cell>
          <cell r="CH119">
            <v>1</v>
          </cell>
          <cell r="CI119">
            <v>0</v>
          </cell>
          <cell r="CJ119">
            <v>0</v>
          </cell>
          <cell r="CK119">
            <v>0</v>
          </cell>
        </row>
        <row r="120">
          <cell r="A120">
            <v>43414</v>
          </cell>
          <cell r="B120">
            <v>0.83819444444444446</v>
          </cell>
          <cell r="C120">
            <v>0.79652777777777783</v>
          </cell>
          <cell r="D120" t="str">
            <v>Standard</v>
          </cell>
          <cell r="G120" t="str">
            <v>DUB @ CIL</v>
          </cell>
          <cell r="H120" t="str">
            <v>Vs. Conference</v>
          </cell>
          <cell r="I120" t="str">
            <v>DUBUQUE</v>
          </cell>
          <cell r="AC120">
            <v>19</v>
          </cell>
          <cell r="AD120">
            <v>4</v>
          </cell>
          <cell r="AJ120">
            <v>0</v>
          </cell>
          <cell r="AK120">
            <v>0</v>
          </cell>
          <cell r="AN120">
            <v>2</v>
          </cell>
          <cell r="AO120">
            <v>1</v>
          </cell>
          <cell r="AP120">
            <v>1</v>
          </cell>
          <cell r="AQ120">
            <v>0</v>
          </cell>
          <cell r="AR120">
            <v>0</v>
          </cell>
          <cell r="AS120">
            <v>0</v>
          </cell>
          <cell r="BA120" t="str">
            <v>CENTRAL ILLINOIS</v>
          </cell>
          <cell r="BU120">
            <v>23</v>
          </cell>
          <cell r="BV120">
            <v>6</v>
          </cell>
          <cell r="CB120">
            <v>0</v>
          </cell>
          <cell r="CC120">
            <v>0</v>
          </cell>
          <cell r="CF120">
            <v>4</v>
          </cell>
          <cell r="CG120">
            <v>1</v>
          </cell>
          <cell r="CH120">
            <v>1</v>
          </cell>
          <cell r="CI120">
            <v>0</v>
          </cell>
          <cell r="CJ120">
            <v>0</v>
          </cell>
          <cell r="CK120">
            <v>0</v>
          </cell>
        </row>
        <row r="121">
          <cell r="A121">
            <v>43415</v>
          </cell>
          <cell r="B121">
            <v>0.62847222222222221</v>
          </cell>
          <cell r="C121">
            <v>0.58680555555555558</v>
          </cell>
          <cell r="D121" t="str">
            <v>Standard</v>
          </cell>
          <cell r="G121" t="str">
            <v>TC @ LIN</v>
          </cell>
          <cell r="H121" t="str">
            <v>Vs. Conference</v>
          </cell>
          <cell r="I121" t="str">
            <v>TRI-CITY</v>
          </cell>
          <cell r="AC121">
            <v>12</v>
          </cell>
          <cell r="AD121">
            <v>6</v>
          </cell>
          <cell r="AJ121">
            <v>0</v>
          </cell>
          <cell r="AK121">
            <v>0</v>
          </cell>
          <cell r="AN121">
            <v>6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BA121" t="str">
            <v>LINCOLN</v>
          </cell>
          <cell r="BU121">
            <v>12</v>
          </cell>
          <cell r="BV121">
            <v>6</v>
          </cell>
          <cell r="CB121">
            <v>0</v>
          </cell>
          <cell r="CC121">
            <v>0</v>
          </cell>
          <cell r="CF121">
            <v>6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</row>
        <row r="122">
          <cell r="A122">
            <v>43415</v>
          </cell>
          <cell r="B122">
            <v>0.71180555555555547</v>
          </cell>
          <cell r="C122">
            <v>0.67013888888888884</v>
          </cell>
          <cell r="D122" t="str">
            <v>Standard</v>
          </cell>
          <cell r="G122" t="str">
            <v>CR @ OMA</v>
          </cell>
          <cell r="H122" t="str">
            <v>Vs. Non-Conference</v>
          </cell>
          <cell r="I122" t="str">
            <v>CEDAR RAPIDS</v>
          </cell>
          <cell r="AC122">
            <v>25</v>
          </cell>
          <cell r="AD122">
            <v>7</v>
          </cell>
          <cell r="AJ122">
            <v>0</v>
          </cell>
          <cell r="AK122">
            <v>0</v>
          </cell>
          <cell r="AN122">
            <v>5</v>
          </cell>
          <cell r="AO122">
            <v>1</v>
          </cell>
          <cell r="AP122">
            <v>1</v>
          </cell>
          <cell r="AQ122">
            <v>0</v>
          </cell>
          <cell r="AR122">
            <v>0</v>
          </cell>
          <cell r="AS122">
            <v>0</v>
          </cell>
          <cell r="BA122" t="str">
            <v>OMAHA</v>
          </cell>
          <cell r="BU122">
            <v>33</v>
          </cell>
          <cell r="BV122">
            <v>7</v>
          </cell>
          <cell r="CB122">
            <v>0</v>
          </cell>
          <cell r="CC122">
            <v>0</v>
          </cell>
          <cell r="CF122">
            <v>4</v>
          </cell>
          <cell r="CG122">
            <v>1</v>
          </cell>
          <cell r="CH122">
            <v>1</v>
          </cell>
          <cell r="CI122">
            <v>1</v>
          </cell>
          <cell r="CJ122">
            <v>0</v>
          </cell>
          <cell r="CK122">
            <v>0</v>
          </cell>
        </row>
        <row r="123">
          <cell r="A123">
            <v>43415</v>
          </cell>
          <cell r="B123">
            <v>0.71319444444444446</v>
          </cell>
          <cell r="C123">
            <v>0.67152777777777783</v>
          </cell>
          <cell r="D123" t="str">
            <v>Standard</v>
          </cell>
          <cell r="G123" t="str">
            <v>MUS @ CIL</v>
          </cell>
          <cell r="H123" t="str">
            <v>Vs. Conference</v>
          </cell>
          <cell r="I123" t="str">
            <v>MUSKEGON</v>
          </cell>
          <cell r="AC123">
            <v>12</v>
          </cell>
          <cell r="AD123">
            <v>6</v>
          </cell>
          <cell r="AJ123">
            <v>0</v>
          </cell>
          <cell r="AK123">
            <v>0</v>
          </cell>
          <cell r="AN123">
            <v>6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BA123" t="str">
            <v>CENTRAL ILLINOIS</v>
          </cell>
          <cell r="BU123">
            <v>16</v>
          </cell>
          <cell r="BV123">
            <v>8</v>
          </cell>
          <cell r="CB123">
            <v>0</v>
          </cell>
          <cell r="CC123">
            <v>0</v>
          </cell>
          <cell r="CF123">
            <v>8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</row>
        <row r="124">
          <cell r="A124">
            <v>43420</v>
          </cell>
          <cell r="B124">
            <v>0.79166666666666663</v>
          </cell>
          <cell r="C124">
            <v>0.75</v>
          </cell>
          <cell r="D124" t="str">
            <v>Standard</v>
          </cell>
          <cell r="G124" t="str">
            <v>CR @ USA</v>
          </cell>
          <cell r="H124" t="str">
            <v>Vs. Conference</v>
          </cell>
          <cell r="I124" t="str">
            <v>CEDAR RAPIDS</v>
          </cell>
          <cell r="AC124">
            <v>4</v>
          </cell>
          <cell r="AD124">
            <v>2</v>
          </cell>
          <cell r="AJ124">
            <v>0</v>
          </cell>
          <cell r="AK124">
            <v>0</v>
          </cell>
          <cell r="AN124">
            <v>2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BA124" t="str">
            <v>TEAM USA</v>
          </cell>
          <cell r="BU124">
            <v>4</v>
          </cell>
          <cell r="BV124">
            <v>2</v>
          </cell>
          <cell r="CB124">
            <v>0</v>
          </cell>
          <cell r="CC124">
            <v>0</v>
          </cell>
          <cell r="CF124">
            <v>2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</row>
        <row r="125">
          <cell r="A125">
            <v>43420</v>
          </cell>
          <cell r="B125">
            <v>0.83680555555555547</v>
          </cell>
          <cell r="C125">
            <v>0.79513888888888884</v>
          </cell>
          <cell r="D125" t="str">
            <v>Standard</v>
          </cell>
          <cell r="G125" t="str">
            <v>SC @ DM</v>
          </cell>
          <cell r="H125" t="str">
            <v>Vs. Conference</v>
          </cell>
          <cell r="I125" t="str">
            <v>SIOUX CITY</v>
          </cell>
          <cell r="AC125">
            <v>78</v>
          </cell>
          <cell r="AD125">
            <v>17</v>
          </cell>
          <cell r="AJ125">
            <v>0</v>
          </cell>
          <cell r="AK125">
            <v>0</v>
          </cell>
          <cell r="AN125">
            <v>9</v>
          </cell>
          <cell r="AO125">
            <v>4</v>
          </cell>
          <cell r="AP125">
            <v>1</v>
          </cell>
          <cell r="AQ125">
            <v>3</v>
          </cell>
          <cell r="AR125">
            <v>0</v>
          </cell>
          <cell r="AS125">
            <v>0</v>
          </cell>
          <cell r="BA125" t="str">
            <v>DES MOINES</v>
          </cell>
          <cell r="BU125">
            <v>80</v>
          </cell>
          <cell r="BV125">
            <v>18</v>
          </cell>
          <cell r="CB125">
            <v>0</v>
          </cell>
          <cell r="CC125">
            <v>0</v>
          </cell>
          <cell r="CF125">
            <v>10</v>
          </cell>
          <cell r="CG125">
            <v>4</v>
          </cell>
          <cell r="CH125">
            <v>1</v>
          </cell>
          <cell r="CI125">
            <v>3</v>
          </cell>
          <cell r="CJ125">
            <v>0</v>
          </cell>
          <cell r="CK125">
            <v>0</v>
          </cell>
        </row>
        <row r="126">
          <cell r="A126">
            <v>43420</v>
          </cell>
          <cell r="B126">
            <v>0.83680555555555547</v>
          </cell>
          <cell r="C126">
            <v>0.79513888888888884</v>
          </cell>
          <cell r="D126" t="str">
            <v>Standard</v>
          </cell>
          <cell r="G126" t="str">
            <v>SF @ LIN</v>
          </cell>
          <cell r="H126" t="str">
            <v>Vs. Conference</v>
          </cell>
          <cell r="I126" t="str">
            <v>SIOUX FALLS</v>
          </cell>
          <cell r="AC126">
            <v>10</v>
          </cell>
          <cell r="AD126">
            <v>5</v>
          </cell>
          <cell r="AJ126">
            <v>0</v>
          </cell>
          <cell r="AK126">
            <v>0</v>
          </cell>
          <cell r="AN126">
            <v>5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BA126" t="str">
            <v>LINCOLN</v>
          </cell>
          <cell r="BU126">
            <v>14</v>
          </cell>
          <cell r="BV126">
            <v>7</v>
          </cell>
          <cell r="CB126">
            <v>0</v>
          </cell>
          <cell r="CC126">
            <v>0</v>
          </cell>
          <cell r="CF126">
            <v>7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</row>
        <row r="127">
          <cell r="A127">
            <v>43420</v>
          </cell>
          <cell r="B127">
            <v>0.83680555555555547</v>
          </cell>
          <cell r="C127">
            <v>0.79513888888888884</v>
          </cell>
          <cell r="D127" t="str">
            <v>Standard</v>
          </cell>
          <cell r="G127" t="str">
            <v>CHI @ MAD</v>
          </cell>
          <cell r="H127" t="str">
            <v>Vs. Conference</v>
          </cell>
          <cell r="I127" t="str">
            <v>CHICAGO</v>
          </cell>
          <cell r="AC127">
            <v>6</v>
          </cell>
          <cell r="AD127">
            <v>3</v>
          </cell>
          <cell r="AJ127">
            <v>0</v>
          </cell>
          <cell r="AK127">
            <v>0</v>
          </cell>
          <cell r="AN127">
            <v>3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BA127" t="str">
            <v>MADISON</v>
          </cell>
          <cell r="BU127">
            <v>10</v>
          </cell>
          <cell r="BV127">
            <v>5</v>
          </cell>
          <cell r="CB127">
            <v>0</v>
          </cell>
          <cell r="CC127">
            <v>0</v>
          </cell>
          <cell r="CF127">
            <v>5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</row>
        <row r="128">
          <cell r="A128">
            <v>43420</v>
          </cell>
          <cell r="B128">
            <v>0.83680555555555547</v>
          </cell>
          <cell r="C128">
            <v>0.79513888888888884</v>
          </cell>
          <cell r="D128" t="str">
            <v>Standard</v>
          </cell>
          <cell r="G128" t="str">
            <v>TC @ WAT</v>
          </cell>
          <cell r="H128" t="str">
            <v>Vs. Conference</v>
          </cell>
          <cell r="I128" t="str">
            <v>TRI-CITY</v>
          </cell>
          <cell r="AC128">
            <v>18</v>
          </cell>
          <cell r="AD128">
            <v>9</v>
          </cell>
          <cell r="AJ128">
            <v>0</v>
          </cell>
          <cell r="AK128">
            <v>0</v>
          </cell>
          <cell r="AN128">
            <v>9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BA128" t="str">
            <v>WATERLOO</v>
          </cell>
          <cell r="BU128">
            <v>10</v>
          </cell>
          <cell r="BV128">
            <v>5</v>
          </cell>
          <cell r="CB128">
            <v>0</v>
          </cell>
          <cell r="CC128">
            <v>0</v>
          </cell>
          <cell r="CF128">
            <v>5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</row>
        <row r="129">
          <cell r="A129">
            <v>43420</v>
          </cell>
          <cell r="B129">
            <v>0.83680555555555547</v>
          </cell>
          <cell r="C129">
            <v>0.79513888888888884</v>
          </cell>
          <cell r="D129" t="str">
            <v>Standard</v>
          </cell>
          <cell r="G129" t="str">
            <v>FGO @ DUB</v>
          </cell>
          <cell r="H129" t="str">
            <v>Vs. Non-Conference</v>
          </cell>
          <cell r="I129" t="str">
            <v>FARGO</v>
          </cell>
          <cell r="AC129">
            <v>16</v>
          </cell>
          <cell r="AD129">
            <v>8</v>
          </cell>
          <cell r="AJ129">
            <v>0</v>
          </cell>
          <cell r="AK129">
            <v>0</v>
          </cell>
          <cell r="AN129">
            <v>8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BA129" t="str">
            <v>DUBUQUE</v>
          </cell>
          <cell r="BU129">
            <v>26</v>
          </cell>
          <cell r="BV129">
            <v>9</v>
          </cell>
          <cell r="CB129">
            <v>0</v>
          </cell>
          <cell r="CC129">
            <v>0</v>
          </cell>
          <cell r="CF129">
            <v>8</v>
          </cell>
          <cell r="CG129">
            <v>0</v>
          </cell>
          <cell r="CH129">
            <v>1</v>
          </cell>
          <cell r="CI129">
            <v>0</v>
          </cell>
          <cell r="CJ129">
            <v>0</v>
          </cell>
          <cell r="CK129">
            <v>0</v>
          </cell>
        </row>
        <row r="130">
          <cell r="A130">
            <v>43420</v>
          </cell>
          <cell r="B130">
            <v>0.83819444444444446</v>
          </cell>
          <cell r="C130">
            <v>0.79652777777777783</v>
          </cell>
          <cell r="D130" t="str">
            <v>Standard</v>
          </cell>
          <cell r="G130" t="str">
            <v>YNG @ CIL</v>
          </cell>
          <cell r="H130" t="str">
            <v>Vs. Conference</v>
          </cell>
          <cell r="I130" t="str">
            <v>YOUNGSTOWN</v>
          </cell>
          <cell r="AC130">
            <v>4</v>
          </cell>
          <cell r="AD130">
            <v>2</v>
          </cell>
          <cell r="AJ130">
            <v>0</v>
          </cell>
          <cell r="AK130">
            <v>0</v>
          </cell>
          <cell r="AN130">
            <v>2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BA130" t="str">
            <v>CENTRAL ILLINOIS</v>
          </cell>
          <cell r="BU130">
            <v>8</v>
          </cell>
          <cell r="BV130">
            <v>4</v>
          </cell>
          <cell r="CB130">
            <v>0</v>
          </cell>
          <cell r="CC130">
            <v>0</v>
          </cell>
          <cell r="CF130">
            <v>4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</row>
        <row r="131">
          <cell r="A131">
            <v>43420</v>
          </cell>
          <cell r="B131">
            <v>0.85763888888888884</v>
          </cell>
          <cell r="C131">
            <v>0.81597222222222221</v>
          </cell>
          <cell r="D131" t="str">
            <v>Standard</v>
          </cell>
          <cell r="G131" t="str">
            <v>USA @ OMA</v>
          </cell>
          <cell r="H131" t="str">
            <v>Vs. Non-Conference</v>
          </cell>
          <cell r="I131" t="str">
            <v>TEAM USA</v>
          </cell>
          <cell r="AC131">
            <v>10</v>
          </cell>
          <cell r="AD131">
            <v>5</v>
          </cell>
          <cell r="AJ131">
            <v>0</v>
          </cell>
          <cell r="AK131">
            <v>0</v>
          </cell>
          <cell r="AN131">
            <v>5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BA131" t="str">
            <v>OMAHA</v>
          </cell>
          <cell r="BU131">
            <v>14</v>
          </cell>
          <cell r="BV131">
            <v>7</v>
          </cell>
          <cell r="CB131">
            <v>0</v>
          </cell>
          <cell r="CC131">
            <v>0</v>
          </cell>
          <cell r="CF131">
            <v>7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</row>
        <row r="132">
          <cell r="A132">
            <v>43421</v>
          </cell>
          <cell r="B132">
            <v>0.79166666666666663</v>
          </cell>
          <cell r="C132">
            <v>0.75</v>
          </cell>
          <cell r="D132" t="str">
            <v>Standard</v>
          </cell>
          <cell r="G132" t="str">
            <v>CHI @ USA</v>
          </cell>
          <cell r="H132" t="str">
            <v>Vs. Conference</v>
          </cell>
          <cell r="I132" t="str">
            <v>CHICAGO</v>
          </cell>
          <cell r="AC132">
            <v>10</v>
          </cell>
          <cell r="AD132">
            <v>5</v>
          </cell>
          <cell r="AJ132">
            <v>0</v>
          </cell>
          <cell r="AK132">
            <v>0</v>
          </cell>
          <cell r="AN132">
            <v>5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BA132" t="str">
            <v>TEAM USA</v>
          </cell>
          <cell r="BU132">
            <v>4</v>
          </cell>
          <cell r="BV132">
            <v>2</v>
          </cell>
          <cell r="CB132">
            <v>0</v>
          </cell>
          <cell r="CC132">
            <v>0</v>
          </cell>
          <cell r="CF132">
            <v>2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</row>
        <row r="133">
          <cell r="A133">
            <v>43421</v>
          </cell>
          <cell r="B133">
            <v>0.80208333333333337</v>
          </cell>
          <cell r="C133">
            <v>0.76041666666666674</v>
          </cell>
          <cell r="D133" t="str">
            <v>Standard</v>
          </cell>
          <cell r="G133" t="str">
            <v>CR @ MUS</v>
          </cell>
          <cell r="H133" t="str">
            <v>Vs. Conference</v>
          </cell>
          <cell r="I133" t="str">
            <v>CEDAR RAPIDS</v>
          </cell>
          <cell r="AC133">
            <v>27</v>
          </cell>
          <cell r="AD133">
            <v>8</v>
          </cell>
          <cell r="AJ133">
            <v>0</v>
          </cell>
          <cell r="AK133">
            <v>0</v>
          </cell>
          <cell r="AN133">
            <v>6</v>
          </cell>
          <cell r="AO133">
            <v>1</v>
          </cell>
          <cell r="AP133">
            <v>1</v>
          </cell>
          <cell r="AQ133">
            <v>0</v>
          </cell>
          <cell r="AR133">
            <v>0</v>
          </cell>
          <cell r="AS133">
            <v>0</v>
          </cell>
          <cell r="BA133" t="str">
            <v>MUSKEGON</v>
          </cell>
          <cell r="BU133">
            <v>31</v>
          </cell>
          <cell r="BV133">
            <v>10</v>
          </cell>
          <cell r="CB133">
            <v>0</v>
          </cell>
          <cell r="CC133">
            <v>0</v>
          </cell>
          <cell r="CF133">
            <v>8</v>
          </cell>
          <cell r="CG133">
            <v>1</v>
          </cell>
          <cell r="CH133">
            <v>1</v>
          </cell>
          <cell r="CI133">
            <v>0</v>
          </cell>
          <cell r="CJ133">
            <v>0</v>
          </cell>
          <cell r="CK133">
            <v>0</v>
          </cell>
        </row>
        <row r="134">
          <cell r="A134">
            <v>43421</v>
          </cell>
          <cell r="B134">
            <v>0.83680555555555547</v>
          </cell>
          <cell r="C134">
            <v>0.79513888888888884</v>
          </cell>
          <cell r="D134" t="str">
            <v>Standard</v>
          </cell>
          <cell r="G134" t="str">
            <v>FGO @ DM</v>
          </cell>
          <cell r="H134" t="str">
            <v>Vs. Conference</v>
          </cell>
          <cell r="I134" t="str">
            <v>FARGO</v>
          </cell>
          <cell r="AC134">
            <v>8</v>
          </cell>
          <cell r="AD134">
            <v>5</v>
          </cell>
          <cell r="AJ134">
            <v>0</v>
          </cell>
          <cell r="AK134">
            <v>0</v>
          </cell>
          <cell r="AN134">
            <v>4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BA134" t="str">
            <v>DES MOINES</v>
          </cell>
          <cell r="BU134">
            <v>14</v>
          </cell>
          <cell r="BV134">
            <v>7</v>
          </cell>
          <cell r="CB134">
            <v>1</v>
          </cell>
          <cell r="CC134">
            <v>1</v>
          </cell>
          <cell r="CF134">
            <v>7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1</v>
          </cell>
        </row>
        <row r="135">
          <cell r="A135">
            <v>43421</v>
          </cell>
          <cell r="B135">
            <v>0.83680555555555547</v>
          </cell>
          <cell r="C135">
            <v>0.79513888888888884</v>
          </cell>
          <cell r="D135" t="str">
            <v>Standard</v>
          </cell>
          <cell r="G135" t="str">
            <v>USA @ DUB</v>
          </cell>
          <cell r="H135" t="str">
            <v>Vs. Conference</v>
          </cell>
          <cell r="I135" t="str">
            <v>TEAM USA</v>
          </cell>
          <cell r="AC135">
            <v>6</v>
          </cell>
          <cell r="AD135">
            <v>3</v>
          </cell>
          <cell r="AJ135">
            <v>0</v>
          </cell>
          <cell r="AK135">
            <v>0</v>
          </cell>
          <cell r="AN135">
            <v>3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BA135" t="str">
            <v>DUBUQUE</v>
          </cell>
          <cell r="BU135">
            <v>14</v>
          </cell>
          <cell r="BV135">
            <v>7</v>
          </cell>
          <cell r="CB135">
            <v>0</v>
          </cell>
          <cell r="CC135">
            <v>0</v>
          </cell>
          <cell r="CF135">
            <v>7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</row>
        <row r="136">
          <cell r="A136">
            <v>43421</v>
          </cell>
          <cell r="B136">
            <v>0.83680555555555547</v>
          </cell>
          <cell r="C136">
            <v>0.79513888888888884</v>
          </cell>
          <cell r="D136" t="str">
            <v>Standard</v>
          </cell>
          <cell r="G136" t="str">
            <v>GB @ MAD</v>
          </cell>
          <cell r="H136" t="str">
            <v>Vs. Conference</v>
          </cell>
          <cell r="I136" t="str">
            <v>GREEN BAY</v>
          </cell>
          <cell r="AC136">
            <v>4</v>
          </cell>
          <cell r="AD136">
            <v>2</v>
          </cell>
          <cell r="AJ136">
            <v>0</v>
          </cell>
          <cell r="AK136">
            <v>0</v>
          </cell>
          <cell r="AN136">
            <v>2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BA136" t="str">
            <v>MADISON</v>
          </cell>
          <cell r="BU136">
            <v>4</v>
          </cell>
          <cell r="BV136">
            <v>2</v>
          </cell>
          <cell r="CB136">
            <v>0</v>
          </cell>
          <cell r="CC136">
            <v>0</v>
          </cell>
          <cell r="CF136">
            <v>2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</row>
        <row r="137">
          <cell r="A137">
            <v>43421</v>
          </cell>
          <cell r="B137">
            <v>0.83680555555555547</v>
          </cell>
          <cell r="C137">
            <v>0.79513888888888884</v>
          </cell>
          <cell r="D137" t="str">
            <v>Standard</v>
          </cell>
          <cell r="G137" t="str">
            <v>LIN @ WAT</v>
          </cell>
          <cell r="H137" t="str">
            <v>Vs. Conference</v>
          </cell>
          <cell r="I137" t="str">
            <v>LINCOLN</v>
          </cell>
          <cell r="AC137">
            <v>29</v>
          </cell>
          <cell r="AD137">
            <v>9</v>
          </cell>
          <cell r="AJ137">
            <v>0</v>
          </cell>
          <cell r="AK137">
            <v>0</v>
          </cell>
          <cell r="AN137">
            <v>7</v>
          </cell>
          <cell r="AO137">
            <v>1</v>
          </cell>
          <cell r="AP137">
            <v>1</v>
          </cell>
          <cell r="AQ137">
            <v>0</v>
          </cell>
          <cell r="AR137">
            <v>0</v>
          </cell>
          <cell r="AS137">
            <v>0</v>
          </cell>
          <cell r="BA137" t="str">
            <v>WATERLOO</v>
          </cell>
          <cell r="BU137">
            <v>20</v>
          </cell>
          <cell r="BV137">
            <v>10</v>
          </cell>
          <cell r="CB137">
            <v>0</v>
          </cell>
          <cell r="CC137">
            <v>0</v>
          </cell>
          <cell r="CF137">
            <v>10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</row>
        <row r="138">
          <cell r="A138">
            <v>43421</v>
          </cell>
          <cell r="B138">
            <v>0.83819444444444446</v>
          </cell>
          <cell r="C138">
            <v>0.79652777777777783</v>
          </cell>
          <cell r="D138" t="str">
            <v>Standard</v>
          </cell>
          <cell r="G138" t="str">
            <v>YNG @ CIL</v>
          </cell>
          <cell r="H138" t="str">
            <v>Vs. Conference</v>
          </cell>
          <cell r="I138" t="str">
            <v>YOUNGSTOWN</v>
          </cell>
          <cell r="AC138">
            <v>22</v>
          </cell>
          <cell r="AD138">
            <v>7</v>
          </cell>
          <cell r="AJ138">
            <v>0</v>
          </cell>
          <cell r="AK138">
            <v>0</v>
          </cell>
          <cell r="AN138">
            <v>6</v>
          </cell>
          <cell r="AO138">
            <v>0</v>
          </cell>
          <cell r="AP138">
            <v>1</v>
          </cell>
          <cell r="AQ138">
            <v>0</v>
          </cell>
          <cell r="AR138">
            <v>0</v>
          </cell>
          <cell r="AS138">
            <v>0</v>
          </cell>
          <cell r="BA138" t="str">
            <v>CENTRAL ILLINOIS</v>
          </cell>
          <cell r="BU138">
            <v>32</v>
          </cell>
          <cell r="BV138">
            <v>8</v>
          </cell>
          <cell r="CB138">
            <v>0</v>
          </cell>
          <cell r="CC138">
            <v>0</v>
          </cell>
          <cell r="CF138">
            <v>6</v>
          </cell>
          <cell r="CG138">
            <v>0</v>
          </cell>
          <cell r="CH138">
            <v>1</v>
          </cell>
          <cell r="CI138">
            <v>1</v>
          </cell>
          <cell r="CJ138">
            <v>0</v>
          </cell>
          <cell r="CK138">
            <v>0</v>
          </cell>
        </row>
        <row r="139">
          <cell r="A139">
            <v>43422</v>
          </cell>
          <cell r="B139">
            <v>0.71180555555555547</v>
          </cell>
          <cell r="C139">
            <v>0.67013888888888884</v>
          </cell>
          <cell r="D139" t="str">
            <v>Standard</v>
          </cell>
          <cell r="G139" t="str">
            <v>SF @ OMA</v>
          </cell>
          <cell r="H139" t="str">
            <v>Vs. Conference</v>
          </cell>
          <cell r="I139" t="str">
            <v>SIOUX FALLS</v>
          </cell>
          <cell r="AC139">
            <v>4</v>
          </cell>
          <cell r="AD139">
            <v>2</v>
          </cell>
          <cell r="AJ139">
            <v>0</v>
          </cell>
          <cell r="AK139">
            <v>0</v>
          </cell>
          <cell r="AN139">
            <v>2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BA139" t="str">
            <v>OMAHA</v>
          </cell>
          <cell r="BU139">
            <v>8</v>
          </cell>
          <cell r="BV139">
            <v>4</v>
          </cell>
          <cell r="CB139">
            <v>0</v>
          </cell>
          <cell r="CC139">
            <v>0</v>
          </cell>
          <cell r="CF139">
            <v>4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</row>
        <row r="140">
          <cell r="A140">
            <v>43425</v>
          </cell>
          <cell r="B140">
            <v>0.79513888888888884</v>
          </cell>
          <cell r="C140">
            <v>0.75347222222222221</v>
          </cell>
          <cell r="D140" t="str">
            <v>Standard</v>
          </cell>
          <cell r="G140" t="str">
            <v>CIL @ GB</v>
          </cell>
          <cell r="H140" t="str">
            <v>Vs. Conference</v>
          </cell>
          <cell r="I140" t="str">
            <v>CENTRAL ILLINOIS</v>
          </cell>
          <cell r="AC140">
            <v>38</v>
          </cell>
          <cell r="AD140">
            <v>8</v>
          </cell>
          <cell r="AJ140">
            <v>0</v>
          </cell>
          <cell r="AK140">
            <v>0</v>
          </cell>
          <cell r="AN140">
            <v>4</v>
          </cell>
          <cell r="AO140">
            <v>2</v>
          </cell>
          <cell r="AP140">
            <v>1</v>
          </cell>
          <cell r="AQ140">
            <v>1</v>
          </cell>
          <cell r="AR140">
            <v>0</v>
          </cell>
          <cell r="AS140">
            <v>0</v>
          </cell>
          <cell r="BA140" t="str">
            <v>GREEN BAY</v>
          </cell>
          <cell r="BU140">
            <v>25</v>
          </cell>
          <cell r="BV140">
            <v>7</v>
          </cell>
          <cell r="CB140">
            <v>0</v>
          </cell>
          <cell r="CC140">
            <v>0</v>
          </cell>
          <cell r="CF140">
            <v>5</v>
          </cell>
          <cell r="CG140">
            <v>1</v>
          </cell>
          <cell r="CH140">
            <v>1</v>
          </cell>
          <cell r="CI140">
            <v>0</v>
          </cell>
          <cell r="CJ140">
            <v>0</v>
          </cell>
          <cell r="CK140">
            <v>0</v>
          </cell>
        </row>
        <row r="141">
          <cell r="A141">
            <v>43425</v>
          </cell>
          <cell r="B141">
            <v>0.80208333333333337</v>
          </cell>
          <cell r="C141">
            <v>0.76041666666666674</v>
          </cell>
          <cell r="D141" t="str">
            <v>Standard</v>
          </cell>
          <cell r="G141" t="str">
            <v>USA @ MUS</v>
          </cell>
          <cell r="H141" t="str">
            <v>Vs. Conference</v>
          </cell>
          <cell r="I141" t="str">
            <v>TEAM USA</v>
          </cell>
          <cell r="AC141">
            <v>12</v>
          </cell>
          <cell r="AD141">
            <v>6</v>
          </cell>
          <cell r="AJ141">
            <v>0</v>
          </cell>
          <cell r="AK141">
            <v>0</v>
          </cell>
          <cell r="AN141">
            <v>6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BA141" t="str">
            <v>MUSKEGON</v>
          </cell>
          <cell r="BU141">
            <v>12</v>
          </cell>
          <cell r="BV141">
            <v>6</v>
          </cell>
          <cell r="CB141">
            <v>0</v>
          </cell>
          <cell r="CC141">
            <v>0</v>
          </cell>
          <cell r="CF141">
            <v>6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</row>
        <row r="142">
          <cell r="A142">
            <v>43425</v>
          </cell>
          <cell r="B142">
            <v>0.8159722222222221</v>
          </cell>
          <cell r="C142">
            <v>0.77430555555555547</v>
          </cell>
          <cell r="D142" t="str">
            <v>Standard</v>
          </cell>
          <cell r="G142" t="str">
            <v>WAT @ SC</v>
          </cell>
          <cell r="H142" t="str">
            <v>Vs. Conference</v>
          </cell>
          <cell r="I142" t="str">
            <v>WATERLOO</v>
          </cell>
          <cell r="AC142">
            <v>10</v>
          </cell>
          <cell r="AD142">
            <v>5</v>
          </cell>
          <cell r="AJ142">
            <v>0</v>
          </cell>
          <cell r="AK142">
            <v>0</v>
          </cell>
          <cell r="AN142">
            <v>5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BA142" t="str">
            <v>SIOUX CITY</v>
          </cell>
          <cell r="BU142">
            <v>6</v>
          </cell>
          <cell r="BV142">
            <v>3</v>
          </cell>
          <cell r="CB142">
            <v>0</v>
          </cell>
          <cell r="CC142">
            <v>0</v>
          </cell>
          <cell r="CF142">
            <v>3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</row>
        <row r="143">
          <cell r="A143">
            <v>43425</v>
          </cell>
          <cell r="B143">
            <v>0.83680555555555547</v>
          </cell>
          <cell r="C143">
            <v>0.79513888888888884</v>
          </cell>
          <cell r="D143" t="str">
            <v>Standard</v>
          </cell>
          <cell r="G143" t="str">
            <v>MAD @ DUB</v>
          </cell>
          <cell r="H143" t="str">
            <v>Vs. Conference</v>
          </cell>
          <cell r="I143" t="str">
            <v>MADISON</v>
          </cell>
          <cell r="AC143">
            <v>20</v>
          </cell>
          <cell r="AD143">
            <v>6</v>
          </cell>
          <cell r="AJ143">
            <v>0</v>
          </cell>
          <cell r="AK143">
            <v>0</v>
          </cell>
          <cell r="AN143">
            <v>5</v>
          </cell>
          <cell r="AO143">
            <v>0</v>
          </cell>
          <cell r="AP143">
            <v>1</v>
          </cell>
          <cell r="AQ143">
            <v>0</v>
          </cell>
          <cell r="AR143">
            <v>0</v>
          </cell>
          <cell r="AS143">
            <v>0</v>
          </cell>
          <cell r="BA143" t="str">
            <v>DUBUQUE</v>
          </cell>
          <cell r="BU143">
            <v>20</v>
          </cell>
          <cell r="BV143">
            <v>6</v>
          </cell>
          <cell r="CB143">
            <v>0</v>
          </cell>
          <cell r="CC143">
            <v>0</v>
          </cell>
          <cell r="CF143">
            <v>5</v>
          </cell>
          <cell r="CG143">
            <v>0</v>
          </cell>
          <cell r="CH143">
            <v>1</v>
          </cell>
          <cell r="CI143">
            <v>0</v>
          </cell>
          <cell r="CJ143">
            <v>0</v>
          </cell>
          <cell r="CK143">
            <v>0</v>
          </cell>
        </row>
        <row r="144">
          <cell r="A144">
            <v>43425</v>
          </cell>
          <cell r="B144">
            <v>0.83680555555555547</v>
          </cell>
          <cell r="C144">
            <v>0.79513888888888884</v>
          </cell>
          <cell r="D144" t="str">
            <v>Standard</v>
          </cell>
          <cell r="G144" t="str">
            <v>DM @ FGO</v>
          </cell>
          <cell r="H144" t="str">
            <v>Vs. Conference</v>
          </cell>
          <cell r="I144" t="str">
            <v>DES MOINES</v>
          </cell>
          <cell r="AC144">
            <v>4</v>
          </cell>
          <cell r="AD144">
            <v>2</v>
          </cell>
          <cell r="AJ144">
            <v>0</v>
          </cell>
          <cell r="AK144">
            <v>0</v>
          </cell>
          <cell r="AN144">
            <v>2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BA144" t="str">
            <v>FARGO</v>
          </cell>
          <cell r="BU144">
            <v>2</v>
          </cell>
          <cell r="BV144">
            <v>1</v>
          </cell>
          <cell r="CB144">
            <v>0</v>
          </cell>
          <cell r="CC144">
            <v>0</v>
          </cell>
          <cell r="CF144">
            <v>1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</row>
        <row r="145">
          <cell r="A145">
            <v>43425</v>
          </cell>
          <cell r="B145">
            <v>0.83680555555555547</v>
          </cell>
          <cell r="C145">
            <v>0.79513888888888884</v>
          </cell>
          <cell r="D145" t="str">
            <v>Standard</v>
          </cell>
          <cell r="G145" t="str">
            <v>TC @ LIN</v>
          </cell>
          <cell r="H145" t="str">
            <v>Vs. Conference</v>
          </cell>
          <cell r="I145" t="str">
            <v>TRI-CITY</v>
          </cell>
          <cell r="AC145">
            <v>13</v>
          </cell>
          <cell r="AD145">
            <v>5</v>
          </cell>
          <cell r="AJ145">
            <v>0</v>
          </cell>
          <cell r="AK145">
            <v>0</v>
          </cell>
          <cell r="AN145">
            <v>4</v>
          </cell>
          <cell r="AO145">
            <v>1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BA145" t="str">
            <v>LINCOLN</v>
          </cell>
          <cell r="BU145">
            <v>18</v>
          </cell>
          <cell r="BV145">
            <v>9</v>
          </cell>
          <cell r="CB145">
            <v>0</v>
          </cell>
          <cell r="CC145">
            <v>0</v>
          </cell>
          <cell r="CF145">
            <v>9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</row>
        <row r="146">
          <cell r="A146">
            <v>43426</v>
          </cell>
          <cell r="B146">
            <v>0.83680555555555547</v>
          </cell>
          <cell r="C146">
            <v>0.79513888888888884</v>
          </cell>
          <cell r="D146" t="str">
            <v>Standard</v>
          </cell>
          <cell r="G146" t="str">
            <v>CR @ WAT</v>
          </cell>
          <cell r="H146" t="str">
            <v>Vs. Non-Conference</v>
          </cell>
          <cell r="I146" t="str">
            <v>CEDAR RAPIDS</v>
          </cell>
          <cell r="AC146">
            <v>2</v>
          </cell>
          <cell r="AD146">
            <v>1</v>
          </cell>
          <cell r="AJ146">
            <v>0</v>
          </cell>
          <cell r="AK146">
            <v>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BA146" t="str">
            <v>WATERLOO</v>
          </cell>
          <cell r="BU146">
            <v>4</v>
          </cell>
          <cell r="BV146">
            <v>2</v>
          </cell>
          <cell r="CB146">
            <v>0</v>
          </cell>
          <cell r="CC146">
            <v>0</v>
          </cell>
          <cell r="CF146">
            <v>2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</row>
        <row r="147">
          <cell r="A147">
            <v>43427</v>
          </cell>
          <cell r="B147">
            <v>0.79513888888888884</v>
          </cell>
          <cell r="C147">
            <v>0.75347222222222221</v>
          </cell>
          <cell r="D147" t="str">
            <v>Standard</v>
          </cell>
          <cell r="G147" t="str">
            <v>MAD @ YNG</v>
          </cell>
          <cell r="H147" t="str">
            <v>Vs. Conference</v>
          </cell>
          <cell r="I147" t="str">
            <v>MADISON</v>
          </cell>
          <cell r="AC147">
            <v>49</v>
          </cell>
          <cell r="AD147">
            <v>11</v>
          </cell>
          <cell r="AJ147">
            <v>0</v>
          </cell>
          <cell r="AK147">
            <v>0</v>
          </cell>
          <cell r="AN147">
            <v>7</v>
          </cell>
          <cell r="AO147">
            <v>1</v>
          </cell>
          <cell r="AP147">
            <v>1</v>
          </cell>
          <cell r="AQ147">
            <v>2</v>
          </cell>
          <cell r="AR147">
            <v>0</v>
          </cell>
          <cell r="AS147">
            <v>0</v>
          </cell>
          <cell r="BA147" t="str">
            <v>YOUNGSTOWN</v>
          </cell>
          <cell r="BU147">
            <v>37</v>
          </cell>
          <cell r="BV147">
            <v>9</v>
          </cell>
          <cell r="CB147">
            <v>0</v>
          </cell>
          <cell r="CC147">
            <v>0</v>
          </cell>
          <cell r="CF147">
            <v>6</v>
          </cell>
          <cell r="CG147">
            <v>1</v>
          </cell>
          <cell r="CH147">
            <v>2</v>
          </cell>
          <cell r="CI147">
            <v>0</v>
          </cell>
          <cell r="CJ147">
            <v>0</v>
          </cell>
          <cell r="CK147">
            <v>0</v>
          </cell>
        </row>
        <row r="148">
          <cell r="A148">
            <v>43427</v>
          </cell>
          <cell r="B148">
            <v>0.80208333333333337</v>
          </cell>
          <cell r="C148">
            <v>0.76041666666666674</v>
          </cell>
          <cell r="D148" t="str">
            <v>Standard</v>
          </cell>
          <cell r="G148" t="str">
            <v>GB @ MUS</v>
          </cell>
          <cell r="H148" t="str">
            <v>Vs. Conference</v>
          </cell>
          <cell r="I148" t="str">
            <v>GREEN BAY</v>
          </cell>
          <cell r="AC148">
            <v>42</v>
          </cell>
          <cell r="AD148">
            <v>10</v>
          </cell>
          <cell r="AJ148">
            <v>0</v>
          </cell>
          <cell r="AK148">
            <v>0</v>
          </cell>
          <cell r="AN148">
            <v>6</v>
          </cell>
          <cell r="AO148">
            <v>2</v>
          </cell>
          <cell r="AP148">
            <v>2</v>
          </cell>
          <cell r="AQ148">
            <v>0</v>
          </cell>
          <cell r="AR148">
            <v>0</v>
          </cell>
          <cell r="AS148">
            <v>0</v>
          </cell>
          <cell r="BA148" t="str">
            <v>MUSKEGON</v>
          </cell>
          <cell r="BU148">
            <v>48</v>
          </cell>
          <cell r="BV148">
            <v>13</v>
          </cell>
          <cell r="CB148">
            <v>0</v>
          </cell>
          <cell r="CC148">
            <v>0</v>
          </cell>
          <cell r="CF148">
            <v>9</v>
          </cell>
          <cell r="CG148">
            <v>2</v>
          </cell>
          <cell r="CH148">
            <v>2</v>
          </cell>
          <cell r="CI148">
            <v>0</v>
          </cell>
          <cell r="CJ148">
            <v>0</v>
          </cell>
          <cell r="CK148">
            <v>0</v>
          </cell>
        </row>
        <row r="149">
          <cell r="A149">
            <v>43427</v>
          </cell>
          <cell r="B149">
            <v>0.83680555555555547</v>
          </cell>
          <cell r="C149">
            <v>0.79513888888888884</v>
          </cell>
          <cell r="D149" t="str">
            <v>Standard</v>
          </cell>
          <cell r="G149" t="str">
            <v>CR @ CHI</v>
          </cell>
          <cell r="H149" t="str">
            <v>Vs. Conference</v>
          </cell>
          <cell r="I149" t="str">
            <v>CEDAR RAPIDS</v>
          </cell>
          <cell r="AC149">
            <v>20</v>
          </cell>
          <cell r="AD149">
            <v>6</v>
          </cell>
          <cell r="AJ149">
            <v>0</v>
          </cell>
          <cell r="AK149">
            <v>0</v>
          </cell>
          <cell r="AN149">
            <v>5</v>
          </cell>
          <cell r="AO149">
            <v>0</v>
          </cell>
          <cell r="AP149">
            <v>1</v>
          </cell>
          <cell r="AQ149">
            <v>0</v>
          </cell>
          <cell r="AR149">
            <v>0</v>
          </cell>
          <cell r="AS149">
            <v>0</v>
          </cell>
          <cell r="BA149" t="str">
            <v>CHICAGO</v>
          </cell>
          <cell r="BU149">
            <v>22</v>
          </cell>
          <cell r="BV149">
            <v>7</v>
          </cell>
          <cell r="CB149">
            <v>0</v>
          </cell>
          <cell r="CC149">
            <v>0</v>
          </cell>
          <cell r="CF149">
            <v>6</v>
          </cell>
          <cell r="CG149">
            <v>0</v>
          </cell>
          <cell r="CH149">
            <v>1</v>
          </cell>
          <cell r="CI149">
            <v>0</v>
          </cell>
          <cell r="CJ149">
            <v>0</v>
          </cell>
          <cell r="CK149">
            <v>0</v>
          </cell>
        </row>
        <row r="150">
          <cell r="A150">
            <v>43427</v>
          </cell>
          <cell r="B150">
            <v>0.83680555555555547</v>
          </cell>
          <cell r="C150">
            <v>0.79513888888888884</v>
          </cell>
          <cell r="D150" t="str">
            <v>Standard</v>
          </cell>
          <cell r="G150" t="str">
            <v>LIN @ DM</v>
          </cell>
          <cell r="H150" t="str">
            <v>Vs. Conference</v>
          </cell>
          <cell r="I150" t="str">
            <v>LINCOLN</v>
          </cell>
          <cell r="AC150">
            <v>24</v>
          </cell>
          <cell r="AD150">
            <v>8</v>
          </cell>
          <cell r="AJ150">
            <v>0</v>
          </cell>
          <cell r="AK150">
            <v>0</v>
          </cell>
          <cell r="AN150">
            <v>7</v>
          </cell>
          <cell r="AO150">
            <v>0</v>
          </cell>
          <cell r="AP150">
            <v>1</v>
          </cell>
          <cell r="AQ150">
            <v>0</v>
          </cell>
          <cell r="AR150">
            <v>0</v>
          </cell>
          <cell r="AS150">
            <v>0</v>
          </cell>
          <cell r="BA150" t="str">
            <v>DES MOINES</v>
          </cell>
          <cell r="BU150">
            <v>10</v>
          </cell>
          <cell r="BV150">
            <v>5</v>
          </cell>
          <cell r="CB150">
            <v>0</v>
          </cell>
          <cell r="CC150">
            <v>0</v>
          </cell>
          <cell r="CF150">
            <v>5</v>
          </cell>
          <cell r="CG150">
            <v>0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</row>
        <row r="151">
          <cell r="A151">
            <v>43427</v>
          </cell>
          <cell r="B151">
            <v>0.83680555555555547</v>
          </cell>
          <cell r="C151">
            <v>0.79513888888888884</v>
          </cell>
          <cell r="D151" t="str">
            <v>Standard</v>
          </cell>
          <cell r="G151" t="str">
            <v>FGO @ SC</v>
          </cell>
          <cell r="H151" t="str">
            <v>Vs. Conference</v>
          </cell>
          <cell r="I151" t="str">
            <v>FARGO</v>
          </cell>
          <cell r="AC151">
            <v>20</v>
          </cell>
          <cell r="AD151">
            <v>6</v>
          </cell>
          <cell r="AJ151">
            <v>0</v>
          </cell>
          <cell r="AK151">
            <v>0</v>
          </cell>
          <cell r="AN151">
            <v>5</v>
          </cell>
          <cell r="AO151">
            <v>0</v>
          </cell>
          <cell r="AP151">
            <v>1</v>
          </cell>
          <cell r="AQ151">
            <v>0</v>
          </cell>
          <cell r="AR151">
            <v>0</v>
          </cell>
          <cell r="AS151">
            <v>0</v>
          </cell>
          <cell r="BA151" t="str">
            <v>SIOUX CITY</v>
          </cell>
          <cell r="BU151">
            <v>18</v>
          </cell>
          <cell r="BV151">
            <v>5</v>
          </cell>
          <cell r="CB151">
            <v>0</v>
          </cell>
          <cell r="CC151">
            <v>0</v>
          </cell>
          <cell r="CF151">
            <v>4</v>
          </cell>
          <cell r="CG151">
            <v>0</v>
          </cell>
          <cell r="CH151">
            <v>1</v>
          </cell>
          <cell r="CI151">
            <v>0</v>
          </cell>
          <cell r="CJ151">
            <v>0</v>
          </cell>
          <cell r="CK151">
            <v>0</v>
          </cell>
        </row>
        <row r="152">
          <cell r="A152">
            <v>43427</v>
          </cell>
          <cell r="B152">
            <v>0.83680555555555547</v>
          </cell>
          <cell r="C152">
            <v>0.79513888888888884</v>
          </cell>
          <cell r="D152" t="str">
            <v>Standard</v>
          </cell>
          <cell r="G152" t="str">
            <v>OMA @ TC</v>
          </cell>
          <cell r="H152" t="str">
            <v>Vs. Conference</v>
          </cell>
          <cell r="I152" t="str">
            <v>OMAHA</v>
          </cell>
          <cell r="AC152">
            <v>12</v>
          </cell>
          <cell r="AD152">
            <v>6</v>
          </cell>
          <cell r="AJ152">
            <v>0</v>
          </cell>
          <cell r="AK152">
            <v>0</v>
          </cell>
          <cell r="AN152">
            <v>6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BA152" t="str">
            <v>TRI-CITY</v>
          </cell>
          <cell r="BU152">
            <v>14</v>
          </cell>
          <cell r="BV152">
            <v>7</v>
          </cell>
          <cell r="CB152">
            <v>0</v>
          </cell>
          <cell r="CC152">
            <v>0</v>
          </cell>
          <cell r="CF152">
            <v>7</v>
          </cell>
          <cell r="CG152">
            <v>0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</row>
        <row r="153">
          <cell r="A153">
            <v>43427</v>
          </cell>
          <cell r="B153">
            <v>0.83819444444444446</v>
          </cell>
          <cell r="C153">
            <v>0.79652777777777783</v>
          </cell>
          <cell r="D153" t="str">
            <v>Standard</v>
          </cell>
          <cell r="G153" t="str">
            <v>USA @ CIL</v>
          </cell>
          <cell r="H153" t="str">
            <v>Vs. Conference</v>
          </cell>
          <cell r="I153" t="str">
            <v>TEAM USA</v>
          </cell>
          <cell r="AC153">
            <v>18</v>
          </cell>
          <cell r="AD153">
            <v>5</v>
          </cell>
          <cell r="AJ153">
            <v>0</v>
          </cell>
          <cell r="AK153">
            <v>0</v>
          </cell>
          <cell r="AN153">
            <v>4</v>
          </cell>
          <cell r="AO153">
            <v>0</v>
          </cell>
          <cell r="AP153">
            <v>1</v>
          </cell>
          <cell r="AQ153">
            <v>0</v>
          </cell>
          <cell r="AR153">
            <v>0</v>
          </cell>
          <cell r="AS153">
            <v>0</v>
          </cell>
          <cell r="BA153" t="str">
            <v>CENTRAL ILLINOIS</v>
          </cell>
          <cell r="BU153">
            <v>4</v>
          </cell>
          <cell r="BV153">
            <v>2</v>
          </cell>
          <cell r="CB153">
            <v>0</v>
          </cell>
          <cell r="CC153">
            <v>0</v>
          </cell>
          <cell r="CF153">
            <v>2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</row>
        <row r="154">
          <cell r="A154">
            <v>43428</v>
          </cell>
          <cell r="B154">
            <v>0.79513888888888884</v>
          </cell>
          <cell r="C154">
            <v>0.75347222222222221</v>
          </cell>
          <cell r="D154" t="str">
            <v>Standard</v>
          </cell>
          <cell r="G154" t="str">
            <v>MAD @ YNG</v>
          </cell>
          <cell r="H154" t="str">
            <v>Vs. Conference</v>
          </cell>
          <cell r="I154" t="str">
            <v>MADISON</v>
          </cell>
          <cell r="AC154">
            <v>18</v>
          </cell>
          <cell r="AD154">
            <v>5</v>
          </cell>
          <cell r="AJ154">
            <v>0</v>
          </cell>
          <cell r="AK154">
            <v>0</v>
          </cell>
          <cell r="AN154">
            <v>4</v>
          </cell>
          <cell r="AO154">
            <v>0</v>
          </cell>
          <cell r="AP154">
            <v>0</v>
          </cell>
          <cell r="AQ154">
            <v>1</v>
          </cell>
          <cell r="AR154">
            <v>0</v>
          </cell>
          <cell r="AS154">
            <v>0</v>
          </cell>
          <cell r="BA154" t="str">
            <v>YOUNGSTOWN</v>
          </cell>
          <cell r="BU154">
            <v>10</v>
          </cell>
          <cell r="BV154">
            <v>5</v>
          </cell>
          <cell r="CB154">
            <v>0</v>
          </cell>
          <cell r="CC154">
            <v>0</v>
          </cell>
          <cell r="CF154">
            <v>5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</row>
        <row r="155">
          <cell r="A155">
            <v>43428</v>
          </cell>
          <cell r="B155">
            <v>0.80208333333333337</v>
          </cell>
          <cell r="C155">
            <v>0.76041666666666674</v>
          </cell>
          <cell r="D155" t="str">
            <v>Standard</v>
          </cell>
          <cell r="G155" t="str">
            <v>GB @ MUS</v>
          </cell>
          <cell r="H155" t="str">
            <v>Vs. Conference</v>
          </cell>
          <cell r="I155" t="str">
            <v>GREEN BAY</v>
          </cell>
          <cell r="AC155">
            <v>40</v>
          </cell>
          <cell r="AD155">
            <v>8</v>
          </cell>
          <cell r="AJ155">
            <v>0</v>
          </cell>
          <cell r="AK155">
            <v>0</v>
          </cell>
          <cell r="AN155">
            <v>5</v>
          </cell>
          <cell r="AO155">
            <v>0</v>
          </cell>
          <cell r="AP155">
            <v>2</v>
          </cell>
          <cell r="AQ155">
            <v>1</v>
          </cell>
          <cell r="AR155">
            <v>0</v>
          </cell>
          <cell r="AS155">
            <v>0</v>
          </cell>
          <cell r="BA155" t="str">
            <v>MUSKEGON</v>
          </cell>
          <cell r="BU155">
            <v>14</v>
          </cell>
          <cell r="BV155">
            <v>7</v>
          </cell>
          <cell r="CB155">
            <v>0</v>
          </cell>
          <cell r="CC155">
            <v>0</v>
          </cell>
          <cell r="CF155">
            <v>7</v>
          </cell>
          <cell r="CG155">
            <v>0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</row>
        <row r="156">
          <cell r="A156">
            <v>43428</v>
          </cell>
          <cell r="B156">
            <v>0.83680555555555547</v>
          </cell>
          <cell r="C156">
            <v>0.79513888888888884</v>
          </cell>
          <cell r="D156" t="str">
            <v>Standard</v>
          </cell>
          <cell r="G156" t="str">
            <v>SC @ DM</v>
          </cell>
          <cell r="H156" t="str">
            <v>Vs. Conference</v>
          </cell>
          <cell r="I156" t="str">
            <v>SIOUX CITY</v>
          </cell>
          <cell r="AC156">
            <v>8</v>
          </cell>
          <cell r="AD156">
            <v>4</v>
          </cell>
          <cell r="AJ156">
            <v>0</v>
          </cell>
          <cell r="AK156">
            <v>0</v>
          </cell>
          <cell r="AN156">
            <v>4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BA156" t="str">
            <v>DES MOINES</v>
          </cell>
          <cell r="BU156">
            <v>6</v>
          </cell>
          <cell r="BV156">
            <v>3</v>
          </cell>
          <cell r="CB156">
            <v>0</v>
          </cell>
          <cell r="CC156">
            <v>0</v>
          </cell>
          <cell r="CF156">
            <v>3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</row>
        <row r="157">
          <cell r="A157">
            <v>43428</v>
          </cell>
          <cell r="B157">
            <v>0.83680555555555547</v>
          </cell>
          <cell r="C157">
            <v>0.79513888888888884</v>
          </cell>
          <cell r="D157" t="str">
            <v>Standard</v>
          </cell>
          <cell r="G157" t="str">
            <v>TC @ LIN</v>
          </cell>
          <cell r="H157" t="str">
            <v>Vs. Conference</v>
          </cell>
          <cell r="I157" t="str">
            <v>TRI-CITY</v>
          </cell>
          <cell r="AC157">
            <v>37</v>
          </cell>
          <cell r="AD157">
            <v>9</v>
          </cell>
          <cell r="AJ157">
            <v>0</v>
          </cell>
          <cell r="AK157">
            <v>0</v>
          </cell>
          <cell r="AN157">
            <v>6</v>
          </cell>
          <cell r="AO157">
            <v>1</v>
          </cell>
          <cell r="AP157">
            <v>1</v>
          </cell>
          <cell r="AQ157">
            <v>1</v>
          </cell>
          <cell r="AR157">
            <v>0</v>
          </cell>
          <cell r="AS157">
            <v>0</v>
          </cell>
          <cell r="BA157" t="str">
            <v>LINCOLN</v>
          </cell>
          <cell r="BU157">
            <v>27</v>
          </cell>
          <cell r="BV157">
            <v>8</v>
          </cell>
          <cell r="CB157">
            <v>0</v>
          </cell>
          <cell r="CC157">
            <v>0</v>
          </cell>
          <cell r="CF157">
            <v>6</v>
          </cell>
          <cell r="CG157">
            <v>1</v>
          </cell>
          <cell r="CH157">
            <v>1</v>
          </cell>
          <cell r="CI157">
            <v>0</v>
          </cell>
          <cell r="CJ157">
            <v>0</v>
          </cell>
          <cell r="CK157">
            <v>0</v>
          </cell>
        </row>
        <row r="158">
          <cell r="A158">
            <v>43428</v>
          </cell>
          <cell r="B158">
            <v>0.83680555555555547</v>
          </cell>
          <cell r="C158">
            <v>0.79513888888888884</v>
          </cell>
          <cell r="D158" t="str">
            <v>Standard</v>
          </cell>
          <cell r="G158" t="str">
            <v>FGO @ OMA</v>
          </cell>
          <cell r="H158" t="str">
            <v>Vs. Conference</v>
          </cell>
          <cell r="I158" t="str">
            <v>FARGO</v>
          </cell>
          <cell r="AC158">
            <v>39</v>
          </cell>
          <cell r="AD158">
            <v>10</v>
          </cell>
          <cell r="AJ158">
            <v>0</v>
          </cell>
          <cell r="AK158">
            <v>0</v>
          </cell>
          <cell r="AN158">
            <v>7</v>
          </cell>
          <cell r="AO158">
            <v>1</v>
          </cell>
          <cell r="AP158">
            <v>1</v>
          </cell>
          <cell r="AQ158">
            <v>1</v>
          </cell>
          <cell r="AR158">
            <v>0</v>
          </cell>
          <cell r="AS158">
            <v>0</v>
          </cell>
          <cell r="BA158" t="str">
            <v>OMAHA</v>
          </cell>
          <cell r="BU158">
            <v>24</v>
          </cell>
          <cell r="BV158">
            <v>8</v>
          </cell>
          <cell r="CB158">
            <v>0</v>
          </cell>
          <cell r="CC158">
            <v>0</v>
          </cell>
          <cell r="CF158">
            <v>7</v>
          </cell>
          <cell r="CG158">
            <v>0</v>
          </cell>
          <cell r="CH158">
            <v>1</v>
          </cell>
          <cell r="CI158">
            <v>0</v>
          </cell>
          <cell r="CJ158">
            <v>0</v>
          </cell>
          <cell r="CK158">
            <v>0</v>
          </cell>
        </row>
        <row r="159">
          <cell r="A159">
            <v>43428</v>
          </cell>
          <cell r="B159">
            <v>0.83680555555555547</v>
          </cell>
          <cell r="C159">
            <v>0.79513888888888884</v>
          </cell>
          <cell r="D159" t="str">
            <v>Standard</v>
          </cell>
          <cell r="G159" t="str">
            <v>WAT @ CR</v>
          </cell>
          <cell r="H159" t="str">
            <v>Vs. Non-Conference</v>
          </cell>
          <cell r="I159" t="str">
            <v>WATERLOO</v>
          </cell>
          <cell r="AC159">
            <v>48</v>
          </cell>
          <cell r="AD159">
            <v>12</v>
          </cell>
          <cell r="AJ159">
            <v>0</v>
          </cell>
          <cell r="AK159">
            <v>0</v>
          </cell>
          <cell r="AN159">
            <v>9</v>
          </cell>
          <cell r="AO159">
            <v>0</v>
          </cell>
          <cell r="AP159">
            <v>3</v>
          </cell>
          <cell r="AQ159">
            <v>0</v>
          </cell>
          <cell r="AR159">
            <v>0</v>
          </cell>
          <cell r="AS159">
            <v>0</v>
          </cell>
          <cell r="BA159" t="str">
            <v>CEDAR RAPIDS</v>
          </cell>
          <cell r="BU159">
            <v>36</v>
          </cell>
          <cell r="BV159">
            <v>10</v>
          </cell>
          <cell r="CB159">
            <v>0</v>
          </cell>
          <cell r="CC159">
            <v>0</v>
          </cell>
          <cell r="CF159">
            <v>8</v>
          </cell>
          <cell r="CG159">
            <v>0</v>
          </cell>
          <cell r="CH159">
            <v>2</v>
          </cell>
          <cell r="CI159">
            <v>0</v>
          </cell>
          <cell r="CJ159">
            <v>0</v>
          </cell>
          <cell r="CK159">
            <v>0</v>
          </cell>
        </row>
        <row r="160">
          <cell r="A160">
            <v>43428</v>
          </cell>
          <cell r="B160">
            <v>0.83680555555555547</v>
          </cell>
          <cell r="C160">
            <v>0.79513888888888884</v>
          </cell>
          <cell r="D160" t="str">
            <v>Standard</v>
          </cell>
          <cell r="G160" t="str">
            <v>DUB @ SF</v>
          </cell>
          <cell r="H160" t="str">
            <v>Vs. Non-Conference</v>
          </cell>
          <cell r="I160" t="str">
            <v>DUBUQUE</v>
          </cell>
          <cell r="AC160">
            <v>60</v>
          </cell>
          <cell r="AD160">
            <v>14</v>
          </cell>
          <cell r="AJ160">
            <v>0</v>
          </cell>
          <cell r="AK160">
            <v>0</v>
          </cell>
          <cell r="AN160">
            <v>10</v>
          </cell>
          <cell r="AO160">
            <v>0</v>
          </cell>
          <cell r="AP160">
            <v>4</v>
          </cell>
          <cell r="AQ160">
            <v>0</v>
          </cell>
          <cell r="AR160">
            <v>0</v>
          </cell>
          <cell r="AS160">
            <v>0</v>
          </cell>
          <cell r="BA160" t="str">
            <v>SIOUX FALLS</v>
          </cell>
          <cell r="BU160">
            <v>44</v>
          </cell>
          <cell r="BV160">
            <v>10</v>
          </cell>
          <cell r="CB160">
            <v>0</v>
          </cell>
          <cell r="CC160">
            <v>0</v>
          </cell>
          <cell r="CF160">
            <v>7</v>
          </cell>
          <cell r="CG160">
            <v>0</v>
          </cell>
          <cell r="CH160">
            <v>3</v>
          </cell>
          <cell r="CI160">
            <v>0</v>
          </cell>
          <cell r="CJ160">
            <v>0</v>
          </cell>
          <cell r="CK160">
            <v>0</v>
          </cell>
        </row>
        <row r="161">
          <cell r="A161">
            <v>43428</v>
          </cell>
          <cell r="B161">
            <v>0.83819444444444446</v>
          </cell>
          <cell r="C161">
            <v>0.79652777777777783</v>
          </cell>
          <cell r="D161" t="str">
            <v>Standard</v>
          </cell>
          <cell r="G161" t="str">
            <v>CHI @ CIL</v>
          </cell>
          <cell r="H161" t="str">
            <v>Vs. Conference</v>
          </cell>
          <cell r="I161" t="str">
            <v>CHICAGO</v>
          </cell>
          <cell r="AC161">
            <v>10</v>
          </cell>
          <cell r="AD161">
            <v>5</v>
          </cell>
          <cell r="AJ161">
            <v>0</v>
          </cell>
          <cell r="AK161">
            <v>0</v>
          </cell>
          <cell r="AN161">
            <v>5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BA161" t="str">
            <v>CENTRAL ILLINOIS</v>
          </cell>
          <cell r="BU161">
            <v>10</v>
          </cell>
          <cell r="BV161">
            <v>5</v>
          </cell>
          <cell r="CB161">
            <v>0</v>
          </cell>
          <cell r="CC161">
            <v>0</v>
          </cell>
          <cell r="CF161">
            <v>5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</row>
        <row r="162">
          <cell r="A162">
            <v>43434</v>
          </cell>
          <cell r="B162">
            <v>0.79166666666666663</v>
          </cell>
          <cell r="C162">
            <v>0.75</v>
          </cell>
          <cell r="D162" t="str">
            <v>Standard</v>
          </cell>
          <cell r="G162" t="str">
            <v>WAT @ USA</v>
          </cell>
          <cell r="H162" t="str">
            <v>Vs. Non-Conference</v>
          </cell>
          <cell r="I162" t="str">
            <v>WATERLOO</v>
          </cell>
          <cell r="AC162">
            <v>28</v>
          </cell>
          <cell r="AD162">
            <v>10</v>
          </cell>
          <cell r="AJ162">
            <v>0</v>
          </cell>
          <cell r="AK162">
            <v>0</v>
          </cell>
          <cell r="AN162">
            <v>9</v>
          </cell>
          <cell r="AO162">
            <v>0</v>
          </cell>
          <cell r="AP162">
            <v>1</v>
          </cell>
          <cell r="AQ162">
            <v>0</v>
          </cell>
          <cell r="AR162">
            <v>0</v>
          </cell>
          <cell r="AS162">
            <v>0</v>
          </cell>
          <cell r="BA162" t="str">
            <v>TEAM USA</v>
          </cell>
          <cell r="BU162">
            <v>20</v>
          </cell>
          <cell r="BV162">
            <v>10</v>
          </cell>
          <cell r="CB162">
            <v>0</v>
          </cell>
          <cell r="CC162">
            <v>0</v>
          </cell>
          <cell r="CF162">
            <v>10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</row>
        <row r="163">
          <cell r="A163">
            <v>43434</v>
          </cell>
          <cell r="B163">
            <v>0.79513888888888884</v>
          </cell>
          <cell r="C163">
            <v>0.75347222222222221</v>
          </cell>
          <cell r="D163" t="str">
            <v>Standard</v>
          </cell>
          <cell r="G163" t="str">
            <v>FGO @ YNG</v>
          </cell>
          <cell r="H163" t="str">
            <v>Vs. Non-Conference</v>
          </cell>
          <cell r="I163" t="str">
            <v>FARGO</v>
          </cell>
          <cell r="AC163">
            <v>10</v>
          </cell>
          <cell r="AD163">
            <v>5</v>
          </cell>
          <cell r="AJ163">
            <v>0</v>
          </cell>
          <cell r="AK163">
            <v>0</v>
          </cell>
          <cell r="AN163">
            <v>5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BA163" t="str">
            <v>YOUNGSTOWN</v>
          </cell>
          <cell r="BU163">
            <v>14</v>
          </cell>
          <cell r="BV163">
            <v>7</v>
          </cell>
          <cell r="CB163">
            <v>0</v>
          </cell>
          <cell r="CC163">
            <v>0</v>
          </cell>
          <cell r="CF163">
            <v>7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</row>
        <row r="164">
          <cell r="A164">
            <v>43434</v>
          </cell>
          <cell r="B164">
            <v>0.83680555555555547</v>
          </cell>
          <cell r="C164">
            <v>0.79513888888888884</v>
          </cell>
          <cell r="D164" t="str">
            <v>Standard</v>
          </cell>
          <cell r="G164" t="str">
            <v>CIL @ CHI</v>
          </cell>
          <cell r="H164" t="str">
            <v>Vs. Conference</v>
          </cell>
          <cell r="I164" t="str">
            <v>CENTRAL ILLINOIS</v>
          </cell>
          <cell r="AC164">
            <v>12</v>
          </cell>
          <cell r="AD164">
            <v>6</v>
          </cell>
          <cell r="AJ164">
            <v>0</v>
          </cell>
          <cell r="AK164">
            <v>0</v>
          </cell>
          <cell r="AN164">
            <v>6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BA164" t="str">
            <v>CHICAGO</v>
          </cell>
          <cell r="BU164">
            <v>6</v>
          </cell>
          <cell r="BV164">
            <v>3</v>
          </cell>
          <cell r="CB164">
            <v>0</v>
          </cell>
          <cell r="CC164">
            <v>0</v>
          </cell>
          <cell r="CF164">
            <v>3</v>
          </cell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</row>
        <row r="165">
          <cell r="A165">
            <v>43434</v>
          </cell>
          <cell r="B165">
            <v>0.83680555555555547</v>
          </cell>
          <cell r="C165">
            <v>0.79513888888888884</v>
          </cell>
          <cell r="D165" t="str">
            <v>Standard</v>
          </cell>
          <cell r="G165" t="str">
            <v>MUS @ GB</v>
          </cell>
          <cell r="H165" t="str">
            <v>Vs. Conference</v>
          </cell>
          <cell r="I165" t="str">
            <v>MUSKEGON</v>
          </cell>
          <cell r="AC165">
            <v>27</v>
          </cell>
          <cell r="AD165">
            <v>8</v>
          </cell>
          <cell r="AJ165">
            <v>0</v>
          </cell>
          <cell r="AK165">
            <v>0</v>
          </cell>
          <cell r="AN165">
            <v>6</v>
          </cell>
          <cell r="AO165">
            <v>1</v>
          </cell>
          <cell r="AP165">
            <v>1</v>
          </cell>
          <cell r="AQ165">
            <v>0</v>
          </cell>
          <cell r="AR165">
            <v>0</v>
          </cell>
          <cell r="AS165">
            <v>0</v>
          </cell>
          <cell r="BA165" t="str">
            <v>GREEN BAY</v>
          </cell>
          <cell r="BU165">
            <v>23</v>
          </cell>
          <cell r="BV165">
            <v>6</v>
          </cell>
          <cell r="CB165">
            <v>0</v>
          </cell>
          <cell r="CC165">
            <v>0</v>
          </cell>
          <cell r="CF165">
            <v>4</v>
          </cell>
          <cell r="CG165">
            <v>1</v>
          </cell>
          <cell r="CH165">
            <v>1</v>
          </cell>
          <cell r="CI165">
            <v>0</v>
          </cell>
          <cell r="CJ165">
            <v>0</v>
          </cell>
          <cell r="CK165">
            <v>0</v>
          </cell>
        </row>
        <row r="166">
          <cell r="A166">
            <v>43434</v>
          </cell>
          <cell r="B166">
            <v>0.83680555555555547</v>
          </cell>
          <cell r="C166">
            <v>0.79513888888888884</v>
          </cell>
          <cell r="D166" t="str">
            <v>Standard</v>
          </cell>
          <cell r="G166" t="str">
            <v>OMA @ LIN</v>
          </cell>
          <cell r="H166" t="str">
            <v>Vs. Conference</v>
          </cell>
          <cell r="I166" t="str">
            <v>OMAHA</v>
          </cell>
          <cell r="AC166">
            <v>8</v>
          </cell>
          <cell r="AD166">
            <v>4</v>
          </cell>
          <cell r="AJ166">
            <v>0</v>
          </cell>
          <cell r="AK166">
            <v>0</v>
          </cell>
          <cell r="AN166">
            <v>4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BA166" t="str">
            <v>LINCOLN</v>
          </cell>
          <cell r="BU166">
            <v>2</v>
          </cell>
          <cell r="BV166">
            <v>1</v>
          </cell>
          <cell r="CB166">
            <v>0</v>
          </cell>
          <cell r="CC166">
            <v>0</v>
          </cell>
          <cell r="CF166">
            <v>1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</row>
        <row r="167">
          <cell r="A167">
            <v>43434</v>
          </cell>
          <cell r="B167">
            <v>0.83680555555555547</v>
          </cell>
          <cell r="C167">
            <v>0.79513888888888884</v>
          </cell>
          <cell r="D167" t="str">
            <v>Standard</v>
          </cell>
          <cell r="G167" t="str">
            <v>SF @ TC</v>
          </cell>
          <cell r="H167" t="str">
            <v>Vs. Conference</v>
          </cell>
          <cell r="I167" t="str">
            <v>SIOUX FALLS</v>
          </cell>
          <cell r="AC167">
            <v>16</v>
          </cell>
          <cell r="AD167">
            <v>8</v>
          </cell>
          <cell r="AJ167">
            <v>0</v>
          </cell>
          <cell r="AK167">
            <v>0</v>
          </cell>
          <cell r="AN167">
            <v>8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BA167" t="str">
            <v>TRI-CITY</v>
          </cell>
          <cell r="BU167">
            <v>24</v>
          </cell>
          <cell r="BV167">
            <v>8</v>
          </cell>
          <cell r="CB167">
            <v>0</v>
          </cell>
          <cell r="CC167">
            <v>0</v>
          </cell>
          <cell r="CF167">
            <v>7</v>
          </cell>
          <cell r="CG167">
            <v>0</v>
          </cell>
          <cell r="CH167">
            <v>1</v>
          </cell>
          <cell r="CI167">
            <v>0</v>
          </cell>
          <cell r="CJ167">
            <v>0</v>
          </cell>
          <cell r="CK167">
            <v>0</v>
          </cell>
        </row>
        <row r="168">
          <cell r="A168">
            <v>43434</v>
          </cell>
          <cell r="B168">
            <v>0.83680555555555547</v>
          </cell>
          <cell r="C168">
            <v>0.79513888888888884</v>
          </cell>
          <cell r="D168" t="str">
            <v>Standard</v>
          </cell>
          <cell r="G168" t="str">
            <v>CR @ DM</v>
          </cell>
          <cell r="H168" t="str">
            <v>Vs. Non-Conference</v>
          </cell>
          <cell r="I168" t="str">
            <v>CEDAR RAPIDS</v>
          </cell>
          <cell r="AC168">
            <v>2</v>
          </cell>
          <cell r="AD168">
            <v>1</v>
          </cell>
          <cell r="AJ168">
            <v>0</v>
          </cell>
          <cell r="AK168">
            <v>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BA168" t="str">
            <v>DES MOINES</v>
          </cell>
          <cell r="BU168">
            <v>4</v>
          </cell>
          <cell r="BV168">
            <v>2</v>
          </cell>
          <cell r="CB168">
            <v>0</v>
          </cell>
          <cell r="CC168">
            <v>0</v>
          </cell>
          <cell r="CF168">
            <v>2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</row>
        <row r="169">
          <cell r="A169">
            <v>43435</v>
          </cell>
          <cell r="B169">
            <v>0.67013888888888884</v>
          </cell>
          <cell r="C169">
            <v>0.62847222222222221</v>
          </cell>
          <cell r="D169" t="str">
            <v>Standard</v>
          </cell>
          <cell r="G169" t="str">
            <v>CR @ TC</v>
          </cell>
          <cell r="H169" t="str">
            <v>Vs. Non-Conference</v>
          </cell>
          <cell r="I169" t="str">
            <v>CEDAR RAPIDS</v>
          </cell>
          <cell r="AC169">
            <v>6</v>
          </cell>
          <cell r="AD169">
            <v>3</v>
          </cell>
          <cell r="AJ169">
            <v>0</v>
          </cell>
          <cell r="AK169">
            <v>0</v>
          </cell>
          <cell r="AN169">
            <v>3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BA169" t="str">
            <v>TRI-CITY</v>
          </cell>
          <cell r="BU169">
            <v>10</v>
          </cell>
          <cell r="BV169">
            <v>5</v>
          </cell>
          <cell r="CB169">
            <v>0</v>
          </cell>
          <cell r="CC169">
            <v>0</v>
          </cell>
          <cell r="CF169">
            <v>5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</row>
        <row r="170">
          <cell r="A170">
            <v>43435</v>
          </cell>
          <cell r="B170">
            <v>0.79166666666666663</v>
          </cell>
          <cell r="C170">
            <v>0.75</v>
          </cell>
          <cell r="D170" t="str">
            <v>Standard</v>
          </cell>
          <cell r="G170" t="str">
            <v>WAT @ USA</v>
          </cell>
          <cell r="H170" t="str">
            <v>Vs. Non-Conference</v>
          </cell>
          <cell r="I170" t="str">
            <v>WATERLOO</v>
          </cell>
          <cell r="AC170">
            <v>12</v>
          </cell>
          <cell r="AD170">
            <v>6</v>
          </cell>
          <cell r="AJ170">
            <v>0</v>
          </cell>
          <cell r="AK170">
            <v>0</v>
          </cell>
          <cell r="AN170">
            <v>6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BA170" t="str">
            <v>TEAM USA</v>
          </cell>
          <cell r="BU170">
            <v>12</v>
          </cell>
          <cell r="BV170">
            <v>6</v>
          </cell>
          <cell r="CB170">
            <v>0</v>
          </cell>
          <cell r="CC170">
            <v>0</v>
          </cell>
          <cell r="CF170">
            <v>6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</row>
        <row r="171">
          <cell r="A171">
            <v>43435</v>
          </cell>
          <cell r="B171">
            <v>0.79513888888888884</v>
          </cell>
          <cell r="C171">
            <v>0.75347222222222221</v>
          </cell>
          <cell r="D171" t="str">
            <v>Standard</v>
          </cell>
          <cell r="G171" t="str">
            <v>FGO @ YNG</v>
          </cell>
          <cell r="H171" t="str">
            <v>Vs. Non-Conference</v>
          </cell>
          <cell r="I171" t="str">
            <v>FARGO</v>
          </cell>
          <cell r="AC171">
            <v>18</v>
          </cell>
          <cell r="AD171">
            <v>9</v>
          </cell>
          <cell r="AJ171">
            <v>0</v>
          </cell>
          <cell r="AK171">
            <v>0</v>
          </cell>
          <cell r="AN171">
            <v>9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BA171" t="str">
            <v>YOUNGSTOWN</v>
          </cell>
          <cell r="BU171">
            <v>14</v>
          </cell>
          <cell r="BV171">
            <v>7</v>
          </cell>
          <cell r="CB171">
            <v>0</v>
          </cell>
          <cell r="CC171">
            <v>0</v>
          </cell>
          <cell r="CF171">
            <v>7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</row>
        <row r="172">
          <cell r="A172">
            <v>43435</v>
          </cell>
          <cell r="B172">
            <v>0.83680555555555547</v>
          </cell>
          <cell r="C172">
            <v>0.79513888888888884</v>
          </cell>
          <cell r="D172" t="str">
            <v>Standard</v>
          </cell>
          <cell r="G172" t="str">
            <v>SF @ DM</v>
          </cell>
          <cell r="H172" t="str">
            <v>Vs. Conference</v>
          </cell>
          <cell r="I172" t="str">
            <v>SIOUX FALLS</v>
          </cell>
          <cell r="AC172">
            <v>28</v>
          </cell>
          <cell r="AD172">
            <v>10</v>
          </cell>
          <cell r="AJ172">
            <v>0</v>
          </cell>
          <cell r="AK172">
            <v>0</v>
          </cell>
          <cell r="AN172">
            <v>9</v>
          </cell>
          <cell r="AO172">
            <v>0</v>
          </cell>
          <cell r="AP172">
            <v>1</v>
          </cell>
          <cell r="AQ172">
            <v>0</v>
          </cell>
          <cell r="AR172">
            <v>0</v>
          </cell>
          <cell r="AS172">
            <v>0</v>
          </cell>
          <cell r="BA172" t="str">
            <v>DES MOINES</v>
          </cell>
          <cell r="BU172">
            <v>16</v>
          </cell>
          <cell r="BV172">
            <v>8</v>
          </cell>
          <cell r="CB172">
            <v>0</v>
          </cell>
          <cell r="CC172">
            <v>0</v>
          </cell>
          <cell r="CF172">
            <v>8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</row>
        <row r="173">
          <cell r="A173">
            <v>43435</v>
          </cell>
          <cell r="B173">
            <v>0.83680555555555547</v>
          </cell>
          <cell r="C173">
            <v>0.79513888888888884</v>
          </cell>
          <cell r="D173" t="str">
            <v>Standard</v>
          </cell>
          <cell r="G173" t="str">
            <v>GB @ DUB</v>
          </cell>
          <cell r="H173" t="str">
            <v>Vs. Conference</v>
          </cell>
          <cell r="I173" t="str">
            <v>GREEN BAY</v>
          </cell>
          <cell r="AC173">
            <v>25</v>
          </cell>
          <cell r="AD173">
            <v>7</v>
          </cell>
          <cell r="AJ173">
            <v>0</v>
          </cell>
          <cell r="AK173">
            <v>0</v>
          </cell>
          <cell r="AN173">
            <v>5</v>
          </cell>
          <cell r="AO173">
            <v>1</v>
          </cell>
          <cell r="AP173">
            <v>0</v>
          </cell>
          <cell r="AQ173">
            <v>1</v>
          </cell>
          <cell r="AR173">
            <v>0</v>
          </cell>
          <cell r="AS173">
            <v>0</v>
          </cell>
          <cell r="BA173" t="str">
            <v>DUBUQUE</v>
          </cell>
          <cell r="BU173">
            <v>27</v>
          </cell>
          <cell r="BV173">
            <v>4</v>
          </cell>
          <cell r="CB173">
            <v>0</v>
          </cell>
          <cell r="CC173">
            <v>0</v>
          </cell>
          <cell r="CF173">
            <v>1</v>
          </cell>
          <cell r="CG173">
            <v>1</v>
          </cell>
          <cell r="CH173">
            <v>1</v>
          </cell>
          <cell r="CI173">
            <v>1</v>
          </cell>
          <cell r="CJ173">
            <v>0</v>
          </cell>
          <cell r="CK173">
            <v>0</v>
          </cell>
        </row>
        <row r="174">
          <cell r="A174">
            <v>43435</v>
          </cell>
          <cell r="B174">
            <v>0.83680555555555547</v>
          </cell>
          <cell r="C174">
            <v>0.79513888888888884</v>
          </cell>
          <cell r="D174" t="str">
            <v>Standard</v>
          </cell>
          <cell r="G174" t="str">
            <v>MUS @ MAD</v>
          </cell>
          <cell r="H174" t="str">
            <v>Vs. Conference</v>
          </cell>
          <cell r="I174" t="str">
            <v>MUSKEGON</v>
          </cell>
          <cell r="AC174">
            <v>10</v>
          </cell>
          <cell r="AD174">
            <v>5</v>
          </cell>
          <cell r="AJ174">
            <v>0</v>
          </cell>
          <cell r="AK174">
            <v>0</v>
          </cell>
          <cell r="AN174">
            <v>5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BA174" t="str">
            <v>MADISON</v>
          </cell>
          <cell r="BU174">
            <v>14</v>
          </cell>
          <cell r="BV174">
            <v>7</v>
          </cell>
          <cell r="CB174">
            <v>0</v>
          </cell>
          <cell r="CC174">
            <v>0</v>
          </cell>
          <cell r="CF174">
            <v>7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</row>
        <row r="175">
          <cell r="A175">
            <v>43435</v>
          </cell>
          <cell r="B175">
            <v>0.83819444444444446</v>
          </cell>
          <cell r="C175">
            <v>0.79652777777777783</v>
          </cell>
          <cell r="D175" t="str">
            <v>Standard</v>
          </cell>
          <cell r="G175" t="str">
            <v>CHI @ CIL</v>
          </cell>
          <cell r="H175" t="str">
            <v>Vs. Conference</v>
          </cell>
          <cell r="I175" t="str">
            <v>CHICAGO</v>
          </cell>
          <cell r="AC175">
            <v>23</v>
          </cell>
          <cell r="AD175">
            <v>6</v>
          </cell>
          <cell r="AJ175">
            <v>0</v>
          </cell>
          <cell r="AK175">
            <v>0</v>
          </cell>
          <cell r="AN175">
            <v>4</v>
          </cell>
          <cell r="AO175">
            <v>1</v>
          </cell>
          <cell r="AP175">
            <v>0</v>
          </cell>
          <cell r="AQ175">
            <v>1</v>
          </cell>
          <cell r="AR175">
            <v>0</v>
          </cell>
          <cell r="AS175">
            <v>0</v>
          </cell>
          <cell r="BA175" t="str">
            <v>CENTRAL ILLINOIS</v>
          </cell>
          <cell r="BU175">
            <v>37</v>
          </cell>
          <cell r="BV175">
            <v>9</v>
          </cell>
          <cell r="CB175">
            <v>0</v>
          </cell>
          <cell r="CC175">
            <v>0</v>
          </cell>
          <cell r="CF175">
            <v>6</v>
          </cell>
          <cell r="CG175">
            <v>1</v>
          </cell>
          <cell r="CH175">
            <v>1</v>
          </cell>
          <cell r="CI175">
            <v>1</v>
          </cell>
          <cell r="CJ175">
            <v>0</v>
          </cell>
          <cell r="CK175">
            <v>0</v>
          </cell>
        </row>
        <row r="176">
          <cell r="A176">
            <v>43436</v>
          </cell>
          <cell r="B176">
            <v>0.67013888888888884</v>
          </cell>
          <cell r="C176">
            <v>0.62847222222222221</v>
          </cell>
          <cell r="D176" t="str">
            <v>Standard</v>
          </cell>
          <cell r="G176" t="str">
            <v>MUS @ DUB</v>
          </cell>
          <cell r="H176" t="str">
            <v>Vs. Conference</v>
          </cell>
          <cell r="I176" t="str">
            <v>MUSKEGON</v>
          </cell>
          <cell r="AC176">
            <v>8</v>
          </cell>
          <cell r="AD176">
            <v>4</v>
          </cell>
          <cell r="AJ176">
            <v>0</v>
          </cell>
          <cell r="AK176">
            <v>0</v>
          </cell>
          <cell r="AN176">
            <v>4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BA176" t="str">
            <v>DUBUQUE</v>
          </cell>
          <cell r="BU176">
            <v>12</v>
          </cell>
          <cell r="BV176">
            <v>6</v>
          </cell>
          <cell r="CB176">
            <v>0</v>
          </cell>
          <cell r="CC176">
            <v>0</v>
          </cell>
          <cell r="CF176">
            <v>6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</row>
        <row r="177">
          <cell r="A177">
            <v>43436</v>
          </cell>
          <cell r="B177">
            <v>0.71319444444444446</v>
          </cell>
          <cell r="C177">
            <v>0.67152777777777783</v>
          </cell>
          <cell r="D177" t="str">
            <v>Standard</v>
          </cell>
          <cell r="G177" t="str">
            <v>MAD @ CIL</v>
          </cell>
          <cell r="H177" t="str">
            <v>Vs. Conference</v>
          </cell>
          <cell r="I177" t="str">
            <v>MADISON</v>
          </cell>
          <cell r="AC177">
            <v>25</v>
          </cell>
          <cell r="AD177">
            <v>7</v>
          </cell>
          <cell r="AJ177">
            <v>0</v>
          </cell>
          <cell r="AK177">
            <v>0</v>
          </cell>
          <cell r="AN177">
            <v>5</v>
          </cell>
          <cell r="AO177">
            <v>1</v>
          </cell>
          <cell r="AP177">
            <v>1</v>
          </cell>
          <cell r="AQ177">
            <v>0</v>
          </cell>
          <cell r="AR177">
            <v>0</v>
          </cell>
          <cell r="AS177">
            <v>0</v>
          </cell>
          <cell r="BA177" t="str">
            <v>CENTRAL ILLINOIS</v>
          </cell>
          <cell r="BU177">
            <v>21</v>
          </cell>
          <cell r="BV177">
            <v>5</v>
          </cell>
          <cell r="CB177">
            <v>0</v>
          </cell>
          <cell r="CC177">
            <v>0</v>
          </cell>
          <cell r="CF177">
            <v>3</v>
          </cell>
          <cell r="CG177">
            <v>1</v>
          </cell>
          <cell r="CH177">
            <v>1</v>
          </cell>
          <cell r="CI177">
            <v>0</v>
          </cell>
          <cell r="CJ177">
            <v>0</v>
          </cell>
          <cell r="CK177">
            <v>0</v>
          </cell>
        </row>
        <row r="178">
          <cell r="A178">
            <v>43438</v>
          </cell>
          <cell r="B178">
            <v>0.83680555555555547</v>
          </cell>
          <cell r="C178">
            <v>0.79513888888888884</v>
          </cell>
          <cell r="D178" t="str">
            <v>Standard</v>
          </cell>
          <cell r="G178" t="str">
            <v>CR @ CHI</v>
          </cell>
          <cell r="H178" t="str">
            <v>Vs. Conference</v>
          </cell>
          <cell r="I178" t="str">
            <v>CEDAR RAPIDS</v>
          </cell>
          <cell r="AC178">
            <v>8</v>
          </cell>
          <cell r="AD178">
            <v>4</v>
          </cell>
          <cell r="AJ178">
            <v>0</v>
          </cell>
          <cell r="AK178">
            <v>0</v>
          </cell>
          <cell r="AN178">
            <v>4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BA178" t="str">
            <v>CHICAGO</v>
          </cell>
          <cell r="BU178">
            <v>12</v>
          </cell>
          <cell r="BV178">
            <v>6</v>
          </cell>
          <cell r="CB178">
            <v>0</v>
          </cell>
          <cell r="CC178">
            <v>0</v>
          </cell>
          <cell r="CF178">
            <v>6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</row>
        <row r="179">
          <cell r="A179">
            <v>43438</v>
          </cell>
          <cell r="B179">
            <v>0.83680555555555547</v>
          </cell>
          <cell r="C179">
            <v>0.79513888888888884</v>
          </cell>
          <cell r="D179" t="str">
            <v>Standard</v>
          </cell>
          <cell r="G179" t="str">
            <v>DM @ SF</v>
          </cell>
          <cell r="H179" t="str">
            <v>Vs. Conference</v>
          </cell>
          <cell r="I179" t="str">
            <v>DES MOINES</v>
          </cell>
          <cell r="AC179">
            <v>4</v>
          </cell>
          <cell r="AD179">
            <v>2</v>
          </cell>
          <cell r="AJ179">
            <v>0</v>
          </cell>
          <cell r="AK179">
            <v>0</v>
          </cell>
          <cell r="AN179">
            <v>2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BA179" t="str">
            <v>SIOUX FALLS</v>
          </cell>
          <cell r="BU179">
            <v>8</v>
          </cell>
          <cell r="BV179">
            <v>4</v>
          </cell>
          <cell r="CB179">
            <v>0</v>
          </cell>
          <cell r="CC179">
            <v>0</v>
          </cell>
          <cell r="CF179">
            <v>4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</row>
        <row r="180">
          <cell r="A180">
            <v>43441</v>
          </cell>
          <cell r="B180">
            <v>0.79166666666666663</v>
          </cell>
          <cell r="C180">
            <v>0.75</v>
          </cell>
          <cell r="D180" t="str">
            <v>Standard</v>
          </cell>
          <cell r="G180" t="str">
            <v>YNG @ USA</v>
          </cell>
          <cell r="H180" t="str">
            <v>Vs. Conference</v>
          </cell>
          <cell r="I180" t="str">
            <v>YOUNGSTOWN</v>
          </cell>
          <cell r="AC180">
            <v>8</v>
          </cell>
          <cell r="AD180">
            <v>4</v>
          </cell>
          <cell r="AJ180">
            <v>0</v>
          </cell>
          <cell r="AK180">
            <v>0</v>
          </cell>
          <cell r="AN180">
            <v>4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BA180" t="str">
            <v>TEAM USA</v>
          </cell>
          <cell r="BU180">
            <v>14</v>
          </cell>
          <cell r="BV180">
            <v>7</v>
          </cell>
          <cell r="CB180">
            <v>0</v>
          </cell>
          <cell r="CC180">
            <v>0</v>
          </cell>
          <cell r="CF180">
            <v>7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</row>
        <row r="181">
          <cell r="A181">
            <v>43441</v>
          </cell>
          <cell r="B181">
            <v>0.80208333333333337</v>
          </cell>
          <cell r="C181">
            <v>0.76041666666666674</v>
          </cell>
          <cell r="D181" t="str">
            <v>Standard</v>
          </cell>
          <cell r="G181" t="str">
            <v>DUB @ MUS</v>
          </cell>
          <cell r="H181" t="str">
            <v>Vs. Conference</v>
          </cell>
          <cell r="I181" t="str">
            <v>DUBUQUE</v>
          </cell>
          <cell r="AC181">
            <v>22</v>
          </cell>
          <cell r="AD181">
            <v>7</v>
          </cell>
          <cell r="AJ181">
            <v>0</v>
          </cell>
          <cell r="AK181">
            <v>0</v>
          </cell>
          <cell r="AN181">
            <v>6</v>
          </cell>
          <cell r="AO181">
            <v>0</v>
          </cell>
          <cell r="AP181">
            <v>1</v>
          </cell>
          <cell r="AQ181">
            <v>0</v>
          </cell>
          <cell r="AR181">
            <v>0</v>
          </cell>
          <cell r="AS181">
            <v>0</v>
          </cell>
          <cell r="BA181" t="str">
            <v>MUSKEGON</v>
          </cell>
          <cell r="BU181">
            <v>14</v>
          </cell>
          <cell r="BV181">
            <v>7</v>
          </cell>
          <cell r="CB181">
            <v>0</v>
          </cell>
          <cell r="CC181">
            <v>0</v>
          </cell>
          <cell r="CF181">
            <v>7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</row>
        <row r="182">
          <cell r="A182">
            <v>43441</v>
          </cell>
          <cell r="B182">
            <v>0.83680555555555547</v>
          </cell>
          <cell r="C182">
            <v>0.79513888888888884</v>
          </cell>
          <cell r="D182" t="str">
            <v>Standard</v>
          </cell>
          <cell r="G182" t="str">
            <v>GB @ CR</v>
          </cell>
          <cell r="H182" t="str">
            <v>Vs. Conference</v>
          </cell>
          <cell r="I182" t="str">
            <v>GREEN BAY</v>
          </cell>
          <cell r="AC182">
            <v>33</v>
          </cell>
          <cell r="AD182">
            <v>7</v>
          </cell>
          <cell r="AJ182">
            <v>0</v>
          </cell>
          <cell r="AK182">
            <v>0</v>
          </cell>
          <cell r="AN182">
            <v>4</v>
          </cell>
          <cell r="AO182">
            <v>1</v>
          </cell>
          <cell r="AP182">
            <v>2</v>
          </cell>
          <cell r="AQ182">
            <v>0</v>
          </cell>
          <cell r="AR182">
            <v>0</v>
          </cell>
          <cell r="AS182">
            <v>0</v>
          </cell>
          <cell r="BA182" t="str">
            <v>CEDAR RAPIDS</v>
          </cell>
          <cell r="BU182">
            <v>25</v>
          </cell>
          <cell r="BV182">
            <v>7</v>
          </cell>
          <cell r="CB182">
            <v>0</v>
          </cell>
          <cell r="CC182">
            <v>0</v>
          </cell>
          <cell r="CF182">
            <v>5</v>
          </cell>
          <cell r="CG182">
            <v>1</v>
          </cell>
          <cell r="CH182">
            <v>1</v>
          </cell>
          <cell r="CI182">
            <v>0</v>
          </cell>
          <cell r="CJ182">
            <v>0</v>
          </cell>
          <cell r="CK182">
            <v>0</v>
          </cell>
        </row>
        <row r="183">
          <cell r="A183">
            <v>43441</v>
          </cell>
          <cell r="B183">
            <v>0.83680555555555547</v>
          </cell>
          <cell r="C183">
            <v>0.79513888888888884</v>
          </cell>
          <cell r="D183" t="str">
            <v>Standard</v>
          </cell>
          <cell r="G183" t="str">
            <v>SC @ LIN</v>
          </cell>
          <cell r="H183" t="str">
            <v>Vs. Conference</v>
          </cell>
          <cell r="I183" t="str">
            <v>SIOUX CITY</v>
          </cell>
          <cell r="AC183">
            <v>10</v>
          </cell>
          <cell r="AD183">
            <v>5</v>
          </cell>
          <cell r="AJ183">
            <v>0</v>
          </cell>
          <cell r="AK183">
            <v>0</v>
          </cell>
          <cell r="AN183">
            <v>5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BA183" t="str">
            <v>LINCOLN</v>
          </cell>
          <cell r="BU183">
            <v>25</v>
          </cell>
          <cell r="BV183">
            <v>7</v>
          </cell>
          <cell r="CB183">
            <v>0</v>
          </cell>
          <cell r="CC183">
            <v>0</v>
          </cell>
          <cell r="CF183">
            <v>5</v>
          </cell>
          <cell r="CG183">
            <v>1</v>
          </cell>
          <cell r="CH183">
            <v>0</v>
          </cell>
          <cell r="CI183">
            <v>1</v>
          </cell>
          <cell r="CJ183">
            <v>0</v>
          </cell>
          <cell r="CK183">
            <v>0</v>
          </cell>
        </row>
        <row r="184">
          <cell r="A184">
            <v>43441</v>
          </cell>
          <cell r="B184">
            <v>0.83680555555555547</v>
          </cell>
          <cell r="C184">
            <v>0.79513888888888884</v>
          </cell>
          <cell r="D184" t="str">
            <v>Standard</v>
          </cell>
          <cell r="G184" t="str">
            <v>FGO @ TC</v>
          </cell>
          <cell r="H184" t="str">
            <v>Vs. Conference</v>
          </cell>
          <cell r="I184" t="str">
            <v>FARGO</v>
          </cell>
          <cell r="AC184">
            <v>8</v>
          </cell>
          <cell r="AD184">
            <v>4</v>
          </cell>
          <cell r="AJ184">
            <v>0</v>
          </cell>
          <cell r="AK184">
            <v>0</v>
          </cell>
          <cell r="AN184">
            <v>4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BA184" t="str">
            <v>TRI-CITY</v>
          </cell>
          <cell r="BU184">
            <v>10</v>
          </cell>
          <cell r="BV184">
            <v>5</v>
          </cell>
          <cell r="CB184">
            <v>0</v>
          </cell>
          <cell r="CC184">
            <v>0</v>
          </cell>
          <cell r="CF184">
            <v>5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</row>
        <row r="185">
          <cell r="A185">
            <v>43441</v>
          </cell>
          <cell r="B185">
            <v>0.83680555555555547</v>
          </cell>
          <cell r="C185">
            <v>0.79513888888888884</v>
          </cell>
          <cell r="D185" t="str">
            <v>Standard</v>
          </cell>
          <cell r="G185" t="str">
            <v>CHI @ DM</v>
          </cell>
          <cell r="H185" t="str">
            <v>Vs. Non-Conference</v>
          </cell>
          <cell r="I185" t="str">
            <v>CHICAGO</v>
          </cell>
          <cell r="AC185">
            <v>8</v>
          </cell>
          <cell r="AD185">
            <v>4</v>
          </cell>
          <cell r="AJ185">
            <v>0</v>
          </cell>
          <cell r="AK185">
            <v>0</v>
          </cell>
          <cell r="AN185">
            <v>4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BA185" t="str">
            <v>DES MOINES</v>
          </cell>
          <cell r="BU185">
            <v>14</v>
          </cell>
          <cell r="BV185">
            <v>7</v>
          </cell>
          <cell r="CB185">
            <v>0</v>
          </cell>
          <cell r="CC185">
            <v>0</v>
          </cell>
          <cell r="CF185">
            <v>7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</row>
        <row r="186">
          <cell r="A186">
            <v>43441</v>
          </cell>
          <cell r="B186">
            <v>0.83680555555555547</v>
          </cell>
          <cell r="C186">
            <v>0.79513888888888884</v>
          </cell>
          <cell r="D186" t="str">
            <v>Standard</v>
          </cell>
          <cell r="G186" t="str">
            <v>MAD @ WAT</v>
          </cell>
          <cell r="H186" t="str">
            <v>Vs. Non-Conference</v>
          </cell>
          <cell r="I186" t="str">
            <v>MADISON</v>
          </cell>
          <cell r="AC186">
            <v>21</v>
          </cell>
          <cell r="AD186">
            <v>5</v>
          </cell>
          <cell r="AJ186">
            <v>0</v>
          </cell>
          <cell r="AK186">
            <v>0</v>
          </cell>
          <cell r="AN186">
            <v>3</v>
          </cell>
          <cell r="AO186">
            <v>1</v>
          </cell>
          <cell r="AP186">
            <v>1</v>
          </cell>
          <cell r="AQ186">
            <v>0</v>
          </cell>
          <cell r="AR186">
            <v>0</v>
          </cell>
          <cell r="AS186">
            <v>0</v>
          </cell>
          <cell r="BA186" t="str">
            <v>WATERLOO</v>
          </cell>
          <cell r="BU186">
            <v>23</v>
          </cell>
          <cell r="BV186">
            <v>6</v>
          </cell>
          <cell r="CB186">
            <v>0</v>
          </cell>
          <cell r="CC186">
            <v>0</v>
          </cell>
          <cell r="CF186">
            <v>4</v>
          </cell>
          <cell r="CG186">
            <v>1</v>
          </cell>
          <cell r="CH186">
            <v>1</v>
          </cell>
          <cell r="CI186">
            <v>0</v>
          </cell>
          <cell r="CJ186">
            <v>0</v>
          </cell>
          <cell r="CK186">
            <v>0</v>
          </cell>
        </row>
        <row r="187">
          <cell r="A187">
            <v>43442</v>
          </cell>
          <cell r="B187">
            <v>0.80208333333333337</v>
          </cell>
          <cell r="C187">
            <v>0.76041666666666674</v>
          </cell>
          <cell r="D187" t="str">
            <v>Standard</v>
          </cell>
          <cell r="G187" t="str">
            <v>DUB @ MUS</v>
          </cell>
          <cell r="H187" t="str">
            <v>Vs. Conference</v>
          </cell>
          <cell r="I187" t="str">
            <v>DUBUQUE</v>
          </cell>
          <cell r="AC187">
            <v>4</v>
          </cell>
          <cell r="AD187">
            <v>2</v>
          </cell>
          <cell r="AJ187">
            <v>0</v>
          </cell>
          <cell r="AK187">
            <v>0</v>
          </cell>
          <cell r="AN187">
            <v>2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BA187" t="str">
            <v>MUSKEGON</v>
          </cell>
          <cell r="BU187">
            <v>4</v>
          </cell>
          <cell r="BV187">
            <v>2</v>
          </cell>
          <cell r="CB187">
            <v>0</v>
          </cell>
          <cell r="CC187">
            <v>0</v>
          </cell>
          <cell r="CF187">
            <v>2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</row>
        <row r="188">
          <cell r="A188">
            <v>43442</v>
          </cell>
          <cell r="B188">
            <v>0.83680555555555547</v>
          </cell>
          <cell r="C188">
            <v>0.79513888888888884</v>
          </cell>
          <cell r="D188" t="str">
            <v>Standard</v>
          </cell>
          <cell r="G188" t="str">
            <v>MAD @ GB</v>
          </cell>
          <cell r="H188" t="str">
            <v>Vs. Conference</v>
          </cell>
          <cell r="I188" t="str">
            <v>MADISON</v>
          </cell>
          <cell r="AC188">
            <v>21</v>
          </cell>
          <cell r="AD188">
            <v>5</v>
          </cell>
          <cell r="AJ188">
            <v>0</v>
          </cell>
          <cell r="AK188">
            <v>0</v>
          </cell>
          <cell r="AN188">
            <v>3</v>
          </cell>
          <cell r="AO188">
            <v>1</v>
          </cell>
          <cell r="AP188">
            <v>1</v>
          </cell>
          <cell r="AQ188">
            <v>0</v>
          </cell>
          <cell r="AR188">
            <v>0</v>
          </cell>
          <cell r="AS188">
            <v>0</v>
          </cell>
          <cell r="BA188" t="str">
            <v>GREEN BAY</v>
          </cell>
          <cell r="BU188">
            <v>25</v>
          </cell>
          <cell r="BV188">
            <v>7</v>
          </cell>
          <cell r="CB188">
            <v>0</v>
          </cell>
          <cell r="CC188">
            <v>0</v>
          </cell>
          <cell r="CF188">
            <v>5</v>
          </cell>
          <cell r="CG188">
            <v>1</v>
          </cell>
          <cell r="CH188">
            <v>1</v>
          </cell>
          <cell r="CI188">
            <v>0</v>
          </cell>
          <cell r="CJ188">
            <v>0</v>
          </cell>
          <cell r="CK188">
            <v>0</v>
          </cell>
        </row>
        <row r="189">
          <cell r="A189">
            <v>43442</v>
          </cell>
          <cell r="B189">
            <v>0.83680555555555547</v>
          </cell>
          <cell r="C189">
            <v>0.79513888888888884</v>
          </cell>
          <cell r="D189" t="str">
            <v>Standard</v>
          </cell>
          <cell r="G189" t="str">
            <v>DM @ LIN</v>
          </cell>
          <cell r="H189" t="str">
            <v>Vs. Conference</v>
          </cell>
          <cell r="I189" t="str">
            <v>DES MOINES</v>
          </cell>
          <cell r="AC189">
            <v>12</v>
          </cell>
          <cell r="AD189">
            <v>6</v>
          </cell>
          <cell r="AJ189">
            <v>0</v>
          </cell>
          <cell r="AK189">
            <v>0</v>
          </cell>
          <cell r="AN189">
            <v>6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BA189" t="str">
            <v>LINCOLN</v>
          </cell>
          <cell r="BU189">
            <v>14</v>
          </cell>
          <cell r="BV189">
            <v>7</v>
          </cell>
          <cell r="CB189">
            <v>0</v>
          </cell>
          <cell r="CC189">
            <v>0</v>
          </cell>
          <cell r="CF189">
            <v>7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</row>
        <row r="190">
          <cell r="A190">
            <v>43442</v>
          </cell>
          <cell r="B190">
            <v>0.83680555555555547</v>
          </cell>
          <cell r="C190">
            <v>0.79513888888888884</v>
          </cell>
          <cell r="D190" t="str">
            <v>Standard</v>
          </cell>
          <cell r="G190" t="str">
            <v>SF @ SC</v>
          </cell>
          <cell r="H190" t="str">
            <v>Vs. Conference</v>
          </cell>
          <cell r="I190" t="str">
            <v>SIOUX FALLS</v>
          </cell>
          <cell r="AC190">
            <v>20</v>
          </cell>
          <cell r="AD190">
            <v>7</v>
          </cell>
          <cell r="AJ190">
            <v>0</v>
          </cell>
          <cell r="AK190">
            <v>0</v>
          </cell>
          <cell r="AN190">
            <v>5</v>
          </cell>
          <cell r="AO190">
            <v>0</v>
          </cell>
          <cell r="AP190">
            <v>1</v>
          </cell>
          <cell r="AQ190">
            <v>0</v>
          </cell>
          <cell r="AR190">
            <v>0</v>
          </cell>
          <cell r="AS190">
            <v>0</v>
          </cell>
          <cell r="BA190" t="str">
            <v>SIOUX CITY</v>
          </cell>
          <cell r="BU190">
            <v>9</v>
          </cell>
          <cell r="BV190">
            <v>3</v>
          </cell>
          <cell r="CB190">
            <v>0</v>
          </cell>
          <cell r="CC190">
            <v>1</v>
          </cell>
          <cell r="CF190">
            <v>2</v>
          </cell>
          <cell r="CG190">
            <v>1</v>
          </cell>
          <cell r="CH190">
            <v>0</v>
          </cell>
          <cell r="CI190">
            <v>0</v>
          </cell>
          <cell r="CJ190">
            <v>0</v>
          </cell>
          <cell r="CK190">
            <v>1</v>
          </cell>
        </row>
        <row r="191">
          <cell r="A191">
            <v>43442</v>
          </cell>
          <cell r="B191">
            <v>0.83680555555555547</v>
          </cell>
          <cell r="C191">
            <v>0.79513888888888884</v>
          </cell>
          <cell r="D191" t="str">
            <v>Standard</v>
          </cell>
          <cell r="G191" t="str">
            <v>FGO @ TC</v>
          </cell>
          <cell r="H191" t="str">
            <v>Vs. Conference</v>
          </cell>
          <cell r="I191" t="str">
            <v>FARGO</v>
          </cell>
          <cell r="AC191">
            <v>8</v>
          </cell>
          <cell r="AD191">
            <v>4</v>
          </cell>
          <cell r="AJ191">
            <v>0</v>
          </cell>
          <cell r="AK191">
            <v>0</v>
          </cell>
          <cell r="AN191">
            <v>4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BA191" t="str">
            <v>TRI-CITY</v>
          </cell>
          <cell r="BU191">
            <v>10</v>
          </cell>
          <cell r="BV191">
            <v>5</v>
          </cell>
          <cell r="CB191">
            <v>0</v>
          </cell>
          <cell r="CC191">
            <v>0</v>
          </cell>
          <cell r="CF191">
            <v>5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</row>
        <row r="192">
          <cell r="A192">
            <v>43442</v>
          </cell>
          <cell r="B192">
            <v>0.83680555555555547</v>
          </cell>
          <cell r="C192">
            <v>0.79513888888888884</v>
          </cell>
          <cell r="D192" t="str">
            <v>Standard</v>
          </cell>
          <cell r="G192" t="str">
            <v>OMA @ CHI</v>
          </cell>
          <cell r="H192" t="str">
            <v>Vs. Non-Conference</v>
          </cell>
          <cell r="I192" t="str">
            <v>OMAHA</v>
          </cell>
          <cell r="AC192">
            <v>6</v>
          </cell>
          <cell r="AD192">
            <v>3</v>
          </cell>
          <cell r="AJ192">
            <v>0</v>
          </cell>
          <cell r="AK192">
            <v>0</v>
          </cell>
          <cell r="AN192">
            <v>3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BA192" t="str">
            <v>CHICAGO</v>
          </cell>
          <cell r="BU192">
            <v>4</v>
          </cell>
          <cell r="BV192">
            <v>2</v>
          </cell>
          <cell r="CB192">
            <v>0</v>
          </cell>
          <cell r="CC192">
            <v>0</v>
          </cell>
          <cell r="CF192">
            <v>2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</row>
        <row r="193">
          <cell r="A193">
            <v>43442</v>
          </cell>
          <cell r="B193">
            <v>0.83680555555555547</v>
          </cell>
          <cell r="C193">
            <v>0.79513888888888884</v>
          </cell>
          <cell r="D193" t="str">
            <v>Standard</v>
          </cell>
          <cell r="G193" t="str">
            <v>CR @ WAT</v>
          </cell>
          <cell r="H193" t="str">
            <v>Vs. Non-Conference</v>
          </cell>
          <cell r="I193" t="str">
            <v>CEDAR RAPIDS</v>
          </cell>
          <cell r="AC193">
            <v>26</v>
          </cell>
          <cell r="AD193">
            <v>9</v>
          </cell>
          <cell r="AJ193">
            <v>0</v>
          </cell>
          <cell r="AK193">
            <v>0</v>
          </cell>
          <cell r="AN193">
            <v>8</v>
          </cell>
          <cell r="AO193">
            <v>0</v>
          </cell>
          <cell r="AP193">
            <v>1</v>
          </cell>
          <cell r="AQ193">
            <v>0</v>
          </cell>
          <cell r="AR193">
            <v>0</v>
          </cell>
          <cell r="AS193">
            <v>0</v>
          </cell>
          <cell r="BA193" t="str">
            <v>WATERLOO</v>
          </cell>
          <cell r="BU193">
            <v>16</v>
          </cell>
          <cell r="BV193">
            <v>8</v>
          </cell>
          <cell r="CB193">
            <v>0</v>
          </cell>
          <cell r="CC193">
            <v>0</v>
          </cell>
          <cell r="CF193">
            <v>8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</row>
        <row r="194">
          <cell r="A194">
            <v>43443</v>
          </cell>
          <cell r="B194">
            <v>0.83819444444444446</v>
          </cell>
          <cell r="C194">
            <v>0.79652777777777783</v>
          </cell>
          <cell r="D194" t="str">
            <v>Standard</v>
          </cell>
          <cell r="G194" t="str">
            <v>OMA @ CIL</v>
          </cell>
          <cell r="H194" t="str">
            <v>Vs. Non-Conference</v>
          </cell>
          <cell r="I194" t="str">
            <v>OMAHA</v>
          </cell>
          <cell r="AC194">
            <v>2</v>
          </cell>
          <cell r="AD194">
            <v>1</v>
          </cell>
          <cell r="AJ194">
            <v>0</v>
          </cell>
          <cell r="AK194">
            <v>0</v>
          </cell>
          <cell r="AN194">
            <v>1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BA194" t="str">
            <v>CENTRAL ILLINOIS</v>
          </cell>
          <cell r="BU194">
            <v>0</v>
          </cell>
          <cell r="BV194">
            <v>0</v>
          </cell>
          <cell r="CB194">
            <v>0</v>
          </cell>
          <cell r="CC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</row>
        <row r="195">
          <cell r="A195">
            <v>43445</v>
          </cell>
          <cell r="B195">
            <v>0.8159722222222221</v>
          </cell>
          <cell r="C195">
            <v>0.77430555555555547</v>
          </cell>
          <cell r="D195" t="str">
            <v>Standard</v>
          </cell>
          <cell r="G195" t="str">
            <v>FGO @ SC</v>
          </cell>
          <cell r="H195" t="str">
            <v>Vs. Conference</v>
          </cell>
          <cell r="I195" t="str">
            <v>FARGO</v>
          </cell>
          <cell r="AC195">
            <v>27</v>
          </cell>
          <cell r="AD195">
            <v>8</v>
          </cell>
          <cell r="AJ195">
            <v>0</v>
          </cell>
          <cell r="AK195">
            <v>0</v>
          </cell>
          <cell r="AN195">
            <v>6</v>
          </cell>
          <cell r="AO195">
            <v>1</v>
          </cell>
          <cell r="AP195">
            <v>1</v>
          </cell>
          <cell r="AQ195">
            <v>0</v>
          </cell>
          <cell r="AR195">
            <v>0</v>
          </cell>
          <cell r="AS195">
            <v>0</v>
          </cell>
          <cell r="BA195" t="str">
            <v>SIOUX CITY</v>
          </cell>
          <cell r="BU195">
            <v>23</v>
          </cell>
          <cell r="BV195">
            <v>6</v>
          </cell>
          <cell r="CB195">
            <v>0</v>
          </cell>
          <cell r="CC195">
            <v>0</v>
          </cell>
          <cell r="CF195">
            <v>4</v>
          </cell>
          <cell r="CG195">
            <v>1</v>
          </cell>
          <cell r="CH195">
            <v>1</v>
          </cell>
          <cell r="CI195">
            <v>0</v>
          </cell>
          <cell r="CJ195">
            <v>0</v>
          </cell>
          <cell r="CK195">
            <v>0</v>
          </cell>
        </row>
        <row r="196">
          <cell r="A196">
            <v>43447</v>
          </cell>
          <cell r="B196">
            <v>0.83680555555555547</v>
          </cell>
          <cell r="C196">
            <v>0.79513888888888884</v>
          </cell>
          <cell r="D196" t="str">
            <v>Standard</v>
          </cell>
          <cell r="G196" t="str">
            <v>LIN @ TC</v>
          </cell>
          <cell r="H196" t="str">
            <v>Vs. Conference</v>
          </cell>
          <cell r="I196" t="str">
            <v>LINCOLN</v>
          </cell>
          <cell r="AC196">
            <v>4</v>
          </cell>
          <cell r="AD196">
            <v>2</v>
          </cell>
          <cell r="AJ196">
            <v>0</v>
          </cell>
          <cell r="AK196">
            <v>0</v>
          </cell>
          <cell r="AN196">
            <v>2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BA196" t="str">
            <v>TRI-CITY</v>
          </cell>
          <cell r="BU196">
            <v>4</v>
          </cell>
          <cell r="BV196">
            <v>2</v>
          </cell>
          <cell r="CB196">
            <v>0</v>
          </cell>
          <cell r="CC196">
            <v>0</v>
          </cell>
          <cell r="CF196">
            <v>2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</row>
        <row r="197">
          <cell r="A197">
            <v>43447</v>
          </cell>
          <cell r="B197">
            <v>0.83680555555555547</v>
          </cell>
          <cell r="C197">
            <v>0.79513888888888884</v>
          </cell>
          <cell r="D197" t="str">
            <v>Standard</v>
          </cell>
          <cell r="G197" t="str">
            <v>DUB @ SF</v>
          </cell>
          <cell r="H197" t="str">
            <v>Vs. Non-Conference</v>
          </cell>
          <cell r="I197" t="str">
            <v>DUBUQUE</v>
          </cell>
          <cell r="AC197">
            <v>10</v>
          </cell>
          <cell r="AD197">
            <v>5</v>
          </cell>
          <cell r="AJ197">
            <v>0</v>
          </cell>
          <cell r="AK197">
            <v>0</v>
          </cell>
          <cell r="AN197">
            <v>5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BA197" t="str">
            <v>SIOUX FALLS</v>
          </cell>
          <cell r="BU197">
            <v>4</v>
          </cell>
          <cell r="BV197">
            <v>2</v>
          </cell>
          <cell r="CB197">
            <v>0</v>
          </cell>
          <cell r="CC197">
            <v>0</v>
          </cell>
          <cell r="CF197">
            <v>2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</row>
        <row r="198">
          <cell r="A198">
            <v>43448</v>
          </cell>
          <cell r="B198">
            <v>0.79513888888888884</v>
          </cell>
          <cell r="C198">
            <v>0.75347222222222221</v>
          </cell>
          <cell r="D198" t="str">
            <v>Standard</v>
          </cell>
          <cell r="G198" t="str">
            <v>CHI @ YNG</v>
          </cell>
          <cell r="H198" t="str">
            <v>Vs. Conference</v>
          </cell>
          <cell r="I198" t="str">
            <v>CHICAGO</v>
          </cell>
          <cell r="AC198">
            <v>25</v>
          </cell>
          <cell r="AD198">
            <v>7</v>
          </cell>
          <cell r="AJ198">
            <v>0</v>
          </cell>
          <cell r="AK198">
            <v>0</v>
          </cell>
          <cell r="AN198">
            <v>5</v>
          </cell>
          <cell r="AO198">
            <v>1</v>
          </cell>
          <cell r="AP198">
            <v>1</v>
          </cell>
          <cell r="AQ198">
            <v>0</v>
          </cell>
          <cell r="AR198">
            <v>0</v>
          </cell>
          <cell r="AS198">
            <v>0</v>
          </cell>
          <cell r="BA198" t="str">
            <v>YOUNGSTOWN</v>
          </cell>
          <cell r="BU198">
            <v>31</v>
          </cell>
          <cell r="BV198">
            <v>10</v>
          </cell>
          <cell r="CB198">
            <v>0</v>
          </cell>
          <cell r="CC198">
            <v>0</v>
          </cell>
          <cell r="CF198">
            <v>8</v>
          </cell>
          <cell r="CG198">
            <v>1</v>
          </cell>
          <cell r="CH198">
            <v>1</v>
          </cell>
          <cell r="CI198">
            <v>0</v>
          </cell>
          <cell r="CJ198">
            <v>0</v>
          </cell>
          <cell r="CK198">
            <v>0</v>
          </cell>
        </row>
        <row r="199">
          <cell r="A199">
            <v>43448</v>
          </cell>
          <cell r="B199">
            <v>0.83680555555555547</v>
          </cell>
          <cell r="C199">
            <v>0.79513888888888884</v>
          </cell>
          <cell r="D199" t="str">
            <v>Standard</v>
          </cell>
          <cell r="G199" t="str">
            <v>WAT @ LIN</v>
          </cell>
          <cell r="H199" t="str">
            <v>Vs. Conference</v>
          </cell>
          <cell r="I199" t="str">
            <v>WATERLOO</v>
          </cell>
          <cell r="AC199">
            <v>10</v>
          </cell>
          <cell r="AD199">
            <v>5</v>
          </cell>
          <cell r="AJ199">
            <v>0</v>
          </cell>
          <cell r="AK199">
            <v>0</v>
          </cell>
          <cell r="AN199">
            <v>5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BA199" t="str">
            <v>LINCOLN</v>
          </cell>
          <cell r="BU199">
            <v>12</v>
          </cell>
          <cell r="BV199">
            <v>6</v>
          </cell>
          <cell r="CB199">
            <v>0</v>
          </cell>
          <cell r="CC199">
            <v>0</v>
          </cell>
          <cell r="CF199">
            <v>6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</row>
        <row r="200">
          <cell r="A200">
            <v>43448</v>
          </cell>
          <cell r="B200">
            <v>0.83680555555555547</v>
          </cell>
          <cell r="C200">
            <v>0.79513888888888884</v>
          </cell>
          <cell r="D200" t="str">
            <v>Standard</v>
          </cell>
          <cell r="G200" t="str">
            <v>CR @ MAD</v>
          </cell>
          <cell r="H200" t="str">
            <v>Vs. Conference</v>
          </cell>
          <cell r="I200" t="str">
            <v>CEDAR RAPIDS</v>
          </cell>
          <cell r="AC200">
            <v>23</v>
          </cell>
          <cell r="AD200">
            <v>6</v>
          </cell>
          <cell r="AJ200">
            <v>0</v>
          </cell>
          <cell r="AK200">
            <v>0</v>
          </cell>
          <cell r="AN200">
            <v>4</v>
          </cell>
          <cell r="AO200">
            <v>1</v>
          </cell>
          <cell r="AP200">
            <v>1</v>
          </cell>
          <cell r="AQ200">
            <v>0</v>
          </cell>
          <cell r="AR200">
            <v>0</v>
          </cell>
          <cell r="AS200">
            <v>0</v>
          </cell>
          <cell r="BA200" t="str">
            <v>MADISON</v>
          </cell>
          <cell r="BU200">
            <v>25</v>
          </cell>
          <cell r="BV200">
            <v>7</v>
          </cell>
          <cell r="CB200">
            <v>0</v>
          </cell>
          <cell r="CC200">
            <v>0</v>
          </cell>
          <cell r="CF200">
            <v>5</v>
          </cell>
          <cell r="CG200">
            <v>1</v>
          </cell>
          <cell r="CH200">
            <v>1</v>
          </cell>
          <cell r="CI200">
            <v>0</v>
          </cell>
          <cell r="CJ200">
            <v>0</v>
          </cell>
          <cell r="CK200">
            <v>0</v>
          </cell>
        </row>
        <row r="201">
          <cell r="A201">
            <v>43448</v>
          </cell>
          <cell r="B201">
            <v>0.83680555555555547</v>
          </cell>
          <cell r="C201">
            <v>0.79513888888888884</v>
          </cell>
          <cell r="D201" t="str">
            <v>Standard</v>
          </cell>
          <cell r="G201" t="str">
            <v>CIL @ DM</v>
          </cell>
          <cell r="H201" t="str">
            <v>Vs. Non-Conference</v>
          </cell>
          <cell r="I201" t="str">
            <v>CENTRAL ILLINOIS</v>
          </cell>
          <cell r="AC201">
            <v>8</v>
          </cell>
          <cell r="AD201">
            <v>4</v>
          </cell>
          <cell r="AJ201">
            <v>0</v>
          </cell>
          <cell r="AK201">
            <v>0</v>
          </cell>
          <cell r="AN201">
            <v>4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BA201" t="str">
            <v>DES MOINES</v>
          </cell>
          <cell r="BU201">
            <v>12</v>
          </cell>
          <cell r="BV201">
            <v>6</v>
          </cell>
          <cell r="CB201">
            <v>0</v>
          </cell>
          <cell r="CC201">
            <v>0</v>
          </cell>
          <cell r="CF201">
            <v>6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</row>
        <row r="202">
          <cell r="A202">
            <v>43448</v>
          </cell>
          <cell r="B202">
            <v>0.83680555555555547</v>
          </cell>
          <cell r="C202">
            <v>0.79513888888888884</v>
          </cell>
          <cell r="D202" t="str">
            <v>Standard</v>
          </cell>
          <cell r="G202" t="str">
            <v>DUB @ SC</v>
          </cell>
          <cell r="H202" t="str">
            <v>Vs. Non-Conference</v>
          </cell>
          <cell r="I202" t="str">
            <v>DUBUQUE</v>
          </cell>
          <cell r="AC202">
            <v>4</v>
          </cell>
          <cell r="AD202">
            <v>2</v>
          </cell>
          <cell r="AJ202">
            <v>0</v>
          </cell>
          <cell r="AK202">
            <v>0</v>
          </cell>
          <cell r="AN202">
            <v>2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BA202" t="str">
            <v>SIOUX CITY</v>
          </cell>
          <cell r="BU202">
            <v>6</v>
          </cell>
          <cell r="BV202">
            <v>3</v>
          </cell>
          <cell r="CB202">
            <v>0</v>
          </cell>
          <cell r="CC202">
            <v>0</v>
          </cell>
          <cell r="CF202">
            <v>3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</row>
        <row r="203">
          <cell r="A203">
            <v>43448</v>
          </cell>
          <cell r="B203">
            <v>0.83680555555555547</v>
          </cell>
          <cell r="C203">
            <v>0.79513888888888884</v>
          </cell>
          <cell r="D203" t="str">
            <v>Standard</v>
          </cell>
          <cell r="G203" t="str">
            <v>GB @ SF</v>
          </cell>
          <cell r="H203" t="str">
            <v>Vs. Non-Conference</v>
          </cell>
          <cell r="I203" t="str">
            <v>GREEN BAY</v>
          </cell>
          <cell r="AC203">
            <v>10</v>
          </cell>
          <cell r="AD203">
            <v>5</v>
          </cell>
          <cell r="AJ203">
            <v>0</v>
          </cell>
          <cell r="AK203">
            <v>0</v>
          </cell>
          <cell r="AN203">
            <v>5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BA203" t="str">
            <v>SIOUX FALLS</v>
          </cell>
          <cell r="BU203">
            <v>6</v>
          </cell>
          <cell r="BV203">
            <v>3</v>
          </cell>
          <cell r="CB203">
            <v>0</v>
          </cell>
          <cell r="CC203">
            <v>0</v>
          </cell>
          <cell r="CF203">
            <v>3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</row>
        <row r="204">
          <cell r="A204">
            <v>43448</v>
          </cell>
          <cell r="B204">
            <v>0.85763888888888884</v>
          </cell>
          <cell r="C204">
            <v>0.81597222222222221</v>
          </cell>
          <cell r="D204" t="str">
            <v>Standard</v>
          </cell>
          <cell r="G204" t="str">
            <v>MUS @ OMA</v>
          </cell>
          <cell r="H204" t="str">
            <v>Vs. Non-Conference</v>
          </cell>
          <cell r="I204" t="str">
            <v>MUSKEGON</v>
          </cell>
          <cell r="AC204">
            <v>12</v>
          </cell>
          <cell r="AD204">
            <v>6</v>
          </cell>
          <cell r="AJ204">
            <v>0</v>
          </cell>
          <cell r="AK204">
            <v>0</v>
          </cell>
          <cell r="AN204">
            <v>6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BA204" t="str">
            <v>OMAHA</v>
          </cell>
          <cell r="BU204">
            <v>8</v>
          </cell>
          <cell r="BV204">
            <v>4</v>
          </cell>
          <cell r="CB204">
            <v>0</v>
          </cell>
          <cell r="CC204">
            <v>0</v>
          </cell>
          <cell r="CF204">
            <v>4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</row>
        <row r="205">
          <cell r="A205">
            <v>43449</v>
          </cell>
          <cell r="B205">
            <v>0.79513888888888884</v>
          </cell>
          <cell r="C205">
            <v>0.75347222222222221</v>
          </cell>
          <cell r="D205" t="str">
            <v>Standard</v>
          </cell>
          <cell r="G205" t="str">
            <v>CHI @ YNG</v>
          </cell>
          <cell r="H205" t="str">
            <v>Vs. Conference</v>
          </cell>
          <cell r="I205" t="str">
            <v>CHICAGO</v>
          </cell>
          <cell r="AC205">
            <v>47</v>
          </cell>
          <cell r="AD205">
            <v>14</v>
          </cell>
          <cell r="AJ205">
            <v>0</v>
          </cell>
          <cell r="AK205">
            <v>0</v>
          </cell>
          <cell r="AN205">
            <v>11</v>
          </cell>
          <cell r="AO205">
            <v>1</v>
          </cell>
          <cell r="AP205">
            <v>2</v>
          </cell>
          <cell r="AQ205">
            <v>0</v>
          </cell>
          <cell r="AR205">
            <v>0</v>
          </cell>
          <cell r="AS205">
            <v>0</v>
          </cell>
          <cell r="BA205" t="str">
            <v>YOUNGSTOWN</v>
          </cell>
          <cell r="BU205">
            <v>51</v>
          </cell>
          <cell r="BV205">
            <v>12</v>
          </cell>
          <cell r="CB205">
            <v>0</v>
          </cell>
          <cell r="CC205">
            <v>0</v>
          </cell>
          <cell r="CF205">
            <v>8</v>
          </cell>
          <cell r="CG205">
            <v>1</v>
          </cell>
          <cell r="CH205">
            <v>3</v>
          </cell>
          <cell r="CI205">
            <v>0</v>
          </cell>
          <cell r="CJ205">
            <v>0</v>
          </cell>
          <cell r="CK205">
            <v>0</v>
          </cell>
        </row>
        <row r="206">
          <cell r="A206">
            <v>43449</v>
          </cell>
          <cell r="B206">
            <v>0.83680555555555547</v>
          </cell>
          <cell r="C206">
            <v>0.79513888888888884</v>
          </cell>
          <cell r="D206" t="str">
            <v>Standard</v>
          </cell>
          <cell r="G206" t="str">
            <v>CIL @ CR</v>
          </cell>
          <cell r="H206" t="str">
            <v>Vs. Conference</v>
          </cell>
          <cell r="I206" t="str">
            <v>CENTRAL ILLINOIS</v>
          </cell>
          <cell r="AC206">
            <v>30</v>
          </cell>
          <cell r="AD206">
            <v>12</v>
          </cell>
          <cell r="AJ206">
            <v>0</v>
          </cell>
          <cell r="AK206">
            <v>0</v>
          </cell>
          <cell r="AN206">
            <v>10</v>
          </cell>
          <cell r="AO206">
            <v>2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BA206" t="str">
            <v>CEDAR RAPIDS</v>
          </cell>
          <cell r="BU206">
            <v>58</v>
          </cell>
          <cell r="BV206">
            <v>14</v>
          </cell>
          <cell r="CB206">
            <v>0</v>
          </cell>
          <cell r="CC206">
            <v>0</v>
          </cell>
          <cell r="CF206">
            <v>9</v>
          </cell>
          <cell r="CG206">
            <v>2</v>
          </cell>
          <cell r="CH206">
            <v>3</v>
          </cell>
          <cell r="CI206">
            <v>0</v>
          </cell>
          <cell r="CJ206">
            <v>0</v>
          </cell>
          <cell r="CK206">
            <v>0</v>
          </cell>
        </row>
        <row r="207">
          <cell r="A207">
            <v>43449</v>
          </cell>
          <cell r="B207">
            <v>0.83680555555555547</v>
          </cell>
          <cell r="C207">
            <v>0.79513888888888884</v>
          </cell>
          <cell r="D207" t="str">
            <v>Standard</v>
          </cell>
          <cell r="G207" t="str">
            <v>TC @ FGO</v>
          </cell>
          <cell r="H207" t="str">
            <v>Vs. Conference</v>
          </cell>
          <cell r="I207" t="str">
            <v>TRI-CITY</v>
          </cell>
          <cell r="AC207">
            <v>10</v>
          </cell>
          <cell r="AD207">
            <v>5</v>
          </cell>
          <cell r="AJ207">
            <v>0</v>
          </cell>
          <cell r="AK207">
            <v>0</v>
          </cell>
          <cell r="AN207">
            <v>5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BA207" t="str">
            <v>FARGO</v>
          </cell>
          <cell r="BU207">
            <v>10</v>
          </cell>
          <cell r="BV207">
            <v>5</v>
          </cell>
          <cell r="CB207">
            <v>0</v>
          </cell>
          <cell r="CC207">
            <v>0</v>
          </cell>
          <cell r="CF207">
            <v>5</v>
          </cell>
          <cell r="CG207">
            <v>0</v>
          </cell>
          <cell r="CH207">
            <v>0</v>
          </cell>
          <cell r="CI207">
            <v>0</v>
          </cell>
          <cell r="CJ207">
            <v>0</v>
          </cell>
          <cell r="CK207">
            <v>0</v>
          </cell>
        </row>
        <row r="208">
          <cell r="A208">
            <v>43449</v>
          </cell>
          <cell r="B208">
            <v>0.83680555555555547</v>
          </cell>
          <cell r="C208">
            <v>0.79513888888888884</v>
          </cell>
          <cell r="D208" t="str">
            <v>Standard</v>
          </cell>
          <cell r="G208" t="str">
            <v>DM @ LIN</v>
          </cell>
          <cell r="H208" t="str">
            <v>Vs. Conference</v>
          </cell>
          <cell r="I208" t="str">
            <v>DES MOINES</v>
          </cell>
          <cell r="AC208">
            <v>16</v>
          </cell>
          <cell r="AD208">
            <v>4</v>
          </cell>
          <cell r="AJ208">
            <v>0</v>
          </cell>
          <cell r="AK208">
            <v>0</v>
          </cell>
          <cell r="AN208">
            <v>3</v>
          </cell>
          <cell r="AO208">
            <v>0</v>
          </cell>
          <cell r="AP208">
            <v>1</v>
          </cell>
          <cell r="AQ208">
            <v>0</v>
          </cell>
          <cell r="AR208">
            <v>0</v>
          </cell>
          <cell r="AS208">
            <v>0</v>
          </cell>
          <cell r="BA208" t="str">
            <v>LINCOLN</v>
          </cell>
          <cell r="BU208">
            <v>6</v>
          </cell>
          <cell r="BV208">
            <v>3</v>
          </cell>
          <cell r="CB208">
            <v>0</v>
          </cell>
          <cell r="CC208">
            <v>0</v>
          </cell>
          <cell r="CF208">
            <v>3</v>
          </cell>
          <cell r="CG208">
            <v>0</v>
          </cell>
          <cell r="CH208">
            <v>0</v>
          </cell>
          <cell r="CI208">
            <v>0</v>
          </cell>
          <cell r="CJ208">
            <v>0</v>
          </cell>
          <cell r="CK208">
            <v>0</v>
          </cell>
        </row>
        <row r="209">
          <cell r="A209">
            <v>43449</v>
          </cell>
          <cell r="B209">
            <v>0.83680555555555547</v>
          </cell>
          <cell r="C209">
            <v>0.79513888888888884</v>
          </cell>
          <cell r="D209" t="str">
            <v>Standard</v>
          </cell>
          <cell r="G209" t="str">
            <v>WAT @ MAD</v>
          </cell>
          <cell r="H209" t="str">
            <v>Vs. Non-Conference</v>
          </cell>
          <cell r="I209" t="str">
            <v>WATERLOO</v>
          </cell>
          <cell r="AC209">
            <v>20</v>
          </cell>
          <cell r="AD209">
            <v>10</v>
          </cell>
          <cell r="AJ209">
            <v>0</v>
          </cell>
          <cell r="AK209">
            <v>0</v>
          </cell>
          <cell r="AN209">
            <v>10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BA209" t="str">
            <v>MADISON</v>
          </cell>
          <cell r="BU209">
            <v>20</v>
          </cell>
          <cell r="BV209">
            <v>10</v>
          </cell>
          <cell r="CB209">
            <v>0</v>
          </cell>
          <cell r="CC209">
            <v>0</v>
          </cell>
          <cell r="CF209">
            <v>10</v>
          </cell>
          <cell r="CG209">
            <v>0</v>
          </cell>
          <cell r="CH209">
            <v>0</v>
          </cell>
          <cell r="CI209">
            <v>0</v>
          </cell>
          <cell r="CJ209">
            <v>0</v>
          </cell>
          <cell r="CK209">
            <v>0</v>
          </cell>
        </row>
        <row r="210">
          <cell r="A210">
            <v>43449</v>
          </cell>
          <cell r="B210">
            <v>0.83680555555555547</v>
          </cell>
          <cell r="C210">
            <v>0.79513888888888884</v>
          </cell>
          <cell r="D210" t="str">
            <v>Standard</v>
          </cell>
          <cell r="G210" t="str">
            <v>MUS @ OMA</v>
          </cell>
          <cell r="H210" t="str">
            <v>Vs. Non-Conference</v>
          </cell>
          <cell r="I210" t="str">
            <v>MUSKEGON</v>
          </cell>
          <cell r="AC210">
            <v>4</v>
          </cell>
          <cell r="AD210">
            <v>2</v>
          </cell>
          <cell r="AJ210">
            <v>0</v>
          </cell>
          <cell r="AK210">
            <v>0</v>
          </cell>
          <cell r="AN210">
            <v>2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BA210" t="str">
            <v>OMAHA</v>
          </cell>
          <cell r="BU210">
            <v>8</v>
          </cell>
          <cell r="BV210">
            <v>4</v>
          </cell>
          <cell r="CB210">
            <v>0</v>
          </cell>
          <cell r="CC210">
            <v>0</v>
          </cell>
          <cell r="CF210">
            <v>4</v>
          </cell>
          <cell r="CG210">
            <v>0</v>
          </cell>
          <cell r="CH210">
            <v>0</v>
          </cell>
          <cell r="CI210">
            <v>0</v>
          </cell>
          <cell r="CJ210">
            <v>0</v>
          </cell>
          <cell r="CK210">
            <v>0</v>
          </cell>
        </row>
        <row r="211">
          <cell r="A211">
            <v>43449</v>
          </cell>
          <cell r="B211">
            <v>0.83680555555555547</v>
          </cell>
          <cell r="C211">
            <v>0.79513888888888884</v>
          </cell>
          <cell r="D211" t="str">
            <v>Standard</v>
          </cell>
          <cell r="G211" t="str">
            <v>DUB @ SC</v>
          </cell>
          <cell r="H211" t="str">
            <v>Vs. Non-Conference</v>
          </cell>
          <cell r="I211" t="str">
            <v>DUBUQUE</v>
          </cell>
          <cell r="AC211">
            <v>10</v>
          </cell>
          <cell r="AD211">
            <v>5</v>
          </cell>
          <cell r="AJ211">
            <v>0</v>
          </cell>
          <cell r="AK211">
            <v>0</v>
          </cell>
          <cell r="AN211">
            <v>5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BA211" t="str">
            <v>SIOUX CITY</v>
          </cell>
          <cell r="BU211">
            <v>10</v>
          </cell>
          <cell r="BV211">
            <v>5</v>
          </cell>
          <cell r="CB211">
            <v>0</v>
          </cell>
          <cell r="CC211">
            <v>0</v>
          </cell>
          <cell r="CF211">
            <v>5</v>
          </cell>
          <cell r="CG211">
            <v>0</v>
          </cell>
          <cell r="CH211">
            <v>0</v>
          </cell>
          <cell r="CI211">
            <v>0</v>
          </cell>
          <cell r="CJ211">
            <v>0</v>
          </cell>
          <cell r="CK211">
            <v>0</v>
          </cell>
        </row>
        <row r="212">
          <cell r="A212">
            <v>43449</v>
          </cell>
          <cell r="B212">
            <v>0.83680555555555547</v>
          </cell>
          <cell r="C212">
            <v>0.79513888888888884</v>
          </cell>
          <cell r="D212" t="str">
            <v>Standard</v>
          </cell>
          <cell r="G212" t="str">
            <v>GB @ SF</v>
          </cell>
          <cell r="H212" t="str">
            <v>Vs. Non-Conference</v>
          </cell>
          <cell r="I212" t="str">
            <v>GREEN BAY</v>
          </cell>
          <cell r="AC212">
            <v>10</v>
          </cell>
          <cell r="AD212">
            <v>5</v>
          </cell>
          <cell r="AJ212">
            <v>0</v>
          </cell>
          <cell r="AK212">
            <v>0</v>
          </cell>
          <cell r="AN212">
            <v>5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BA212" t="str">
            <v>SIOUX FALLS</v>
          </cell>
          <cell r="BU212">
            <v>6</v>
          </cell>
          <cell r="BV212">
            <v>3</v>
          </cell>
          <cell r="CB212">
            <v>0</v>
          </cell>
          <cell r="CC212">
            <v>0</v>
          </cell>
          <cell r="CF212">
            <v>3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</row>
        <row r="213">
          <cell r="A213">
            <v>43450</v>
          </cell>
          <cell r="B213">
            <v>0.70833333333333337</v>
          </cell>
          <cell r="C213">
            <v>0.66666666666666674</v>
          </cell>
          <cell r="D213" t="str">
            <v>Standard</v>
          </cell>
          <cell r="G213" t="str">
            <v>CHI @ YNG</v>
          </cell>
          <cell r="H213" t="str">
            <v>Vs. Conference</v>
          </cell>
          <cell r="I213" t="str">
            <v>CHICAGO</v>
          </cell>
          <cell r="AC213">
            <v>30</v>
          </cell>
          <cell r="AD213">
            <v>11</v>
          </cell>
          <cell r="AJ213">
            <v>0</v>
          </cell>
          <cell r="AK213">
            <v>0</v>
          </cell>
          <cell r="AN213">
            <v>10</v>
          </cell>
          <cell r="AO213">
            <v>0</v>
          </cell>
          <cell r="AP213">
            <v>1</v>
          </cell>
          <cell r="AQ213">
            <v>0</v>
          </cell>
          <cell r="AR213">
            <v>0</v>
          </cell>
          <cell r="AS213">
            <v>0</v>
          </cell>
          <cell r="BA213" t="str">
            <v>YOUNGSTOWN</v>
          </cell>
          <cell r="BU213">
            <v>40</v>
          </cell>
          <cell r="BV213">
            <v>8</v>
          </cell>
          <cell r="CB213">
            <v>0</v>
          </cell>
          <cell r="CC213">
            <v>0</v>
          </cell>
          <cell r="CF213">
            <v>5</v>
          </cell>
          <cell r="CG213">
            <v>0</v>
          </cell>
          <cell r="CH213">
            <v>3</v>
          </cell>
          <cell r="CI213">
            <v>0</v>
          </cell>
          <cell r="CJ213">
            <v>0</v>
          </cell>
          <cell r="CK213">
            <v>0</v>
          </cell>
        </row>
        <row r="214">
          <cell r="A214">
            <v>43450</v>
          </cell>
          <cell r="B214">
            <v>0.7534722222222221</v>
          </cell>
          <cell r="C214">
            <v>0.71180555555555547</v>
          </cell>
          <cell r="D214" t="str">
            <v>Standard</v>
          </cell>
          <cell r="G214" t="str">
            <v>TC @ FGO</v>
          </cell>
          <cell r="H214" t="str">
            <v>Vs. Conference</v>
          </cell>
          <cell r="I214" t="str">
            <v>TRI-CITY</v>
          </cell>
          <cell r="AC214">
            <v>18</v>
          </cell>
          <cell r="AD214">
            <v>5</v>
          </cell>
          <cell r="AJ214">
            <v>0</v>
          </cell>
          <cell r="AK214">
            <v>0</v>
          </cell>
          <cell r="AN214">
            <v>4</v>
          </cell>
          <cell r="AO214">
            <v>0</v>
          </cell>
          <cell r="AP214">
            <v>1</v>
          </cell>
          <cell r="AQ214">
            <v>0</v>
          </cell>
          <cell r="AR214">
            <v>0</v>
          </cell>
          <cell r="AS214">
            <v>0</v>
          </cell>
          <cell r="BA214" t="str">
            <v>FARGO</v>
          </cell>
          <cell r="BU214">
            <v>4</v>
          </cell>
          <cell r="BV214">
            <v>2</v>
          </cell>
          <cell r="CB214">
            <v>0</v>
          </cell>
          <cell r="CC214">
            <v>0</v>
          </cell>
          <cell r="CF214">
            <v>2</v>
          </cell>
          <cell r="CG214">
            <v>0</v>
          </cell>
          <cell r="CH214">
            <v>0</v>
          </cell>
          <cell r="CI214">
            <v>0</v>
          </cell>
          <cell r="CJ214">
            <v>0</v>
          </cell>
          <cell r="CK214">
            <v>0</v>
          </cell>
        </row>
        <row r="215">
          <cell r="A215">
            <v>43452</v>
          </cell>
          <cell r="B215">
            <v>0.79513888888888884</v>
          </cell>
          <cell r="C215">
            <v>0.75347222222222221</v>
          </cell>
          <cell r="D215" t="str">
            <v>Standard</v>
          </cell>
          <cell r="G215" t="str">
            <v>SF @ DM</v>
          </cell>
          <cell r="H215" t="str">
            <v>Vs. Conference</v>
          </cell>
          <cell r="I215" t="str">
            <v>SIOUX FALLS</v>
          </cell>
          <cell r="AC215">
            <v>22</v>
          </cell>
          <cell r="AD215">
            <v>7</v>
          </cell>
          <cell r="AJ215">
            <v>0</v>
          </cell>
          <cell r="AK215">
            <v>0</v>
          </cell>
          <cell r="AN215">
            <v>6</v>
          </cell>
          <cell r="AO215">
            <v>0</v>
          </cell>
          <cell r="AP215">
            <v>1</v>
          </cell>
          <cell r="AQ215">
            <v>0</v>
          </cell>
          <cell r="AR215">
            <v>0</v>
          </cell>
          <cell r="AS215">
            <v>0</v>
          </cell>
          <cell r="BA215" t="str">
            <v>DES MOINES</v>
          </cell>
          <cell r="BU215">
            <v>10</v>
          </cell>
          <cell r="BV215">
            <v>5</v>
          </cell>
          <cell r="CB215">
            <v>0</v>
          </cell>
          <cell r="CC215">
            <v>0</v>
          </cell>
          <cell r="CF215">
            <v>5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</row>
        <row r="216">
          <cell r="A216">
            <v>43453</v>
          </cell>
          <cell r="B216">
            <v>0.4375</v>
          </cell>
          <cell r="C216">
            <v>0.39583333333333337</v>
          </cell>
          <cell r="D216" t="str">
            <v>Standard</v>
          </cell>
          <cell r="G216" t="str">
            <v>MUS @ USA</v>
          </cell>
          <cell r="H216" t="str">
            <v>Vs. Conference</v>
          </cell>
          <cell r="I216" t="str">
            <v>MUSKEGON</v>
          </cell>
          <cell r="AC216">
            <v>10</v>
          </cell>
          <cell r="AD216">
            <v>5</v>
          </cell>
          <cell r="AJ216">
            <v>0</v>
          </cell>
          <cell r="AK216">
            <v>0</v>
          </cell>
          <cell r="AN216">
            <v>5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BA216" t="str">
            <v>TEAM USA</v>
          </cell>
          <cell r="BU216">
            <v>26</v>
          </cell>
          <cell r="BV216">
            <v>9</v>
          </cell>
          <cell r="CB216">
            <v>0</v>
          </cell>
          <cell r="CC216">
            <v>0</v>
          </cell>
          <cell r="CF216">
            <v>8</v>
          </cell>
          <cell r="CG216">
            <v>0</v>
          </cell>
          <cell r="CH216">
            <v>1</v>
          </cell>
          <cell r="CI216">
            <v>0</v>
          </cell>
          <cell r="CJ216">
            <v>0</v>
          </cell>
          <cell r="CK216">
            <v>0</v>
          </cell>
        </row>
        <row r="217">
          <cell r="A217">
            <v>43461</v>
          </cell>
          <cell r="B217">
            <v>0.83680555555555547</v>
          </cell>
          <cell r="C217">
            <v>0.79513888888888884</v>
          </cell>
          <cell r="D217" t="str">
            <v>Standard</v>
          </cell>
          <cell r="G217" t="str">
            <v>DUB @ GB</v>
          </cell>
          <cell r="H217" t="str">
            <v>Vs. Conference</v>
          </cell>
          <cell r="I217" t="str">
            <v>DUBUQUE</v>
          </cell>
          <cell r="AC217">
            <v>10</v>
          </cell>
          <cell r="AD217">
            <v>5</v>
          </cell>
          <cell r="AJ217">
            <v>0</v>
          </cell>
          <cell r="AK217">
            <v>0</v>
          </cell>
          <cell r="AN217">
            <v>5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BA217" t="str">
            <v>GREEN BAY</v>
          </cell>
          <cell r="BU217">
            <v>16</v>
          </cell>
          <cell r="BV217">
            <v>4</v>
          </cell>
          <cell r="CB217">
            <v>0</v>
          </cell>
          <cell r="CC217">
            <v>0</v>
          </cell>
          <cell r="CF217">
            <v>3</v>
          </cell>
          <cell r="CG217">
            <v>0</v>
          </cell>
          <cell r="CH217">
            <v>1</v>
          </cell>
          <cell r="CI217">
            <v>0</v>
          </cell>
          <cell r="CJ217">
            <v>0</v>
          </cell>
          <cell r="CK217">
            <v>0</v>
          </cell>
        </row>
        <row r="218">
          <cell r="A218">
            <v>43461</v>
          </cell>
          <cell r="B218">
            <v>0.83680555555555547</v>
          </cell>
          <cell r="C218">
            <v>0.79513888888888884</v>
          </cell>
          <cell r="D218" t="str">
            <v>Standard</v>
          </cell>
          <cell r="G218" t="str">
            <v>WAT @ SF</v>
          </cell>
          <cell r="H218" t="str">
            <v>Vs. Conference</v>
          </cell>
          <cell r="I218" t="str">
            <v>WATERLOO</v>
          </cell>
          <cell r="AC218">
            <v>20</v>
          </cell>
          <cell r="AD218">
            <v>10</v>
          </cell>
          <cell r="AJ218">
            <v>0</v>
          </cell>
          <cell r="AK218">
            <v>0</v>
          </cell>
          <cell r="AN218">
            <v>10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BA218" t="str">
            <v>SIOUX FALLS</v>
          </cell>
          <cell r="BU218">
            <v>12</v>
          </cell>
          <cell r="BV218">
            <v>6</v>
          </cell>
          <cell r="CB218">
            <v>0</v>
          </cell>
          <cell r="CC218">
            <v>0</v>
          </cell>
          <cell r="CF218">
            <v>6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</row>
        <row r="219">
          <cell r="A219">
            <v>43461</v>
          </cell>
          <cell r="B219">
            <v>0.85763888888888884</v>
          </cell>
          <cell r="C219">
            <v>0.81597222222222221</v>
          </cell>
          <cell r="D219" t="str">
            <v>Standard</v>
          </cell>
          <cell r="G219" t="str">
            <v>DM @ OMA</v>
          </cell>
          <cell r="H219" t="str">
            <v>Vs. Conference</v>
          </cell>
          <cell r="I219" t="str">
            <v>DES MOINES</v>
          </cell>
          <cell r="AC219">
            <v>19</v>
          </cell>
          <cell r="AD219">
            <v>4</v>
          </cell>
          <cell r="AJ219">
            <v>0</v>
          </cell>
          <cell r="AK219">
            <v>0</v>
          </cell>
          <cell r="AN219">
            <v>2</v>
          </cell>
          <cell r="AO219">
            <v>1</v>
          </cell>
          <cell r="AP219">
            <v>1</v>
          </cell>
          <cell r="AQ219">
            <v>0</v>
          </cell>
          <cell r="AR219">
            <v>0</v>
          </cell>
          <cell r="AS219">
            <v>0</v>
          </cell>
          <cell r="BA219" t="str">
            <v>OMAHA</v>
          </cell>
          <cell r="BU219">
            <v>23</v>
          </cell>
          <cell r="BV219">
            <v>6</v>
          </cell>
          <cell r="CB219">
            <v>0</v>
          </cell>
          <cell r="CC219">
            <v>0</v>
          </cell>
          <cell r="CF219">
            <v>4</v>
          </cell>
          <cell r="CG219">
            <v>1</v>
          </cell>
          <cell r="CH219">
            <v>1</v>
          </cell>
          <cell r="CI219">
            <v>0</v>
          </cell>
          <cell r="CJ219">
            <v>0</v>
          </cell>
          <cell r="CK219">
            <v>0</v>
          </cell>
        </row>
        <row r="220">
          <cell r="A220">
            <v>43462</v>
          </cell>
          <cell r="B220">
            <v>0.80208333333333337</v>
          </cell>
          <cell r="C220">
            <v>0.76041666666666674</v>
          </cell>
          <cell r="D220" t="str">
            <v>Standard</v>
          </cell>
          <cell r="G220" t="str">
            <v>MAD @ MUS</v>
          </cell>
          <cell r="H220" t="str">
            <v>Vs. Conference</v>
          </cell>
          <cell r="I220" t="str">
            <v>MADISON</v>
          </cell>
          <cell r="AC220">
            <v>14</v>
          </cell>
          <cell r="AD220">
            <v>8</v>
          </cell>
          <cell r="AJ220">
            <v>0</v>
          </cell>
          <cell r="AK220">
            <v>0</v>
          </cell>
          <cell r="AN220">
            <v>7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BA220" t="str">
            <v>MUSKEGON</v>
          </cell>
          <cell r="BU220">
            <v>10</v>
          </cell>
          <cell r="BV220">
            <v>5</v>
          </cell>
          <cell r="CB220">
            <v>0</v>
          </cell>
          <cell r="CC220">
            <v>1</v>
          </cell>
          <cell r="CF220">
            <v>5</v>
          </cell>
          <cell r="CG220">
            <v>0</v>
          </cell>
          <cell r="CH220">
            <v>0</v>
          </cell>
          <cell r="CI220">
            <v>0</v>
          </cell>
          <cell r="CJ220">
            <v>0</v>
          </cell>
          <cell r="CK220">
            <v>1</v>
          </cell>
        </row>
        <row r="221">
          <cell r="A221">
            <v>43462</v>
          </cell>
          <cell r="B221">
            <v>0.83680555555555547</v>
          </cell>
          <cell r="C221">
            <v>0.79513888888888884</v>
          </cell>
          <cell r="D221" t="str">
            <v>Standard</v>
          </cell>
          <cell r="G221" t="str">
            <v>YNG @ CR</v>
          </cell>
          <cell r="H221" t="str">
            <v>Vs. Conference</v>
          </cell>
          <cell r="I221" t="str">
            <v>YOUNGSTOWN</v>
          </cell>
          <cell r="AC221">
            <v>8</v>
          </cell>
          <cell r="AD221">
            <v>4</v>
          </cell>
          <cell r="AJ221">
            <v>0</v>
          </cell>
          <cell r="AK221">
            <v>0</v>
          </cell>
          <cell r="AN221">
            <v>4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BA221" t="str">
            <v>CEDAR RAPIDS</v>
          </cell>
          <cell r="BU221">
            <v>4</v>
          </cell>
          <cell r="BV221">
            <v>2</v>
          </cell>
          <cell r="CB221">
            <v>0</v>
          </cell>
          <cell r="CC221">
            <v>0</v>
          </cell>
          <cell r="CF221">
            <v>2</v>
          </cell>
          <cell r="CG221">
            <v>0</v>
          </cell>
          <cell r="CH221">
            <v>0</v>
          </cell>
          <cell r="CI221">
            <v>0</v>
          </cell>
          <cell r="CJ221">
            <v>0</v>
          </cell>
          <cell r="CK221">
            <v>0</v>
          </cell>
        </row>
        <row r="222">
          <cell r="A222">
            <v>43462</v>
          </cell>
          <cell r="B222">
            <v>0.83680555555555547</v>
          </cell>
          <cell r="C222">
            <v>0.79513888888888884</v>
          </cell>
          <cell r="D222" t="str">
            <v>Standard</v>
          </cell>
          <cell r="G222" t="str">
            <v>LIN @ TC</v>
          </cell>
          <cell r="H222" t="str">
            <v>Vs. Conference</v>
          </cell>
          <cell r="I222" t="str">
            <v>LINCOLN</v>
          </cell>
          <cell r="AC222">
            <v>16</v>
          </cell>
          <cell r="AD222">
            <v>8</v>
          </cell>
          <cell r="AJ222">
            <v>0</v>
          </cell>
          <cell r="AK222">
            <v>0</v>
          </cell>
          <cell r="AN222">
            <v>8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BA222" t="str">
            <v>TRI-CITY</v>
          </cell>
          <cell r="BU222">
            <v>14</v>
          </cell>
          <cell r="BV222">
            <v>7</v>
          </cell>
          <cell r="CB222">
            <v>0</v>
          </cell>
          <cell r="CC222">
            <v>0</v>
          </cell>
          <cell r="CF222">
            <v>7</v>
          </cell>
          <cell r="CG222">
            <v>0</v>
          </cell>
          <cell r="CH222">
            <v>0</v>
          </cell>
          <cell r="CI222">
            <v>0</v>
          </cell>
          <cell r="CJ222">
            <v>0</v>
          </cell>
          <cell r="CK222">
            <v>0</v>
          </cell>
        </row>
        <row r="223">
          <cell r="A223">
            <v>43462</v>
          </cell>
          <cell r="B223">
            <v>0.83819444444444446</v>
          </cell>
          <cell r="C223">
            <v>0.79652777777777783</v>
          </cell>
          <cell r="D223" t="str">
            <v>Standard</v>
          </cell>
          <cell r="G223" t="str">
            <v>CHI @ CIL</v>
          </cell>
          <cell r="H223" t="str">
            <v>Vs. Conference</v>
          </cell>
          <cell r="I223" t="str">
            <v>CHICAGO</v>
          </cell>
          <cell r="AC223">
            <v>6</v>
          </cell>
          <cell r="AD223">
            <v>3</v>
          </cell>
          <cell r="AJ223">
            <v>0</v>
          </cell>
          <cell r="AK223">
            <v>0</v>
          </cell>
          <cell r="AN223">
            <v>3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BA223" t="str">
            <v>CENTRAL ILLINOIS</v>
          </cell>
          <cell r="BU223">
            <v>10</v>
          </cell>
          <cell r="BV223">
            <v>5</v>
          </cell>
          <cell r="CB223">
            <v>0</v>
          </cell>
          <cell r="CC223">
            <v>0</v>
          </cell>
          <cell r="CF223">
            <v>5</v>
          </cell>
          <cell r="CG223">
            <v>0</v>
          </cell>
          <cell r="CH223">
            <v>0</v>
          </cell>
          <cell r="CI223">
            <v>0</v>
          </cell>
          <cell r="CJ223">
            <v>0</v>
          </cell>
          <cell r="CK223">
            <v>0</v>
          </cell>
        </row>
        <row r="224">
          <cell r="A224">
            <v>43463</v>
          </cell>
          <cell r="B224">
            <v>0.80208333333333337</v>
          </cell>
          <cell r="C224">
            <v>0.76041666666666674</v>
          </cell>
          <cell r="D224" t="str">
            <v>Standard</v>
          </cell>
          <cell r="G224" t="str">
            <v>MAD @ MUS</v>
          </cell>
          <cell r="H224" t="str">
            <v>Vs. Conference</v>
          </cell>
          <cell r="I224" t="str">
            <v>MADISON</v>
          </cell>
          <cell r="AC224">
            <v>16</v>
          </cell>
          <cell r="AD224">
            <v>8</v>
          </cell>
          <cell r="AJ224">
            <v>0</v>
          </cell>
          <cell r="AK224">
            <v>0</v>
          </cell>
          <cell r="AN224">
            <v>8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BA224" t="str">
            <v>MUSKEGON</v>
          </cell>
          <cell r="BU224">
            <v>8</v>
          </cell>
          <cell r="BV224">
            <v>4</v>
          </cell>
          <cell r="CB224">
            <v>0</v>
          </cell>
          <cell r="CC224">
            <v>0</v>
          </cell>
          <cell r="CF224">
            <v>4</v>
          </cell>
          <cell r="CG224">
            <v>0</v>
          </cell>
          <cell r="CH224">
            <v>0</v>
          </cell>
          <cell r="CI224">
            <v>0</v>
          </cell>
          <cell r="CJ224">
            <v>0</v>
          </cell>
          <cell r="CK224">
            <v>0</v>
          </cell>
        </row>
        <row r="225">
          <cell r="A225">
            <v>43463</v>
          </cell>
          <cell r="B225">
            <v>0.83680555555555547</v>
          </cell>
          <cell r="C225">
            <v>0.79513888888888884</v>
          </cell>
          <cell r="D225" t="str">
            <v>Standard</v>
          </cell>
          <cell r="G225" t="str">
            <v>USA @ CHI</v>
          </cell>
          <cell r="H225" t="str">
            <v>Vs. Conference</v>
          </cell>
          <cell r="I225" t="str">
            <v>TEAM USA</v>
          </cell>
          <cell r="AC225">
            <v>12</v>
          </cell>
          <cell r="AD225">
            <v>6</v>
          </cell>
          <cell r="AJ225">
            <v>0</v>
          </cell>
          <cell r="AK225">
            <v>0</v>
          </cell>
          <cell r="AN225">
            <v>6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BA225" t="str">
            <v>CHICAGO</v>
          </cell>
          <cell r="BU225">
            <v>10</v>
          </cell>
          <cell r="BV225">
            <v>5</v>
          </cell>
          <cell r="CB225">
            <v>0</v>
          </cell>
          <cell r="CC225">
            <v>0</v>
          </cell>
          <cell r="CF225">
            <v>5</v>
          </cell>
          <cell r="CG225">
            <v>0</v>
          </cell>
          <cell r="CH225">
            <v>0</v>
          </cell>
          <cell r="CI225">
            <v>0</v>
          </cell>
          <cell r="CJ225">
            <v>0</v>
          </cell>
          <cell r="CK225">
            <v>0</v>
          </cell>
        </row>
        <row r="226">
          <cell r="A226">
            <v>43463</v>
          </cell>
          <cell r="B226">
            <v>0.83680555555555547</v>
          </cell>
          <cell r="C226">
            <v>0.79513888888888884</v>
          </cell>
          <cell r="D226" t="str">
            <v>Standard</v>
          </cell>
          <cell r="G226" t="str">
            <v>GB @ DUB</v>
          </cell>
          <cell r="H226" t="str">
            <v>Vs. Conference</v>
          </cell>
          <cell r="I226" t="str">
            <v>GREEN BAY</v>
          </cell>
          <cell r="AC226">
            <v>10</v>
          </cell>
          <cell r="AD226">
            <v>6</v>
          </cell>
          <cell r="AJ226">
            <v>0</v>
          </cell>
          <cell r="AK226">
            <v>0</v>
          </cell>
          <cell r="AN226">
            <v>5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BA226" t="str">
            <v>DUBUQUE</v>
          </cell>
          <cell r="BU226">
            <v>4</v>
          </cell>
          <cell r="BV226">
            <v>2</v>
          </cell>
          <cell r="CB226">
            <v>0</v>
          </cell>
          <cell r="CC226">
            <v>1</v>
          </cell>
          <cell r="CF226">
            <v>2</v>
          </cell>
          <cell r="CG226">
            <v>0</v>
          </cell>
          <cell r="CH226">
            <v>0</v>
          </cell>
          <cell r="CI226">
            <v>0</v>
          </cell>
          <cell r="CJ226">
            <v>0</v>
          </cell>
          <cell r="CK226">
            <v>1</v>
          </cell>
        </row>
        <row r="227">
          <cell r="A227">
            <v>43463</v>
          </cell>
          <cell r="B227">
            <v>0.83680555555555547</v>
          </cell>
          <cell r="C227">
            <v>0.79513888888888884</v>
          </cell>
          <cell r="D227" t="str">
            <v>Standard</v>
          </cell>
          <cell r="G227" t="str">
            <v>SF @ FGO</v>
          </cell>
          <cell r="H227" t="str">
            <v>Vs. Conference</v>
          </cell>
          <cell r="I227" t="str">
            <v>SIOUX FALLS</v>
          </cell>
          <cell r="AC227">
            <v>10</v>
          </cell>
          <cell r="AD227">
            <v>5</v>
          </cell>
          <cell r="AJ227">
            <v>0</v>
          </cell>
          <cell r="AK227">
            <v>0</v>
          </cell>
          <cell r="AN227">
            <v>5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BA227" t="str">
            <v>FARGO</v>
          </cell>
          <cell r="BU227">
            <v>10</v>
          </cell>
          <cell r="BV227">
            <v>5</v>
          </cell>
          <cell r="CB227">
            <v>0</v>
          </cell>
          <cell r="CC227">
            <v>0</v>
          </cell>
          <cell r="CF227">
            <v>5</v>
          </cell>
          <cell r="CG227">
            <v>0</v>
          </cell>
          <cell r="CH227">
            <v>0</v>
          </cell>
          <cell r="CI227">
            <v>0</v>
          </cell>
          <cell r="CJ227">
            <v>0</v>
          </cell>
          <cell r="CK227">
            <v>0</v>
          </cell>
        </row>
        <row r="228">
          <cell r="A228">
            <v>43463</v>
          </cell>
          <cell r="B228">
            <v>0.83680555555555547</v>
          </cell>
          <cell r="C228">
            <v>0.79513888888888884</v>
          </cell>
          <cell r="D228" t="str">
            <v>Standard</v>
          </cell>
          <cell r="G228" t="str">
            <v>LIN @ SC</v>
          </cell>
          <cell r="H228" t="str">
            <v>Vs. Conference</v>
          </cell>
          <cell r="I228" t="str">
            <v>LINCOLN</v>
          </cell>
          <cell r="AC228">
            <v>23</v>
          </cell>
          <cell r="AD228">
            <v>6</v>
          </cell>
          <cell r="AJ228">
            <v>0</v>
          </cell>
          <cell r="AK228">
            <v>0</v>
          </cell>
          <cell r="AN228">
            <v>4</v>
          </cell>
          <cell r="AO228">
            <v>1</v>
          </cell>
          <cell r="AP228">
            <v>1</v>
          </cell>
          <cell r="AQ228">
            <v>0</v>
          </cell>
          <cell r="AR228">
            <v>0</v>
          </cell>
          <cell r="AS228">
            <v>0</v>
          </cell>
          <cell r="BA228" t="str">
            <v>SIOUX CITY</v>
          </cell>
          <cell r="BU228">
            <v>29</v>
          </cell>
          <cell r="BV228">
            <v>9</v>
          </cell>
          <cell r="CB228">
            <v>0</v>
          </cell>
          <cell r="CC228">
            <v>0</v>
          </cell>
          <cell r="CF228">
            <v>7</v>
          </cell>
          <cell r="CG228">
            <v>1</v>
          </cell>
          <cell r="CH228">
            <v>1</v>
          </cell>
          <cell r="CI228">
            <v>0</v>
          </cell>
          <cell r="CJ228">
            <v>0</v>
          </cell>
          <cell r="CK228">
            <v>0</v>
          </cell>
        </row>
        <row r="229">
          <cell r="A229">
            <v>43463</v>
          </cell>
          <cell r="B229">
            <v>0.83680555555555547</v>
          </cell>
          <cell r="C229">
            <v>0.79513888888888884</v>
          </cell>
          <cell r="D229" t="str">
            <v>Standard</v>
          </cell>
          <cell r="G229" t="str">
            <v>OMA @ TC</v>
          </cell>
          <cell r="H229" t="str">
            <v>Vs. Conference</v>
          </cell>
          <cell r="I229" t="str">
            <v>OMAHA</v>
          </cell>
          <cell r="AC229">
            <v>8</v>
          </cell>
          <cell r="AD229">
            <v>4</v>
          </cell>
          <cell r="AJ229">
            <v>0</v>
          </cell>
          <cell r="AK229">
            <v>0</v>
          </cell>
          <cell r="AN229">
            <v>4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BA229" t="str">
            <v>TRI-CITY</v>
          </cell>
          <cell r="BU229">
            <v>6</v>
          </cell>
          <cell r="BV229">
            <v>3</v>
          </cell>
          <cell r="CB229">
            <v>0</v>
          </cell>
          <cell r="CC229">
            <v>0</v>
          </cell>
          <cell r="CF229">
            <v>3</v>
          </cell>
          <cell r="CG229">
            <v>0</v>
          </cell>
          <cell r="CH229">
            <v>0</v>
          </cell>
          <cell r="CI229">
            <v>0</v>
          </cell>
          <cell r="CJ229">
            <v>0</v>
          </cell>
          <cell r="CK229">
            <v>0</v>
          </cell>
        </row>
        <row r="230">
          <cell r="A230">
            <v>43463</v>
          </cell>
          <cell r="B230">
            <v>0.83680555555555547</v>
          </cell>
          <cell r="C230">
            <v>0.79513888888888884</v>
          </cell>
          <cell r="D230" t="str">
            <v>Standard</v>
          </cell>
          <cell r="G230" t="str">
            <v>DM @ CR</v>
          </cell>
          <cell r="H230" t="str">
            <v>Vs. Non-Conference</v>
          </cell>
          <cell r="I230" t="str">
            <v>DES MOINES</v>
          </cell>
          <cell r="AC230">
            <v>2</v>
          </cell>
          <cell r="AD230">
            <v>1</v>
          </cell>
          <cell r="AJ230">
            <v>0</v>
          </cell>
          <cell r="AK230">
            <v>0</v>
          </cell>
          <cell r="AN230">
            <v>1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BA230" t="str">
            <v>CEDAR RAPIDS</v>
          </cell>
          <cell r="BU230">
            <v>4</v>
          </cell>
          <cell r="BV230">
            <v>2</v>
          </cell>
          <cell r="CB230">
            <v>0</v>
          </cell>
          <cell r="CC230">
            <v>0</v>
          </cell>
          <cell r="CF230">
            <v>2</v>
          </cell>
          <cell r="CG230">
            <v>0</v>
          </cell>
          <cell r="CH230">
            <v>0</v>
          </cell>
          <cell r="CI230">
            <v>0</v>
          </cell>
          <cell r="CJ230">
            <v>0</v>
          </cell>
          <cell r="CK230">
            <v>0</v>
          </cell>
        </row>
        <row r="231">
          <cell r="A231">
            <v>43463</v>
          </cell>
          <cell r="B231">
            <v>0.83680555555555547</v>
          </cell>
          <cell r="C231">
            <v>0.79513888888888884</v>
          </cell>
          <cell r="D231" t="str">
            <v>Standard</v>
          </cell>
          <cell r="G231" t="str">
            <v>YNG @ WAT</v>
          </cell>
          <cell r="H231" t="str">
            <v>Vs. Non-Conference</v>
          </cell>
          <cell r="I231" t="str">
            <v>YOUNGSTOWN</v>
          </cell>
          <cell r="AC231">
            <v>42</v>
          </cell>
          <cell r="AD231">
            <v>10</v>
          </cell>
          <cell r="AJ231">
            <v>0</v>
          </cell>
          <cell r="AK231">
            <v>0</v>
          </cell>
          <cell r="AN231">
            <v>6</v>
          </cell>
          <cell r="AO231">
            <v>2</v>
          </cell>
          <cell r="AP231">
            <v>2</v>
          </cell>
          <cell r="AQ231">
            <v>0</v>
          </cell>
          <cell r="AR231">
            <v>0</v>
          </cell>
          <cell r="AS231">
            <v>0</v>
          </cell>
          <cell r="BA231" t="str">
            <v>WATERLOO</v>
          </cell>
          <cell r="BU231">
            <v>44</v>
          </cell>
          <cell r="BV231">
            <v>11</v>
          </cell>
          <cell r="CB231">
            <v>0</v>
          </cell>
          <cell r="CC231">
            <v>0</v>
          </cell>
          <cell r="CF231">
            <v>7</v>
          </cell>
          <cell r="CG231">
            <v>2</v>
          </cell>
          <cell r="CH231">
            <v>2</v>
          </cell>
          <cell r="CI231">
            <v>0</v>
          </cell>
          <cell r="CJ231">
            <v>0</v>
          </cell>
          <cell r="CK231">
            <v>0</v>
          </cell>
        </row>
        <row r="232">
          <cell r="A232">
            <v>43464</v>
          </cell>
          <cell r="B232">
            <v>0.67013888888888884</v>
          </cell>
          <cell r="C232">
            <v>0.62847222222222221</v>
          </cell>
          <cell r="D232" t="str">
            <v>Standard</v>
          </cell>
          <cell r="G232" t="str">
            <v>YNG @ DUB</v>
          </cell>
          <cell r="H232" t="str">
            <v>Vs. Conference</v>
          </cell>
          <cell r="I232" t="str">
            <v>YOUNGSTOWN</v>
          </cell>
          <cell r="AC232">
            <v>2</v>
          </cell>
          <cell r="AD232">
            <v>1</v>
          </cell>
          <cell r="AJ232">
            <v>0</v>
          </cell>
          <cell r="AK232">
            <v>0</v>
          </cell>
          <cell r="AN232">
            <v>1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BA232" t="str">
            <v>DUBUQUE</v>
          </cell>
          <cell r="BU232">
            <v>6</v>
          </cell>
          <cell r="BV232">
            <v>3</v>
          </cell>
          <cell r="CB232">
            <v>0</v>
          </cell>
          <cell r="CC232">
            <v>0</v>
          </cell>
          <cell r="CF232">
            <v>3</v>
          </cell>
          <cell r="CG232">
            <v>0</v>
          </cell>
          <cell r="CH232">
            <v>0</v>
          </cell>
          <cell r="CI232">
            <v>0</v>
          </cell>
          <cell r="CJ232">
            <v>0</v>
          </cell>
          <cell r="CK232">
            <v>0</v>
          </cell>
        </row>
        <row r="233">
          <cell r="A233">
            <v>43465</v>
          </cell>
          <cell r="B233">
            <v>0.79513888888888884</v>
          </cell>
          <cell r="C233">
            <v>0.75347222222222221</v>
          </cell>
          <cell r="D233" t="str">
            <v>Standard</v>
          </cell>
          <cell r="G233" t="str">
            <v>LIN @ SF</v>
          </cell>
          <cell r="H233" t="str">
            <v>Vs. Conference</v>
          </cell>
          <cell r="I233" t="str">
            <v>LINCOLN</v>
          </cell>
          <cell r="AC233">
            <v>10</v>
          </cell>
          <cell r="AD233">
            <v>6</v>
          </cell>
          <cell r="AJ233">
            <v>0</v>
          </cell>
          <cell r="AK233">
            <v>0</v>
          </cell>
          <cell r="AN233">
            <v>5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BA233" t="str">
            <v>SIOUX FALLS</v>
          </cell>
          <cell r="BU233">
            <v>8</v>
          </cell>
          <cell r="BV233">
            <v>4</v>
          </cell>
          <cell r="CB233">
            <v>1</v>
          </cell>
          <cell r="CC233">
            <v>1</v>
          </cell>
          <cell r="CF233">
            <v>4</v>
          </cell>
          <cell r="CG233">
            <v>0</v>
          </cell>
          <cell r="CH233">
            <v>0</v>
          </cell>
          <cell r="CI233">
            <v>0</v>
          </cell>
          <cell r="CJ233">
            <v>0</v>
          </cell>
          <cell r="CK233">
            <v>1</v>
          </cell>
        </row>
        <row r="234">
          <cell r="A234">
            <v>43465</v>
          </cell>
          <cell r="B234">
            <v>0.79513888888888884</v>
          </cell>
          <cell r="C234">
            <v>0.75347222222222221</v>
          </cell>
          <cell r="D234" t="str">
            <v>Standard</v>
          </cell>
          <cell r="G234" t="str">
            <v>DM @ GB</v>
          </cell>
          <cell r="H234" t="str">
            <v>Vs. Non-Conference</v>
          </cell>
          <cell r="I234" t="str">
            <v>DES MOINES</v>
          </cell>
          <cell r="AC234">
            <v>2</v>
          </cell>
          <cell r="AD234">
            <v>1</v>
          </cell>
          <cell r="AJ234">
            <v>0</v>
          </cell>
          <cell r="AK234">
            <v>0</v>
          </cell>
          <cell r="AN234">
            <v>1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BA234" t="str">
            <v>GREEN BAY</v>
          </cell>
          <cell r="BU234">
            <v>8</v>
          </cell>
          <cell r="BV234">
            <v>4</v>
          </cell>
          <cell r="CB234">
            <v>0</v>
          </cell>
          <cell r="CC234">
            <v>0</v>
          </cell>
          <cell r="CF234">
            <v>4</v>
          </cell>
          <cell r="CG234">
            <v>0</v>
          </cell>
          <cell r="CH234">
            <v>0</v>
          </cell>
          <cell r="CI234">
            <v>0</v>
          </cell>
          <cell r="CJ234">
            <v>0</v>
          </cell>
          <cell r="CK234">
            <v>0</v>
          </cell>
        </row>
        <row r="235">
          <cell r="A235">
            <v>43465</v>
          </cell>
          <cell r="B235">
            <v>0.79513888888888884</v>
          </cell>
          <cell r="C235">
            <v>0.75347222222222221</v>
          </cell>
          <cell r="D235" t="str">
            <v>Standard</v>
          </cell>
          <cell r="G235" t="str">
            <v>MAD @ WAT</v>
          </cell>
          <cell r="H235" t="str">
            <v>Vs. Non-Conference</v>
          </cell>
          <cell r="I235" t="str">
            <v>MADISON</v>
          </cell>
          <cell r="AC235">
            <v>14</v>
          </cell>
          <cell r="AD235">
            <v>7</v>
          </cell>
          <cell r="AJ235">
            <v>0</v>
          </cell>
          <cell r="AK235">
            <v>0</v>
          </cell>
          <cell r="AN235">
            <v>7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BA235" t="str">
            <v>WATERLOO</v>
          </cell>
          <cell r="BU235">
            <v>8</v>
          </cell>
          <cell r="BV235">
            <v>4</v>
          </cell>
          <cell r="CB235">
            <v>0</v>
          </cell>
          <cell r="CC235">
            <v>0</v>
          </cell>
          <cell r="CF235">
            <v>4</v>
          </cell>
          <cell r="CG235">
            <v>0</v>
          </cell>
          <cell r="CH235">
            <v>0</v>
          </cell>
          <cell r="CI235">
            <v>0</v>
          </cell>
          <cell r="CJ235">
            <v>0</v>
          </cell>
          <cell r="CK235">
            <v>0</v>
          </cell>
        </row>
        <row r="236">
          <cell r="A236">
            <v>43465</v>
          </cell>
          <cell r="B236">
            <v>0.83680555555555547</v>
          </cell>
          <cell r="C236">
            <v>0.79513888888888884</v>
          </cell>
          <cell r="D236" t="str">
            <v>Standard</v>
          </cell>
          <cell r="G236" t="str">
            <v>OMA @ SC</v>
          </cell>
          <cell r="H236" t="str">
            <v>Vs. Conference</v>
          </cell>
          <cell r="I236" t="str">
            <v>OMAHA</v>
          </cell>
          <cell r="AC236">
            <v>6</v>
          </cell>
          <cell r="AD236">
            <v>3</v>
          </cell>
          <cell r="AJ236">
            <v>1</v>
          </cell>
          <cell r="AK236">
            <v>1</v>
          </cell>
          <cell r="AN236">
            <v>3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1</v>
          </cell>
          <cell r="BA236" t="str">
            <v>SIOUX CITY</v>
          </cell>
          <cell r="BU236">
            <v>13</v>
          </cell>
          <cell r="BV236">
            <v>6</v>
          </cell>
          <cell r="CB236">
            <v>0</v>
          </cell>
          <cell r="CC236">
            <v>0</v>
          </cell>
          <cell r="CF236">
            <v>4</v>
          </cell>
          <cell r="CG236">
            <v>1</v>
          </cell>
          <cell r="CH236">
            <v>0</v>
          </cell>
          <cell r="CI236">
            <v>0</v>
          </cell>
          <cell r="CJ236">
            <v>0</v>
          </cell>
          <cell r="CK236">
            <v>0</v>
          </cell>
        </row>
        <row r="237">
          <cell r="A237">
            <v>43465</v>
          </cell>
          <cell r="B237">
            <v>0.84375</v>
          </cell>
          <cell r="C237">
            <v>0.80208333333333337</v>
          </cell>
          <cell r="D237" t="str">
            <v>Standard</v>
          </cell>
          <cell r="G237" t="str">
            <v>CHI @ MUS</v>
          </cell>
          <cell r="H237" t="str">
            <v>Vs. Conference</v>
          </cell>
          <cell r="I237" t="str">
            <v>CHICAGO</v>
          </cell>
          <cell r="AC237">
            <v>2</v>
          </cell>
          <cell r="AD237">
            <v>1</v>
          </cell>
          <cell r="AJ237">
            <v>0</v>
          </cell>
          <cell r="AK237">
            <v>0</v>
          </cell>
          <cell r="AN237">
            <v>1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BA237" t="str">
            <v>MUSKEGON</v>
          </cell>
          <cell r="BU237">
            <v>8</v>
          </cell>
          <cell r="BV237">
            <v>4</v>
          </cell>
          <cell r="CB237">
            <v>0</v>
          </cell>
          <cell r="CC237">
            <v>0</v>
          </cell>
          <cell r="CF237">
            <v>4</v>
          </cell>
          <cell r="CG237">
            <v>0</v>
          </cell>
          <cell r="CH237">
            <v>0</v>
          </cell>
          <cell r="CI237">
            <v>0</v>
          </cell>
          <cell r="CJ237">
            <v>0</v>
          </cell>
          <cell r="CK237">
            <v>0</v>
          </cell>
        </row>
        <row r="238">
          <cell r="A238">
            <v>43468</v>
          </cell>
          <cell r="B238">
            <v>0.79166666666666663</v>
          </cell>
          <cell r="C238">
            <v>0.75</v>
          </cell>
          <cell r="D238" t="str">
            <v>Standard</v>
          </cell>
          <cell r="G238" t="str">
            <v>TC @ USA</v>
          </cell>
          <cell r="H238" t="str">
            <v>Vs. Non-Conference</v>
          </cell>
          <cell r="I238" t="str">
            <v>TRI-CITY</v>
          </cell>
          <cell r="AC238">
            <v>4</v>
          </cell>
          <cell r="AD238">
            <v>2</v>
          </cell>
          <cell r="AJ238">
            <v>0</v>
          </cell>
          <cell r="AK238">
            <v>0</v>
          </cell>
          <cell r="AN238">
            <v>2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BA238" t="str">
            <v>TEAM USA</v>
          </cell>
          <cell r="BU238">
            <v>2</v>
          </cell>
          <cell r="BV238">
            <v>1</v>
          </cell>
          <cell r="CB238">
            <v>0</v>
          </cell>
          <cell r="CC238">
            <v>0</v>
          </cell>
          <cell r="CF238">
            <v>1</v>
          </cell>
          <cell r="CG238">
            <v>0</v>
          </cell>
          <cell r="CH238">
            <v>0</v>
          </cell>
          <cell r="CI238">
            <v>0</v>
          </cell>
          <cell r="CJ238">
            <v>0</v>
          </cell>
          <cell r="CK238">
            <v>0</v>
          </cell>
        </row>
        <row r="239">
          <cell r="A239">
            <v>43469</v>
          </cell>
          <cell r="B239">
            <v>0.79166666666666663</v>
          </cell>
          <cell r="C239">
            <v>0.75</v>
          </cell>
          <cell r="D239" t="str">
            <v>Standard</v>
          </cell>
          <cell r="G239" t="str">
            <v>TC @ USA</v>
          </cell>
          <cell r="H239" t="str">
            <v>Vs. Non-Conference</v>
          </cell>
          <cell r="I239" t="str">
            <v>TRI-CITY</v>
          </cell>
          <cell r="AC239">
            <v>8</v>
          </cell>
          <cell r="AD239">
            <v>4</v>
          </cell>
          <cell r="AJ239">
            <v>0</v>
          </cell>
          <cell r="AK239">
            <v>0</v>
          </cell>
          <cell r="AN239">
            <v>4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BA239" t="str">
            <v>TEAM USA</v>
          </cell>
          <cell r="BU239">
            <v>14</v>
          </cell>
          <cell r="BV239">
            <v>7</v>
          </cell>
          <cell r="CB239">
            <v>0</v>
          </cell>
          <cell r="CC239">
            <v>0</v>
          </cell>
          <cell r="CF239">
            <v>7</v>
          </cell>
          <cell r="CG239">
            <v>0</v>
          </cell>
          <cell r="CH239">
            <v>0</v>
          </cell>
          <cell r="CI239">
            <v>0</v>
          </cell>
          <cell r="CJ239">
            <v>0</v>
          </cell>
          <cell r="CK239">
            <v>0</v>
          </cell>
        </row>
        <row r="240">
          <cell r="A240">
            <v>43469</v>
          </cell>
          <cell r="B240">
            <v>0.79513888888888884</v>
          </cell>
          <cell r="C240">
            <v>0.75347222222222221</v>
          </cell>
          <cell r="D240" t="str">
            <v>Standard</v>
          </cell>
          <cell r="G240" t="str">
            <v>SC @ YNG</v>
          </cell>
          <cell r="H240" t="str">
            <v>Vs. Non-Conference</v>
          </cell>
          <cell r="I240" t="str">
            <v>SIOUX CITY</v>
          </cell>
          <cell r="AC240">
            <v>4</v>
          </cell>
          <cell r="AD240">
            <v>2</v>
          </cell>
          <cell r="AJ240">
            <v>0</v>
          </cell>
          <cell r="AK240">
            <v>0</v>
          </cell>
          <cell r="AN240">
            <v>2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BA240" t="str">
            <v>YOUNGSTOWN</v>
          </cell>
          <cell r="BU240">
            <v>20</v>
          </cell>
          <cell r="BV240">
            <v>6</v>
          </cell>
          <cell r="CB240">
            <v>0</v>
          </cell>
          <cell r="CC240">
            <v>0</v>
          </cell>
          <cell r="CF240">
            <v>5</v>
          </cell>
          <cell r="CG240">
            <v>0</v>
          </cell>
          <cell r="CH240">
            <v>1</v>
          </cell>
          <cell r="CI240">
            <v>0</v>
          </cell>
          <cell r="CJ240">
            <v>0</v>
          </cell>
          <cell r="CK240">
            <v>0</v>
          </cell>
        </row>
        <row r="241">
          <cell r="A241">
            <v>43469</v>
          </cell>
          <cell r="B241">
            <v>0.83680555555555547</v>
          </cell>
          <cell r="C241">
            <v>0.79513888888888884</v>
          </cell>
          <cell r="D241" t="str">
            <v>Standard</v>
          </cell>
          <cell r="G241" t="str">
            <v>MUS @ CR</v>
          </cell>
          <cell r="H241" t="str">
            <v>Vs. Conference</v>
          </cell>
          <cell r="I241" t="str">
            <v>MUSKEGON</v>
          </cell>
          <cell r="AC241">
            <v>32</v>
          </cell>
          <cell r="AD241">
            <v>12</v>
          </cell>
          <cell r="AJ241">
            <v>0</v>
          </cell>
          <cell r="AK241">
            <v>0</v>
          </cell>
          <cell r="AN241">
            <v>11</v>
          </cell>
          <cell r="AO241">
            <v>0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BA241" t="str">
            <v>CEDAR RAPIDS</v>
          </cell>
          <cell r="BU241">
            <v>34</v>
          </cell>
          <cell r="BV241">
            <v>13</v>
          </cell>
          <cell r="CB241">
            <v>0</v>
          </cell>
          <cell r="CC241">
            <v>0</v>
          </cell>
          <cell r="CF241">
            <v>12</v>
          </cell>
          <cell r="CG241">
            <v>0</v>
          </cell>
          <cell r="CH241">
            <v>1</v>
          </cell>
          <cell r="CI241">
            <v>0</v>
          </cell>
          <cell r="CJ241">
            <v>0</v>
          </cell>
          <cell r="CK241">
            <v>0</v>
          </cell>
        </row>
        <row r="242">
          <cell r="A242">
            <v>43469</v>
          </cell>
          <cell r="B242">
            <v>0.83680555555555547</v>
          </cell>
          <cell r="C242">
            <v>0.79513888888888884</v>
          </cell>
          <cell r="D242" t="str">
            <v>Standard</v>
          </cell>
          <cell r="G242" t="str">
            <v>MAD @ CHI</v>
          </cell>
          <cell r="H242" t="str">
            <v>Vs. Conference</v>
          </cell>
          <cell r="I242" t="str">
            <v>MADISON</v>
          </cell>
          <cell r="AC242">
            <v>6</v>
          </cell>
          <cell r="AD242">
            <v>3</v>
          </cell>
          <cell r="AJ242">
            <v>0</v>
          </cell>
          <cell r="AK242">
            <v>0</v>
          </cell>
          <cell r="AN242">
            <v>3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BA242" t="str">
            <v>CHICAGO</v>
          </cell>
          <cell r="BU242">
            <v>2</v>
          </cell>
          <cell r="BV242">
            <v>1</v>
          </cell>
          <cell r="CB242">
            <v>0</v>
          </cell>
          <cell r="CC242">
            <v>0</v>
          </cell>
          <cell r="CF242">
            <v>1</v>
          </cell>
          <cell r="CG242">
            <v>0</v>
          </cell>
          <cell r="CH242">
            <v>0</v>
          </cell>
          <cell r="CI242">
            <v>0</v>
          </cell>
          <cell r="CJ242">
            <v>0</v>
          </cell>
          <cell r="CK242">
            <v>0</v>
          </cell>
        </row>
        <row r="243">
          <cell r="A243">
            <v>43469</v>
          </cell>
          <cell r="B243">
            <v>0.83680555555555547</v>
          </cell>
          <cell r="C243">
            <v>0.79513888888888884</v>
          </cell>
          <cell r="D243" t="str">
            <v>Standard</v>
          </cell>
          <cell r="G243" t="str">
            <v>WAT @ SF</v>
          </cell>
          <cell r="H243" t="str">
            <v>Vs. Conference</v>
          </cell>
          <cell r="I243" t="str">
            <v>WATERLOO</v>
          </cell>
          <cell r="AC243">
            <v>12</v>
          </cell>
          <cell r="AD243">
            <v>6</v>
          </cell>
          <cell r="AJ243">
            <v>0</v>
          </cell>
          <cell r="AK243">
            <v>0</v>
          </cell>
          <cell r="AN243">
            <v>6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BA243" t="str">
            <v>SIOUX FALLS</v>
          </cell>
          <cell r="BU243">
            <v>12</v>
          </cell>
          <cell r="BV243">
            <v>6</v>
          </cell>
          <cell r="CB243">
            <v>0</v>
          </cell>
          <cell r="CC243">
            <v>0</v>
          </cell>
          <cell r="CF243">
            <v>6</v>
          </cell>
          <cell r="CG243">
            <v>0</v>
          </cell>
          <cell r="CH243">
            <v>0</v>
          </cell>
          <cell r="CI243">
            <v>0</v>
          </cell>
          <cell r="CJ243">
            <v>0</v>
          </cell>
          <cell r="CK243">
            <v>0</v>
          </cell>
        </row>
        <row r="244">
          <cell r="A244">
            <v>43469</v>
          </cell>
          <cell r="B244">
            <v>0.83680555555555547</v>
          </cell>
          <cell r="C244">
            <v>0.79513888888888884</v>
          </cell>
          <cell r="D244" t="str">
            <v>Standard</v>
          </cell>
          <cell r="G244" t="str">
            <v>DUB @ DM</v>
          </cell>
          <cell r="H244" t="str">
            <v>Vs. Non-Conference</v>
          </cell>
          <cell r="I244" t="str">
            <v>DUBUQUE</v>
          </cell>
          <cell r="AC244">
            <v>2</v>
          </cell>
          <cell r="AD244">
            <v>1</v>
          </cell>
          <cell r="AJ244">
            <v>0</v>
          </cell>
          <cell r="AK244">
            <v>0</v>
          </cell>
          <cell r="AN244">
            <v>1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BA244" t="str">
            <v>DES MOINES</v>
          </cell>
          <cell r="BU244">
            <v>6</v>
          </cell>
          <cell r="BV244">
            <v>3</v>
          </cell>
          <cell r="CB244">
            <v>0</v>
          </cell>
          <cell r="CC244">
            <v>0</v>
          </cell>
          <cell r="CF244">
            <v>3</v>
          </cell>
          <cell r="CG244">
            <v>0</v>
          </cell>
          <cell r="CH244">
            <v>0</v>
          </cell>
          <cell r="CI244">
            <v>0</v>
          </cell>
          <cell r="CJ244">
            <v>0</v>
          </cell>
          <cell r="CK244">
            <v>0</v>
          </cell>
        </row>
        <row r="245">
          <cell r="A245">
            <v>43469</v>
          </cell>
          <cell r="B245">
            <v>0.83680555555555547</v>
          </cell>
          <cell r="C245">
            <v>0.79513888888888884</v>
          </cell>
          <cell r="D245" t="str">
            <v>Standard</v>
          </cell>
          <cell r="G245" t="str">
            <v>GB @ FGO</v>
          </cell>
          <cell r="H245" t="str">
            <v>Vs. Non-Conference</v>
          </cell>
          <cell r="I245" t="str">
            <v>GREEN BAY</v>
          </cell>
          <cell r="AC245">
            <v>39</v>
          </cell>
          <cell r="AD245">
            <v>10</v>
          </cell>
          <cell r="AJ245">
            <v>0</v>
          </cell>
          <cell r="AK245">
            <v>0</v>
          </cell>
          <cell r="AN245">
            <v>7</v>
          </cell>
          <cell r="AO245">
            <v>1</v>
          </cell>
          <cell r="AP245">
            <v>1</v>
          </cell>
          <cell r="AQ245">
            <v>1</v>
          </cell>
          <cell r="AR245">
            <v>0</v>
          </cell>
          <cell r="AS245">
            <v>0</v>
          </cell>
          <cell r="BA245" t="str">
            <v>FARGO</v>
          </cell>
          <cell r="BU245">
            <v>29</v>
          </cell>
          <cell r="BV245">
            <v>9</v>
          </cell>
          <cell r="CB245">
            <v>0</v>
          </cell>
          <cell r="CC245">
            <v>0</v>
          </cell>
          <cell r="CF245">
            <v>7</v>
          </cell>
          <cell r="CG245">
            <v>1</v>
          </cell>
          <cell r="CH245">
            <v>0</v>
          </cell>
          <cell r="CI245">
            <v>1</v>
          </cell>
          <cell r="CJ245">
            <v>0</v>
          </cell>
          <cell r="CK245">
            <v>0</v>
          </cell>
        </row>
        <row r="246">
          <cell r="A246">
            <v>43469</v>
          </cell>
          <cell r="B246">
            <v>0.83819444444444446</v>
          </cell>
          <cell r="C246">
            <v>0.79652777777777783</v>
          </cell>
          <cell r="D246" t="str">
            <v>Standard</v>
          </cell>
          <cell r="G246" t="str">
            <v>OMA @ CIL</v>
          </cell>
          <cell r="H246" t="str">
            <v>Vs. Non-Conference</v>
          </cell>
          <cell r="I246" t="str">
            <v>OMAHA</v>
          </cell>
          <cell r="AC246">
            <v>4</v>
          </cell>
          <cell r="AD246">
            <v>2</v>
          </cell>
          <cell r="AJ246">
            <v>0</v>
          </cell>
          <cell r="AK246">
            <v>0</v>
          </cell>
          <cell r="AN246">
            <v>2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BA246" t="str">
            <v>CENTRAL ILLINOIS</v>
          </cell>
          <cell r="BU246">
            <v>6</v>
          </cell>
          <cell r="BV246">
            <v>3</v>
          </cell>
          <cell r="CB246">
            <v>0</v>
          </cell>
          <cell r="CC246">
            <v>0</v>
          </cell>
          <cell r="CF246">
            <v>3</v>
          </cell>
          <cell r="CG246">
            <v>0</v>
          </cell>
          <cell r="CH246">
            <v>0</v>
          </cell>
          <cell r="CI246">
            <v>0</v>
          </cell>
          <cell r="CJ246">
            <v>0</v>
          </cell>
          <cell r="CK246">
            <v>0</v>
          </cell>
        </row>
        <row r="247">
          <cell r="A247">
            <v>43470</v>
          </cell>
          <cell r="B247">
            <v>0.79513888888888884</v>
          </cell>
          <cell r="C247">
            <v>0.75347222222222221</v>
          </cell>
          <cell r="D247" t="str">
            <v>Standard</v>
          </cell>
          <cell r="G247" t="str">
            <v>SC @ YNG</v>
          </cell>
          <cell r="H247" t="str">
            <v>Vs. Non-Conference</v>
          </cell>
          <cell r="I247" t="str">
            <v>SIOUX CITY</v>
          </cell>
          <cell r="AC247">
            <v>6</v>
          </cell>
          <cell r="AD247">
            <v>3</v>
          </cell>
          <cell r="AJ247">
            <v>0</v>
          </cell>
          <cell r="AK247">
            <v>0</v>
          </cell>
          <cell r="AN247">
            <v>3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BA247" t="str">
            <v>YOUNGSTOWN</v>
          </cell>
          <cell r="BU247">
            <v>8</v>
          </cell>
          <cell r="BV247">
            <v>4</v>
          </cell>
          <cell r="CB247">
            <v>0</v>
          </cell>
          <cell r="CC247">
            <v>0</v>
          </cell>
          <cell r="CF247">
            <v>4</v>
          </cell>
          <cell r="CG247">
            <v>0</v>
          </cell>
          <cell r="CH247">
            <v>0</v>
          </cell>
          <cell r="CI247">
            <v>0</v>
          </cell>
          <cell r="CJ247">
            <v>0</v>
          </cell>
          <cell r="CK247">
            <v>0</v>
          </cell>
        </row>
        <row r="248">
          <cell r="A248">
            <v>43470</v>
          </cell>
          <cell r="B248">
            <v>0.83680555555555547</v>
          </cell>
          <cell r="C248">
            <v>0.79513888888888884</v>
          </cell>
          <cell r="D248" t="str">
            <v>Standard</v>
          </cell>
          <cell r="G248" t="str">
            <v>MUS @ CR</v>
          </cell>
          <cell r="H248" t="str">
            <v>Vs. Conference</v>
          </cell>
          <cell r="I248" t="str">
            <v>MUSKEGON</v>
          </cell>
          <cell r="AC248">
            <v>34</v>
          </cell>
          <cell r="AD248">
            <v>13</v>
          </cell>
          <cell r="AJ248">
            <v>0</v>
          </cell>
          <cell r="AK248">
            <v>0</v>
          </cell>
          <cell r="AN248">
            <v>12</v>
          </cell>
          <cell r="AO248">
            <v>0</v>
          </cell>
          <cell r="AP248">
            <v>1</v>
          </cell>
          <cell r="AQ248">
            <v>0</v>
          </cell>
          <cell r="AR248">
            <v>0</v>
          </cell>
          <cell r="AS248">
            <v>0</v>
          </cell>
          <cell r="BA248" t="str">
            <v>CEDAR RAPIDS</v>
          </cell>
          <cell r="BU248">
            <v>32</v>
          </cell>
          <cell r="BV248">
            <v>12</v>
          </cell>
          <cell r="CB248">
            <v>0</v>
          </cell>
          <cell r="CC248">
            <v>0</v>
          </cell>
          <cell r="CF248">
            <v>11</v>
          </cell>
          <cell r="CG248">
            <v>0</v>
          </cell>
          <cell r="CH248">
            <v>1</v>
          </cell>
          <cell r="CI248">
            <v>0</v>
          </cell>
          <cell r="CJ248">
            <v>0</v>
          </cell>
          <cell r="CK248">
            <v>0</v>
          </cell>
        </row>
        <row r="249">
          <cell r="A249">
            <v>43470</v>
          </cell>
          <cell r="B249">
            <v>0.83680555555555547</v>
          </cell>
          <cell r="C249">
            <v>0.79513888888888884</v>
          </cell>
          <cell r="D249" t="str">
            <v>Standard</v>
          </cell>
          <cell r="G249" t="str">
            <v>DM @ SF</v>
          </cell>
          <cell r="H249" t="str">
            <v>Vs. Conference</v>
          </cell>
          <cell r="I249" t="str">
            <v>DES MOINES</v>
          </cell>
          <cell r="AC249">
            <v>8</v>
          </cell>
          <cell r="AD249">
            <v>4</v>
          </cell>
          <cell r="AJ249">
            <v>0</v>
          </cell>
          <cell r="AK249">
            <v>0</v>
          </cell>
          <cell r="AN249">
            <v>4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BA249" t="str">
            <v>SIOUX FALLS</v>
          </cell>
          <cell r="BU249">
            <v>10</v>
          </cell>
          <cell r="BV249">
            <v>5</v>
          </cell>
          <cell r="CB249">
            <v>0</v>
          </cell>
          <cell r="CC249">
            <v>0</v>
          </cell>
          <cell r="CF249">
            <v>5</v>
          </cell>
          <cell r="CG249">
            <v>0</v>
          </cell>
          <cell r="CH249">
            <v>0</v>
          </cell>
          <cell r="CI249">
            <v>0</v>
          </cell>
          <cell r="CJ249">
            <v>0</v>
          </cell>
          <cell r="CK249">
            <v>0</v>
          </cell>
        </row>
        <row r="250">
          <cell r="A250">
            <v>43470</v>
          </cell>
          <cell r="B250">
            <v>0.83680555555555547</v>
          </cell>
          <cell r="C250">
            <v>0.79513888888888884</v>
          </cell>
          <cell r="D250" t="str">
            <v>Standard</v>
          </cell>
          <cell r="G250" t="str">
            <v>LIN @ WAT</v>
          </cell>
          <cell r="H250" t="str">
            <v>Vs. Conference</v>
          </cell>
          <cell r="I250" t="str">
            <v>LINCOLN</v>
          </cell>
          <cell r="AC250">
            <v>10</v>
          </cell>
          <cell r="AD250">
            <v>5</v>
          </cell>
          <cell r="AJ250">
            <v>0</v>
          </cell>
          <cell r="AK250">
            <v>0</v>
          </cell>
          <cell r="AN250">
            <v>5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BA250" t="str">
            <v>WATERLOO</v>
          </cell>
          <cell r="BU250">
            <v>10</v>
          </cell>
          <cell r="BV250">
            <v>5</v>
          </cell>
          <cell r="CB250">
            <v>0</v>
          </cell>
          <cell r="CC250">
            <v>0</v>
          </cell>
          <cell r="CF250">
            <v>5</v>
          </cell>
          <cell r="CG250">
            <v>0</v>
          </cell>
          <cell r="CH250">
            <v>0</v>
          </cell>
          <cell r="CI250">
            <v>0</v>
          </cell>
          <cell r="CJ250">
            <v>0</v>
          </cell>
          <cell r="CK250">
            <v>0</v>
          </cell>
        </row>
        <row r="251">
          <cell r="A251">
            <v>43470</v>
          </cell>
          <cell r="B251">
            <v>0.83680555555555547</v>
          </cell>
          <cell r="C251">
            <v>0.79513888888888884</v>
          </cell>
          <cell r="D251" t="str">
            <v>Standard</v>
          </cell>
          <cell r="G251" t="str">
            <v>OMA @ DUB</v>
          </cell>
          <cell r="H251" t="str">
            <v>Vs. Non-Conference</v>
          </cell>
          <cell r="I251" t="str">
            <v>OMAHA</v>
          </cell>
          <cell r="AC251">
            <v>2</v>
          </cell>
          <cell r="AD251">
            <v>1</v>
          </cell>
          <cell r="AJ251">
            <v>0</v>
          </cell>
          <cell r="AK251">
            <v>0</v>
          </cell>
          <cell r="AN251">
            <v>1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BA251" t="str">
            <v>DUBUQUE</v>
          </cell>
          <cell r="BU251">
            <v>2</v>
          </cell>
          <cell r="BV251">
            <v>1</v>
          </cell>
          <cell r="CB251">
            <v>0</v>
          </cell>
          <cell r="CC251">
            <v>0</v>
          </cell>
          <cell r="CF251">
            <v>1</v>
          </cell>
          <cell r="CG251">
            <v>0</v>
          </cell>
          <cell r="CH251">
            <v>0</v>
          </cell>
          <cell r="CI251">
            <v>0</v>
          </cell>
          <cell r="CJ251">
            <v>0</v>
          </cell>
          <cell r="CK251">
            <v>0</v>
          </cell>
        </row>
        <row r="252">
          <cell r="A252">
            <v>43470</v>
          </cell>
          <cell r="B252">
            <v>0.83680555555555547</v>
          </cell>
          <cell r="C252">
            <v>0.79513888888888884</v>
          </cell>
          <cell r="D252" t="str">
            <v>Standard</v>
          </cell>
          <cell r="G252" t="str">
            <v>GB @ FGO</v>
          </cell>
          <cell r="H252" t="str">
            <v>Vs. Non-Conference</v>
          </cell>
          <cell r="I252" t="str">
            <v>GREEN BAY</v>
          </cell>
          <cell r="AC252">
            <v>6</v>
          </cell>
          <cell r="AD252">
            <v>3</v>
          </cell>
          <cell r="AJ252">
            <v>0</v>
          </cell>
          <cell r="AK252">
            <v>0</v>
          </cell>
          <cell r="AN252">
            <v>3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BA252" t="str">
            <v>FARGO</v>
          </cell>
          <cell r="BU252">
            <v>6</v>
          </cell>
          <cell r="BV252">
            <v>3</v>
          </cell>
          <cell r="CB252">
            <v>0</v>
          </cell>
          <cell r="CC252">
            <v>0</v>
          </cell>
          <cell r="CF252">
            <v>3</v>
          </cell>
          <cell r="CG252">
            <v>0</v>
          </cell>
          <cell r="CH252">
            <v>0</v>
          </cell>
          <cell r="CI252">
            <v>0</v>
          </cell>
          <cell r="CJ252">
            <v>0</v>
          </cell>
          <cell r="CK252">
            <v>0</v>
          </cell>
        </row>
        <row r="253">
          <cell r="A253">
            <v>43470</v>
          </cell>
          <cell r="B253">
            <v>0.83680555555555547</v>
          </cell>
          <cell r="C253">
            <v>0.79513888888888884</v>
          </cell>
          <cell r="D253" t="str">
            <v>Standard</v>
          </cell>
          <cell r="G253" t="str">
            <v>TC @ MAD</v>
          </cell>
          <cell r="H253" t="str">
            <v>Vs. Non-Conference</v>
          </cell>
          <cell r="I253" t="str">
            <v>TRI-CITY</v>
          </cell>
          <cell r="AC253">
            <v>6</v>
          </cell>
          <cell r="AD253">
            <v>3</v>
          </cell>
          <cell r="AJ253">
            <v>0</v>
          </cell>
          <cell r="AK253">
            <v>0</v>
          </cell>
          <cell r="AN253">
            <v>3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BA253" t="str">
            <v>MADISON</v>
          </cell>
          <cell r="BU253">
            <v>6</v>
          </cell>
          <cell r="BV253">
            <v>3</v>
          </cell>
          <cell r="CB253">
            <v>0</v>
          </cell>
          <cell r="CC253">
            <v>0</v>
          </cell>
          <cell r="CF253">
            <v>3</v>
          </cell>
          <cell r="CG253">
            <v>0</v>
          </cell>
          <cell r="CH253">
            <v>0</v>
          </cell>
          <cell r="CI253">
            <v>0</v>
          </cell>
          <cell r="CJ253">
            <v>0</v>
          </cell>
          <cell r="CK253">
            <v>0</v>
          </cell>
        </row>
        <row r="254">
          <cell r="A254">
            <v>43470</v>
          </cell>
          <cell r="B254">
            <v>0.83819444444444446</v>
          </cell>
          <cell r="C254">
            <v>0.79652777777777783</v>
          </cell>
          <cell r="D254" t="str">
            <v>Standard</v>
          </cell>
          <cell r="G254" t="str">
            <v>CHI @ CIL</v>
          </cell>
          <cell r="H254" t="str">
            <v>Vs. Conference</v>
          </cell>
          <cell r="I254" t="str">
            <v>CHICAGO</v>
          </cell>
          <cell r="AC254">
            <v>6</v>
          </cell>
          <cell r="AD254">
            <v>3</v>
          </cell>
          <cell r="AJ254">
            <v>0</v>
          </cell>
          <cell r="AK254">
            <v>0</v>
          </cell>
          <cell r="AN254">
            <v>3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BA254" t="str">
            <v>CENTRAL ILLINOIS</v>
          </cell>
          <cell r="BU254">
            <v>6</v>
          </cell>
          <cell r="BV254">
            <v>3</v>
          </cell>
          <cell r="CB254">
            <v>0</v>
          </cell>
          <cell r="CC254">
            <v>0</v>
          </cell>
          <cell r="CF254">
            <v>3</v>
          </cell>
          <cell r="CG254">
            <v>0</v>
          </cell>
          <cell r="CH254">
            <v>0</v>
          </cell>
          <cell r="CI254">
            <v>0</v>
          </cell>
          <cell r="CJ254">
            <v>0</v>
          </cell>
          <cell r="CK254">
            <v>0</v>
          </cell>
        </row>
        <row r="255">
          <cell r="A255">
            <v>43475</v>
          </cell>
          <cell r="B255">
            <v>0.83680555555555547</v>
          </cell>
          <cell r="C255">
            <v>0.79513888888888884</v>
          </cell>
          <cell r="D255" t="str">
            <v>Standard</v>
          </cell>
          <cell r="G255" t="str">
            <v>SC @ FGO</v>
          </cell>
          <cell r="H255" t="str">
            <v>Vs. Conference</v>
          </cell>
          <cell r="I255" t="str">
            <v>SIOUX CITY</v>
          </cell>
          <cell r="AC255">
            <v>2</v>
          </cell>
          <cell r="AD255">
            <v>1</v>
          </cell>
          <cell r="AJ255">
            <v>0</v>
          </cell>
          <cell r="AK255">
            <v>0</v>
          </cell>
          <cell r="AN255">
            <v>1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BA255" t="str">
            <v>FARGO</v>
          </cell>
          <cell r="BU255">
            <v>6</v>
          </cell>
          <cell r="BV255">
            <v>3</v>
          </cell>
          <cell r="CB255">
            <v>0</v>
          </cell>
          <cell r="CC255">
            <v>0</v>
          </cell>
          <cell r="CF255">
            <v>3</v>
          </cell>
          <cell r="CG255">
            <v>0</v>
          </cell>
          <cell r="CH255">
            <v>0</v>
          </cell>
          <cell r="CI255">
            <v>0</v>
          </cell>
          <cell r="CJ255">
            <v>0</v>
          </cell>
          <cell r="CK255">
            <v>0</v>
          </cell>
        </row>
        <row r="256">
          <cell r="A256">
            <v>43475</v>
          </cell>
          <cell r="B256">
            <v>0.83680555555555547</v>
          </cell>
          <cell r="C256">
            <v>0.79513888888888884</v>
          </cell>
          <cell r="D256" t="str">
            <v>Standard</v>
          </cell>
          <cell r="G256" t="str">
            <v>DM @ LIN</v>
          </cell>
          <cell r="H256" t="str">
            <v>Vs. Conference</v>
          </cell>
          <cell r="I256" t="str">
            <v>DES MOINES</v>
          </cell>
          <cell r="AC256">
            <v>17</v>
          </cell>
          <cell r="AD256">
            <v>7</v>
          </cell>
          <cell r="AJ256">
            <v>0</v>
          </cell>
          <cell r="AK256">
            <v>0</v>
          </cell>
          <cell r="AN256">
            <v>6</v>
          </cell>
          <cell r="AO256">
            <v>0</v>
          </cell>
          <cell r="AP256">
            <v>0</v>
          </cell>
          <cell r="AQ256">
            <v>0</v>
          </cell>
          <cell r="AR256">
            <v>1</v>
          </cell>
          <cell r="AS256">
            <v>0</v>
          </cell>
          <cell r="BA256" t="str">
            <v>LINCOLN</v>
          </cell>
          <cell r="BU256">
            <v>8</v>
          </cell>
          <cell r="BV256">
            <v>4</v>
          </cell>
          <cell r="CB256">
            <v>0</v>
          </cell>
          <cell r="CC256">
            <v>0</v>
          </cell>
          <cell r="CF256">
            <v>4</v>
          </cell>
          <cell r="CG256">
            <v>0</v>
          </cell>
          <cell r="CH256">
            <v>0</v>
          </cell>
          <cell r="CI256">
            <v>0</v>
          </cell>
          <cell r="CJ256">
            <v>0</v>
          </cell>
          <cell r="CK256">
            <v>0</v>
          </cell>
        </row>
        <row r="257">
          <cell r="A257">
            <v>43476</v>
          </cell>
          <cell r="B257">
            <v>0.79166666666666663</v>
          </cell>
          <cell r="C257">
            <v>0.75</v>
          </cell>
          <cell r="D257" t="str">
            <v>Standard</v>
          </cell>
          <cell r="G257" t="str">
            <v>CIL @ USA</v>
          </cell>
          <cell r="H257" t="str">
            <v>Vs. Conference</v>
          </cell>
          <cell r="I257" t="str">
            <v>CENTRAL ILLINOIS</v>
          </cell>
          <cell r="AC257">
            <v>8</v>
          </cell>
          <cell r="AD257">
            <v>4</v>
          </cell>
          <cell r="AJ257">
            <v>0</v>
          </cell>
          <cell r="AK257">
            <v>0</v>
          </cell>
          <cell r="AN257">
            <v>4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BA257" t="str">
            <v>TEAM USA</v>
          </cell>
          <cell r="BU257">
            <v>8</v>
          </cell>
          <cell r="BV257">
            <v>4</v>
          </cell>
          <cell r="CB257">
            <v>0</v>
          </cell>
          <cell r="CC257">
            <v>0</v>
          </cell>
          <cell r="CF257">
            <v>4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</row>
        <row r="258">
          <cell r="A258">
            <v>43476</v>
          </cell>
          <cell r="B258">
            <v>0.83680555555555547</v>
          </cell>
          <cell r="C258">
            <v>0.79513888888888884</v>
          </cell>
          <cell r="D258" t="str">
            <v>Standard</v>
          </cell>
          <cell r="G258" t="str">
            <v>YNG @ CHI</v>
          </cell>
          <cell r="H258" t="str">
            <v>Vs. Conference</v>
          </cell>
          <cell r="I258" t="str">
            <v>YOUNGSTOWN</v>
          </cell>
          <cell r="AC258">
            <v>4</v>
          </cell>
          <cell r="AD258">
            <v>2</v>
          </cell>
          <cell r="AJ258">
            <v>0</v>
          </cell>
          <cell r="AK258">
            <v>0</v>
          </cell>
          <cell r="AN258">
            <v>2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BA258" t="str">
            <v>CHICAGO</v>
          </cell>
          <cell r="BU258">
            <v>6</v>
          </cell>
          <cell r="BV258">
            <v>3</v>
          </cell>
          <cell r="CB258">
            <v>0</v>
          </cell>
          <cell r="CC258">
            <v>0</v>
          </cell>
          <cell r="CF258">
            <v>3</v>
          </cell>
          <cell r="CG258">
            <v>0</v>
          </cell>
          <cell r="CH258">
            <v>0</v>
          </cell>
          <cell r="CI258">
            <v>0</v>
          </cell>
          <cell r="CJ258">
            <v>0</v>
          </cell>
          <cell r="CK258">
            <v>0</v>
          </cell>
        </row>
        <row r="259">
          <cell r="A259">
            <v>43476</v>
          </cell>
          <cell r="B259">
            <v>0.83680555555555547</v>
          </cell>
          <cell r="C259">
            <v>0.79513888888888884</v>
          </cell>
          <cell r="D259" t="str">
            <v>Standard</v>
          </cell>
          <cell r="G259" t="str">
            <v>SC @ FGO</v>
          </cell>
          <cell r="H259" t="str">
            <v>Vs. Conference</v>
          </cell>
          <cell r="I259" t="str">
            <v>SIOUX CITY</v>
          </cell>
          <cell r="AC259">
            <v>44</v>
          </cell>
          <cell r="AD259">
            <v>11</v>
          </cell>
          <cell r="AJ259">
            <v>0</v>
          </cell>
          <cell r="AK259">
            <v>0</v>
          </cell>
          <cell r="AN259">
            <v>7</v>
          </cell>
          <cell r="AO259">
            <v>2</v>
          </cell>
          <cell r="AP259">
            <v>2</v>
          </cell>
          <cell r="AQ259">
            <v>0</v>
          </cell>
          <cell r="AR259">
            <v>0</v>
          </cell>
          <cell r="AS259">
            <v>0</v>
          </cell>
          <cell r="BA259" t="str">
            <v>FARGO</v>
          </cell>
          <cell r="BU259">
            <v>44</v>
          </cell>
          <cell r="BV259">
            <v>11</v>
          </cell>
          <cell r="CB259">
            <v>0</v>
          </cell>
          <cell r="CC259">
            <v>0</v>
          </cell>
          <cell r="CF259">
            <v>7</v>
          </cell>
          <cell r="CG259">
            <v>2</v>
          </cell>
          <cell r="CH259">
            <v>2</v>
          </cell>
          <cell r="CI259">
            <v>0</v>
          </cell>
          <cell r="CJ259">
            <v>0</v>
          </cell>
          <cell r="CK259">
            <v>0</v>
          </cell>
        </row>
        <row r="260">
          <cell r="A260">
            <v>43476</v>
          </cell>
          <cell r="B260">
            <v>0.83680555555555547</v>
          </cell>
          <cell r="C260">
            <v>0.79513888888888884</v>
          </cell>
          <cell r="D260" t="str">
            <v>Standard</v>
          </cell>
          <cell r="G260" t="str">
            <v>DUB @ GB</v>
          </cell>
          <cell r="H260" t="str">
            <v>Vs. Conference</v>
          </cell>
          <cell r="I260" t="str">
            <v>DUBUQUE</v>
          </cell>
          <cell r="AC260">
            <v>21</v>
          </cell>
          <cell r="AD260">
            <v>5</v>
          </cell>
          <cell r="AJ260">
            <v>0</v>
          </cell>
          <cell r="AK260">
            <v>0</v>
          </cell>
          <cell r="AN260">
            <v>3</v>
          </cell>
          <cell r="AO260">
            <v>1</v>
          </cell>
          <cell r="AP260">
            <v>1</v>
          </cell>
          <cell r="AQ260">
            <v>0</v>
          </cell>
          <cell r="AR260">
            <v>0</v>
          </cell>
          <cell r="AS260">
            <v>0</v>
          </cell>
          <cell r="BA260" t="str">
            <v>GREEN BAY</v>
          </cell>
          <cell r="BU260">
            <v>23</v>
          </cell>
          <cell r="BV260">
            <v>6</v>
          </cell>
          <cell r="CB260">
            <v>0</v>
          </cell>
          <cell r="CC260">
            <v>0</v>
          </cell>
          <cell r="CF260">
            <v>4</v>
          </cell>
          <cell r="CG260">
            <v>1</v>
          </cell>
          <cell r="CH260">
            <v>1</v>
          </cell>
          <cell r="CI260">
            <v>0</v>
          </cell>
          <cell r="CJ260">
            <v>0</v>
          </cell>
          <cell r="CK260">
            <v>0</v>
          </cell>
        </row>
        <row r="261">
          <cell r="A261">
            <v>43476</v>
          </cell>
          <cell r="B261">
            <v>0.83680555555555547</v>
          </cell>
          <cell r="C261">
            <v>0.79513888888888884</v>
          </cell>
          <cell r="D261" t="str">
            <v>Standard</v>
          </cell>
          <cell r="G261" t="str">
            <v>DM @ LIN</v>
          </cell>
          <cell r="H261" t="str">
            <v>Vs. Conference</v>
          </cell>
          <cell r="I261" t="str">
            <v>DES MOINES</v>
          </cell>
          <cell r="AC261">
            <v>24</v>
          </cell>
          <cell r="AD261">
            <v>8</v>
          </cell>
          <cell r="AJ261">
            <v>0</v>
          </cell>
          <cell r="AK261">
            <v>0</v>
          </cell>
          <cell r="AN261">
            <v>7</v>
          </cell>
          <cell r="AO261">
            <v>0</v>
          </cell>
          <cell r="AP261">
            <v>1</v>
          </cell>
          <cell r="AQ261">
            <v>0</v>
          </cell>
          <cell r="AR261">
            <v>0</v>
          </cell>
          <cell r="AS261">
            <v>0</v>
          </cell>
          <cell r="BA261" t="str">
            <v>LINCOLN</v>
          </cell>
          <cell r="BU261">
            <v>22</v>
          </cell>
          <cell r="BV261">
            <v>7</v>
          </cell>
          <cell r="CB261">
            <v>0</v>
          </cell>
          <cell r="CC261">
            <v>0</v>
          </cell>
          <cell r="CF261">
            <v>6</v>
          </cell>
          <cell r="CG261">
            <v>0</v>
          </cell>
          <cell r="CH261">
            <v>1</v>
          </cell>
          <cell r="CI261">
            <v>0</v>
          </cell>
          <cell r="CJ261">
            <v>0</v>
          </cell>
          <cell r="CK261">
            <v>0</v>
          </cell>
        </row>
        <row r="262">
          <cell r="A262">
            <v>43476</v>
          </cell>
          <cell r="B262">
            <v>0.83680555555555547</v>
          </cell>
          <cell r="C262">
            <v>0.79513888888888884</v>
          </cell>
          <cell r="D262" t="str">
            <v>Standard</v>
          </cell>
          <cell r="G262" t="str">
            <v>OMA @ SF</v>
          </cell>
          <cell r="H262" t="str">
            <v>Vs. Conference</v>
          </cell>
          <cell r="I262" t="str">
            <v>OMAHA</v>
          </cell>
          <cell r="AC262">
            <v>6</v>
          </cell>
          <cell r="AD262">
            <v>3</v>
          </cell>
          <cell r="AJ262">
            <v>0</v>
          </cell>
          <cell r="AK262">
            <v>0</v>
          </cell>
          <cell r="AN262">
            <v>3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BA262" t="str">
            <v>SIOUX FALLS</v>
          </cell>
          <cell r="BU262">
            <v>2</v>
          </cell>
          <cell r="BV262">
            <v>1</v>
          </cell>
          <cell r="CB262">
            <v>0</v>
          </cell>
          <cell r="CC262">
            <v>0</v>
          </cell>
          <cell r="CF262">
            <v>1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</row>
        <row r="263">
          <cell r="A263">
            <v>43476</v>
          </cell>
          <cell r="B263">
            <v>0.83680555555555547</v>
          </cell>
          <cell r="C263">
            <v>0.79513888888888884</v>
          </cell>
          <cell r="D263" t="str">
            <v>Standard</v>
          </cell>
          <cell r="G263" t="str">
            <v>WAT @ TC</v>
          </cell>
          <cell r="H263" t="str">
            <v>Vs. Conference</v>
          </cell>
          <cell r="I263" t="str">
            <v>WATERLOO</v>
          </cell>
          <cell r="AC263">
            <v>18</v>
          </cell>
          <cell r="AD263">
            <v>9</v>
          </cell>
          <cell r="AJ263">
            <v>0</v>
          </cell>
          <cell r="AK263">
            <v>0</v>
          </cell>
          <cell r="AN263">
            <v>9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BA263" t="str">
            <v>TRI-CITY</v>
          </cell>
          <cell r="BU263">
            <v>14</v>
          </cell>
          <cell r="BV263">
            <v>7</v>
          </cell>
          <cell r="CB263">
            <v>0</v>
          </cell>
          <cell r="CC263">
            <v>0</v>
          </cell>
          <cell r="CF263">
            <v>7</v>
          </cell>
          <cell r="CG263">
            <v>0</v>
          </cell>
          <cell r="CH263">
            <v>0</v>
          </cell>
          <cell r="CI263">
            <v>0</v>
          </cell>
          <cell r="CJ263">
            <v>0</v>
          </cell>
          <cell r="CK263">
            <v>0</v>
          </cell>
        </row>
        <row r="264">
          <cell r="A264">
            <v>43477</v>
          </cell>
          <cell r="B264">
            <v>0.79166666666666663</v>
          </cell>
          <cell r="C264">
            <v>0.75</v>
          </cell>
          <cell r="D264" t="str">
            <v>Standard</v>
          </cell>
          <cell r="G264" t="str">
            <v>CIL @ USA</v>
          </cell>
          <cell r="H264" t="str">
            <v>Vs. Conference</v>
          </cell>
          <cell r="I264" t="str">
            <v>CENTRAL ILLINOIS</v>
          </cell>
          <cell r="AC264">
            <v>12</v>
          </cell>
          <cell r="AD264">
            <v>6</v>
          </cell>
          <cell r="AJ264">
            <v>0</v>
          </cell>
          <cell r="AK264">
            <v>0</v>
          </cell>
          <cell r="AN264">
            <v>6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BA264" t="str">
            <v>TEAM USA</v>
          </cell>
          <cell r="BU264">
            <v>6</v>
          </cell>
          <cell r="BV264">
            <v>3</v>
          </cell>
          <cell r="CB264">
            <v>0</v>
          </cell>
          <cell r="CC264">
            <v>0</v>
          </cell>
          <cell r="CF264">
            <v>3</v>
          </cell>
          <cell r="CG264">
            <v>0</v>
          </cell>
          <cell r="CH264">
            <v>0</v>
          </cell>
          <cell r="CI264">
            <v>0</v>
          </cell>
          <cell r="CJ264">
            <v>0</v>
          </cell>
          <cell r="CK264">
            <v>0</v>
          </cell>
        </row>
        <row r="265">
          <cell r="A265">
            <v>43477</v>
          </cell>
          <cell r="B265">
            <v>0.80208333333333337</v>
          </cell>
          <cell r="C265">
            <v>0.76041666666666674</v>
          </cell>
          <cell r="D265" t="str">
            <v>Standard</v>
          </cell>
          <cell r="G265" t="str">
            <v>YNG @ MUS</v>
          </cell>
          <cell r="H265" t="str">
            <v>Vs. Conference</v>
          </cell>
          <cell r="I265" t="str">
            <v>YOUNGSTOWN</v>
          </cell>
          <cell r="AC265">
            <v>6</v>
          </cell>
          <cell r="AD265">
            <v>3</v>
          </cell>
          <cell r="AJ265">
            <v>0</v>
          </cell>
          <cell r="AK265">
            <v>0</v>
          </cell>
          <cell r="AN265">
            <v>3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BA265" t="str">
            <v>MUSKEGON</v>
          </cell>
          <cell r="BU265">
            <v>32</v>
          </cell>
          <cell r="BV265">
            <v>8</v>
          </cell>
          <cell r="CB265">
            <v>0</v>
          </cell>
          <cell r="CC265">
            <v>0</v>
          </cell>
          <cell r="CF265">
            <v>6</v>
          </cell>
          <cell r="CG265">
            <v>0</v>
          </cell>
          <cell r="CH265">
            <v>2</v>
          </cell>
          <cell r="CI265">
            <v>0</v>
          </cell>
          <cell r="CJ265">
            <v>0</v>
          </cell>
          <cell r="CK265">
            <v>0</v>
          </cell>
        </row>
        <row r="266">
          <cell r="A266">
            <v>43477</v>
          </cell>
          <cell r="B266">
            <v>0.83680555555555547</v>
          </cell>
          <cell r="C266">
            <v>0.79513888888888884</v>
          </cell>
          <cell r="D266" t="str">
            <v>Standard</v>
          </cell>
          <cell r="G266" t="str">
            <v>MAD @ CR</v>
          </cell>
          <cell r="H266" t="str">
            <v>Vs. Conference</v>
          </cell>
          <cell r="I266" t="str">
            <v>MADISON</v>
          </cell>
          <cell r="AC266">
            <v>12</v>
          </cell>
          <cell r="AD266">
            <v>6</v>
          </cell>
          <cell r="AJ266">
            <v>0</v>
          </cell>
          <cell r="AK266">
            <v>0</v>
          </cell>
          <cell r="AN266">
            <v>6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BA266" t="str">
            <v>CEDAR RAPIDS</v>
          </cell>
          <cell r="BU266">
            <v>8</v>
          </cell>
          <cell r="BV266">
            <v>4</v>
          </cell>
          <cell r="CB266">
            <v>0</v>
          </cell>
          <cell r="CC266">
            <v>0</v>
          </cell>
          <cell r="CF266">
            <v>4</v>
          </cell>
          <cell r="CG266">
            <v>0</v>
          </cell>
          <cell r="CH266">
            <v>0</v>
          </cell>
          <cell r="CI266">
            <v>0</v>
          </cell>
          <cell r="CJ266">
            <v>0</v>
          </cell>
          <cell r="CK266">
            <v>0</v>
          </cell>
        </row>
        <row r="267">
          <cell r="A267">
            <v>43477</v>
          </cell>
          <cell r="B267">
            <v>0.83680555555555547</v>
          </cell>
          <cell r="C267">
            <v>0.79513888888888884</v>
          </cell>
          <cell r="D267" t="str">
            <v>Standard</v>
          </cell>
          <cell r="G267" t="str">
            <v>GB @ CHI</v>
          </cell>
          <cell r="H267" t="str">
            <v>Vs. Conference</v>
          </cell>
          <cell r="I267" t="str">
            <v>GREEN BAY</v>
          </cell>
          <cell r="AC267">
            <v>20</v>
          </cell>
          <cell r="AD267">
            <v>6</v>
          </cell>
          <cell r="AJ267">
            <v>0</v>
          </cell>
          <cell r="AK267">
            <v>0</v>
          </cell>
          <cell r="AN267">
            <v>5</v>
          </cell>
          <cell r="AO267">
            <v>0</v>
          </cell>
          <cell r="AP267">
            <v>1</v>
          </cell>
          <cell r="AQ267">
            <v>0</v>
          </cell>
          <cell r="AR267">
            <v>0</v>
          </cell>
          <cell r="AS267">
            <v>0</v>
          </cell>
          <cell r="BA267" t="str">
            <v>CHICAGO</v>
          </cell>
          <cell r="BU267">
            <v>10</v>
          </cell>
          <cell r="BV267">
            <v>5</v>
          </cell>
          <cell r="CB267">
            <v>0</v>
          </cell>
          <cell r="CC267">
            <v>0</v>
          </cell>
          <cell r="CF267">
            <v>5</v>
          </cell>
          <cell r="CG267">
            <v>0</v>
          </cell>
          <cell r="CH267">
            <v>0</v>
          </cell>
          <cell r="CI267">
            <v>0</v>
          </cell>
          <cell r="CJ267">
            <v>0</v>
          </cell>
          <cell r="CK267">
            <v>0</v>
          </cell>
        </row>
        <row r="268">
          <cell r="A268">
            <v>43477</v>
          </cell>
          <cell r="B268">
            <v>0.83680555555555547</v>
          </cell>
          <cell r="C268">
            <v>0.79513888888888884</v>
          </cell>
          <cell r="D268" t="str">
            <v>Standard</v>
          </cell>
          <cell r="G268" t="str">
            <v>OMA @ DM</v>
          </cell>
          <cell r="H268" t="str">
            <v>Vs. Conference</v>
          </cell>
          <cell r="I268" t="str">
            <v>OMAHA</v>
          </cell>
          <cell r="AC268">
            <v>10</v>
          </cell>
          <cell r="AD268">
            <v>5</v>
          </cell>
          <cell r="AJ268">
            <v>0</v>
          </cell>
          <cell r="AK268">
            <v>0</v>
          </cell>
          <cell r="AN268">
            <v>5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BA268" t="str">
            <v>DES MOINES</v>
          </cell>
          <cell r="BU268">
            <v>8</v>
          </cell>
          <cell r="BV268">
            <v>4</v>
          </cell>
          <cell r="CB268">
            <v>0</v>
          </cell>
          <cell r="CC268">
            <v>0</v>
          </cell>
          <cell r="CF268">
            <v>4</v>
          </cell>
          <cell r="CG268">
            <v>0</v>
          </cell>
          <cell r="CH268">
            <v>0</v>
          </cell>
          <cell r="CI268">
            <v>0</v>
          </cell>
          <cell r="CJ268">
            <v>0</v>
          </cell>
          <cell r="CK268">
            <v>0</v>
          </cell>
        </row>
        <row r="269">
          <cell r="A269">
            <v>43477</v>
          </cell>
          <cell r="B269">
            <v>0.83680555555555547</v>
          </cell>
          <cell r="C269">
            <v>0.79513888888888884</v>
          </cell>
          <cell r="D269" t="str">
            <v>Standard</v>
          </cell>
          <cell r="G269" t="str">
            <v>SC @ SF</v>
          </cell>
          <cell r="H269" t="str">
            <v>Vs. Conference</v>
          </cell>
          <cell r="I269" t="str">
            <v>SIOUX CITY</v>
          </cell>
          <cell r="AC269">
            <v>10</v>
          </cell>
          <cell r="AD269">
            <v>5</v>
          </cell>
          <cell r="AJ269">
            <v>0</v>
          </cell>
          <cell r="AK269">
            <v>0</v>
          </cell>
          <cell r="AN269">
            <v>5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BA269" t="str">
            <v>SIOUX FALLS</v>
          </cell>
          <cell r="BU269">
            <v>19</v>
          </cell>
          <cell r="BV269">
            <v>4</v>
          </cell>
          <cell r="CB269">
            <v>0</v>
          </cell>
          <cell r="CC269">
            <v>0</v>
          </cell>
          <cell r="CF269">
            <v>2</v>
          </cell>
          <cell r="CG269">
            <v>1</v>
          </cell>
          <cell r="CH269">
            <v>0</v>
          </cell>
          <cell r="CI269">
            <v>1</v>
          </cell>
          <cell r="CJ269">
            <v>0</v>
          </cell>
          <cell r="CK269">
            <v>0</v>
          </cell>
        </row>
        <row r="270">
          <cell r="A270">
            <v>43477</v>
          </cell>
          <cell r="B270">
            <v>0.83680555555555547</v>
          </cell>
          <cell r="C270">
            <v>0.79513888888888884</v>
          </cell>
          <cell r="D270" t="str">
            <v>Standard</v>
          </cell>
          <cell r="G270" t="str">
            <v>WAT @ TC</v>
          </cell>
          <cell r="H270" t="str">
            <v>Vs. Conference</v>
          </cell>
          <cell r="I270" t="str">
            <v>WATERLOO</v>
          </cell>
          <cell r="AC270">
            <v>16</v>
          </cell>
          <cell r="AD270">
            <v>8</v>
          </cell>
          <cell r="AJ270">
            <v>0</v>
          </cell>
          <cell r="AK270">
            <v>0</v>
          </cell>
          <cell r="AN270">
            <v>8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BA270" t="str">
            <v>TRI-CITY</v>
          </cell>
          <cell r="BU270">
            <v>8</v>
          </cell>
          <cell r="BV270">
            <v>4</v>
          </cell>
          <cell r="CB270">
            <v>0</v>
          </cell>
          <cell r="CC270">
            <v>0</v>
          </cell>
          <cell r="CF270">
            <v>4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0</v>
          </cell>
        </row>
        <row r="271">
          <cell r="A271">
            <v>43477</v>
          </cell>
          <cell r="B271">
            <v>0.83680555555555547</v>
          </cell>
          <cell r="C271">
            <v>0.79513888888888884</v>
          </cell>
          <cell r="D271" t="str">
            <v>Standard</v>
          </cell>
          <cell r="G271" t="str">
            <v>LIN @ DUB</v>
          </cell>
          <cell r="H271" t="str">
            <v>Vs. Non-Conference</v>
          </cell>
          <cell r="I271" t="str">
            <v>LINCOLN</v>
          </cell>
          <cell r="AC271">
            <v>4</v>
          </cell>
          <cell r="AD271">
            <v>2</v>
          </cell>
          <cell r="AJ271">
            <v>0</v>
          </cell>
          <cell r="AK271">
            <v>0</v>
          </cell>
          <cell r="AN271">
            <v>2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BA271" t="str">
            <v>DUBUQUE</v>
          </cell>
          <cell r="BU271">
            <v>4</v>
          </cell>
          <cell r="BV271">
            <v>2</v>
          </cell>
          <cell r="CB271">
            <v>0</v>
          </cell>
          <cell r="CC271">
            <v>0</v>
          </cell>
          <cell r="CF271">
            <v>2</v>
          </cell>
          <cell r="CG271">
            <v>0</v>
          </cell>
          <cell r="CH271">
            <v>0</v>
          </cell>
          <cell r="CI271">
            <v>0</v>
          </cell>
          <cell r="CJ271">
            <v>0</v>
          </cell>
          <cell r="CK271">
            <v>0</v>
          </cell>
        </row>
        <row r="272">
          <cell r="A272">
            <v>43478</v>
          </cell>
          <cell r="B272">
            <v>0.63541666666666663</v>
          </cell>
          <cell r="C272">
            <v>0.59375</v>
          </cell>
          <cell r="D272" t="str">
            <v>Standard</v>
          </cell>
          <cell r="G272" t="str">
            <v>CIL @ MUS</v>
          </cell>
          <cell r="H272" t="str">
            <v>Vs. Conference</v>
          </cell>
          <cell r="I272" t="str">
            <v>CENTRAL ILLINOIS</v>
          </cell>
          <cell r="AC272">
            <v>22</v>
          </cell>
          <cell r="AD272">
            <v>7</v>
          </cell>
          <cell r="AJ272">
            <v>0</v>
          </cell>
          <cell r="AK272">
            <v>0</v>
          </cell>
          <cell r="AN272">
            <v>6</v>
          </cell>
          <cell r="AO272">
            <v>0</v>
          </cell>
          <cell r="AP272">
            <v>1</v>
          </cell>
          <cell r="AQ272">
            <v>0</v>
          </cell>
          <cell r="AR272">
            <v>0</v>
          </cell>
          <cell r="AS272">
            <v>0</v>
          </cell>
          <cell r="BA272" t="str">
            <v>MUSKEGON</v>
          </cell>
          <cell r="BU272">
            <v>22</v>
          </cell>
          <cell r="BV272">
            <v>11</v>
          </cell>
          <cell r="CB272">
            <v>0</v>
          </cell>
          <cell r="CC272">
            <v>0</v>
          </cell>
          <cell r="CF272">
            <v>11</v>
          </cell>
          <cell r="CG272">
            <v>0</v>
          </cell>
          <cell r="CH272">
            <v>0</v>
          </cell>
          <cell r="CI272">
            <v>0</v>
          </cell>
          <cell r="CJ272">
            <v>0</v>
          </cell>
          <cell r="CK272">
            <v>0</v>
          </cell>
        </row>
        <row r="273">
          <cell r="A273">
            <v>43478</v>
          </cell>
          <cell r="B273">
            <v>0.67013888888888884</v>
          </cell>
          <cell r="C273">
            <v>0.62847222222222221</v>
          </cell>
          <cell r="D273" t="str">
            <v>Standard</v>
          </cell>
          <cell r="G273" t="str">
            <v>MAD @ DUB</v>
          </cell>
          <cell r="H273" t="str">
            <v>Vs. Conference</v>
          </cell>
          <cell r="I273" t="str">
            <v>MADISON</v>
          </cell>
          <cell r="AC273">
            <v>10</v>
          </cell>
          <cell r="AD273">
            <v>5</v>
          </cell>
          <cell r="AJ273">
            <v>0</v>
          </cell>
          <cell r="AK273">
            <v>0</v>
          </cell>
          <cell r="AN273">
            <v>5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BA273" t="str">
            <v>DUBUQUE</v>
          </cell>
          <cell r="BU273">
            <v>8</v>
          </cell>
          <cell r="BV273">
            <v>4</v>
          </cell>
          <cell r="CB273">
            <v>0</v>
          </cell>
          <cell r="CC273">
            <v>0</v>
          </cell>
          <cell r="CF273">
            <v>4</v>
          </cell>
          <cell r="CG273">
            <v>0</v>
          </cell>
          <cell r="CH273">
            <v>0</v>
          </cell>
          <cell r="CI273">
            <v>0</v>
          </cell>
          <cell r="CJ273">
            <v>0</v>
          </cell>
          <cell r="CK273">
            <v>0</v>
          </cell>
        </row>
        <row r="274">
          <cell r="A274">
            <v>43478</v>
          </cell>
          <cell r="B274">
            <v>0.71180555555555547</v>
          </cell>
          <cell r="C274">
            <v>0.67013888888888884</v>
          </cell>
          <cell r="D274" t="str">
            <v>Standard</v>
          </cell>
          <cell r="G274" t="str">
            <v>TC @ OMA</v>
          </cell>
          <cell r="H274" t="str">
            <v>Vs. Conference</v>
          </cell>
          <cell r="I274" t="str">
            <v>TRI-CITY</v>
          </cell>
          <cell r="AC274">
            <v>23</v>
          </cell>
          <cell r="AD274">
            <v>6</v>
          </cell>
          <cell r="AJ274">
            <v>0</v>
          </cell>
          <cell r="AK274">
            <v>0</v>
          </cell>
          <cell r="AN274">
            <v>4</v>
          </cell>
          <cell r="AO274">
            <v>1</v>
          </cell>
          <cell r="AP274">
            <v>0</v>
          </cell>
          <cell r="AQ274">
            <v>1</v>
          </cell>
          <cell r="AR274">
            <v>0</v>
          </cell>
          <cell r="AS274">
            <v>0</v>
          </cell>
          <cell r="BA274" t="str">
            <v>OMAHA</v>
          </cell>
          <cell r="BU274">
            <v>6</v>
          </cell>
          <cell r="BV274">
            <v>3</v>
          </cell>
          <cell r="CB274">
            <v>0</v>
          </cell>
          <cell r="CC274">
            <v>0</v>
          </cell>
          <cell r="CF274">
            <v>3</v>
          </cell>
          <cell r="CG274">
            <v>0</v>
          </cell>
          <cell r="CH274">
            <v>0</v>
          </cell>
          <cell r="CI274">
            <v>0</v>
          </cell>
          <cell r="CJ274">
            <v>0</v>
          </cell>
          <cell r="CK274">
            <v>0</v>
          </cell>
        </row>
        <row r="275">
          <cell r="A275">
            <v>43480</v>
          </cell>
          <cell r="B275">
            <v>0.79166666666666663</v>
          </cell>
          <cell r="C275">
            <v>0.75</v>
          </cell>
          <cell r="D275" t="str">
            <v>Standard</v>
          </cell>
          <cell r="G275" t="str">
            <v>YNG @ USA</v>
          </cell>
          <cell r="H275" t="str">
            <v>Vs. Conference</v>
          </cell>
          <cell r="I275" t="str">
            <v>YOUNGSTOWN</v>
          </cell>
          <cell r="AC275">
            <v>48</v>
          </cell>
          <cell r="AD275">
            <v>12</v>
          </cell>
          <cell r="AJ275">
            <v>0</v>
          </cell>
          <cell r="AK275">
            <v>0</v>
          </cell>
          <cell r="AN275">
            <v>9</v>
          </cell>
          <cell r="AO275">
            <v>0</v>
          </cell>
          <cell r="AP275">
            <v>3</v>
          </cell>
          <cell r="AQ275">
            <v>0</v>
          </cell>
          <cell r="AR275">
            <v>0</v>
          </cell>
          <cell r="AS275">
            <v>0</v>
          </cell>
          <cell r="BA275" t="str">
            <v>TEAM USA</v>
          </cell>
          <cell r="BU275">
            <v>18</v>
          </cell>
          <cell r="BV275">
            <v>9</v>
          </cell>
          <cell r="CB275">
            <v>0</v>
          </cell>
          <cell r="CC275">
            <v>0</v>
          </cell>
          <cell r="CF275">
            <v>9</v>
          </cell>
          <cell r="CG275">
            <v>0</v>
          </cell>
          <cell r="CH275">
            <v>0</v>
          </cell>
          <cell r="CI275">
            <v>0</v>
          </cell>
          <cell r="CJ275">
            <v>0</v>
          </cell>
          <cell r="CK275">
            <v>0</v>
          </cell>
        </row>
        <row r="276">
          <cell r="A276">
            <v>43480</v>
          </cell>
          <cell r="B276">
            <v>0.83680555555555547</v>
          </cell>
          <cell r="C276">
            <v>0.79513888888888884</v>
          </cell>
          <cell r="D276" t="str">
            <v>Standard</v>
          </cell>
          <cell r="G276" t="str">
            <v>SC @ WAT</v>
          </cell>
          <cell r="H276" t="str">
            <v>Vs. Conference</v>
          </cell>
          <cell r="I276" t="str">
            <v>SIOUX CITY</v>
          </cell>
          <cell r="AC276">
            <v>4</v>
          </cell>
          <cell r="AD276">
            <v>2</v>
          </cell>
          <cell r="AJ276">
            <v>0</v>
          </cell>
          <cell r="AK276">
            <v>0</v>
          </cell>
          <cell r="AN276">
            <v>2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BA276" t="str">
            <v>WATERLOO</v>
          </cell>
          <cell r="BU276">
            <v>8</v>
          </cell>
          <cell r="BV276">
            <v>4</v>
          </cell>
          <cell r="CB276">
            <v>0</v>
          </cell>
          <cell r="CC276">
            <v>0</v>
          </cell>
          <cell r="CF276">
            <v>4</v>
          </cell>
          <cell r="CG276">
            <v>0</v>
          </cell>
          <cell r="CH276">
            <v>0</v>
          </cell>
          <cell r="CI276">
            <v>0</v>
          </cell>
          <cell r="CJ276">
            <v>0</v>
          </cell>
          <cell r="CK276">
            <v>0</v>
          </cell>
        </row>
        <row r="277">
          <cell r="A277">
            <v>43481</v>
          </cell>
          <cell r="B277">
            <v>0.83680555555555547</v>
          </cell>
          <cell r="C277">
            <v>0.79513888888888884</v>
          </cell>
          <cell r="D277" t="str">
            <v>Standard</v>
          </cell>
          <cell r="G277" t="str">
            <v>FGO @ SF</v>
          </cell>
          <cell r="H277" t="str">
            <v>Vs. Conference</v>
          </cell>
          <cell r="I277" t="str">
            <v>FARGO</v>
          </cell>
          <cell r="AC277">
            <v>14</v>
          </cell>
          <cell r="AD277">
            <v>7</v>
          </cell>
          <cell r="AJ277">
            <v>0</v>
          </cell>
          <cell r="AK277">
            <v>0</v>
          </cell>
          <cell r="AN277">
            <v>7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BA277" t="str">
            <v>SIOUX FALLS</v>
          </cell>
          <cell r="BU277">
            <v>10</v>
          </cell>
          <cell r="BV277">
            <v>5</v>
          </cell>
          <cell r="CB277">
            <v>0</v>
          </cell>
          <cell r="CC277">
            <v>0</v>
          </cell>
          <cell r="CF277">
            <v>5</v>
          </cell>
          <cell r="CG277">
            <v>0</v>
          </cell>
          <cell r="CH277">
            <v>0</v>
          </cell>
          <cell r="CI277">
            <v>0</v>
          </cell>
          <cell r="CJ277">
            <v>0</v>
          </cell>
          <cell r="CK277">
            <v>0</v>
          </cell>
        </row>
        <row r="278">
          <cell r="A278">
            <v>43482</v>
          </cell>
          <cell r="B278">
            <v>0.83680555555555547</v>
          </cell>
          <cell r="C278">
            <v>0.79513888888888884</v>
          </cell>
          <cell r="D278" t="str">
            <v>Standard</v>
          </cell>
          <cell r="G278" t="str">
            <v>LIN @ MAD</v>
          </cell>
          <cell r="H278" t="str">
            <v>Vs. Non-Conference</v>
          </cell>
          <cell r="I278" t="str">
            <v>LINCOLN</v>
          </cell>
          <cell r="AC278">
            <v>6</v>
          </cell>
          <cell r="AD278">
            <v>3</v>
          </cell>
          <cell r="AJ278">
            <v>0</v>
          </cell>
          <cell r="AK278">
            <v>0</v>
          </cell>
          <cell r="AN278">
            <v>3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BA278" t="str">
            <v>MADISON</v>
          </cell>
          <cell r="BU278">
            <v>12</v>
          </cell>
          <cell r="BV278">
            <v>6</v>
          </cell>
          <cell r="CB278">
            <v>0</v>
          </cell>
          <cell r="CC278">
            <v>0</v>
          </cell>
          <cell r="CF278">
            <v>6</v>
          </cell>
          <cell r="CG278">
            <v>0</v>
          </cell>
          <cell r="CH278">
            <v>0</v>
          </cell>
          <cell r="CI278">
            <v>0</v>
          </cell>
          <cell r="CJ278">
            <v>0</v>
          </cell>
          <cell r="CK278">
            <v>0</v>
          </cell>
        </row>
        <row r="279">
          <cell r="A279">
            <v>43483</v>
          </cell>
          <cell r="B279">
            <v>0.79513888888888884</v>
          </cell>
          <cell r="C279">
            <v>0.75347222222222221</v>
          </cell>
          <cell r="D279" t="str">
            <v>Standard</v>
          </cell>
          <cell r="G279" t="str">
            <v>CR @ YNG</v>
          </cell>
          <cell r="H279" t="str">
            <v>Vs. Conference</v>
          </cell>
          <cell r="I279" t="str">
            <v>CEDAR RAPIDS</v>
          </cell>
          <cell r="AC279">
            <v>6</v>
          </cell>
          <cell r="AD279">
            <v>3</v>
          </cell>
          <cell r="AJ279">
            <v>0</v>
          </cell>
          <cell r="AK279">
            <v>0</v>
          </cell>
          <cell r="AN279">
            <v>3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BA279" t="str">
            <v>YOUNGSTOWN</v>
          </cell>
          <cell r="BU279">
            <v>10</v>
          </cell>
          <cell r="BV279">
            <v>5</v>
          </cell>
          <cell r="CB279">
            <v>0</v>
          </cell>
          <cell r="CC279">
            <v>0</v>
          </cell>
          <cell r="CF279">
            <v>5</v>
          </cell>
          <cell r="CG279">
            <v>0</v>
          </cell>
          <cell r="CH279">
            <v>0</v>
          </cell>
          <cell r="CI279">
            <v>0</v>
          </cell>
          <cell r="CJ279">
            <v>0</v>
          </cell>
          <cell r="CK279">
            <v>0</v>
          </cell>
        </row>
        <row r="280">
          <cell r="A280">
            <v>43483</v>
          </cell>
          <cell r="B280">
            <v>0.83680555555555547</v>
          </cell>
          <cell r="C280">
            <v>0.79513888888888884</v>
          </cell>
          <cell r="D280" t="str">
            <v>Standard</v>
          </cell>
          <cell r="G280" t="str">
            <v>CIL @ CHI</v>
          </cell>
          <cell r="H280" t="str">
            <v>Vs. Conference</v>
          </cell>
          <cell r="I280" t="str">
            <v>CENTRAL ILLINOIS</v>
          </cell>
          <cell r="AC280">
            <v>6</v>
          </cell>
          <cell r="AD280">
            <v>3</v>
          </cell>
          <cell r="AJ280">
            <v>0</v>
          </cell>
          <cell r="AK280">
            <v>0</v>
          </cell>
          <cell r="AN280">
            <v>3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BA280" t="str">
            <v>CHICAGO</v>
          </cell>
          <cell r="BU280">
            <v>7</v>
          </cell>
          <cell r="BV280">
            <v>2</v>
          </cell>
          <cell r="CB280">
            <v>0</v>
          </cell>
          <cell r="CC280">
            <v>0</v>
          </cell>
          <cell r="CF280">
            <v>1</v>
          </cell>
          <cell r="CG280">
            <v>1</v>
          </cell>
          <cell r="CH280">
            <v>0</v>
          </cell>
          <cell r="CI280">
            <v>0</v>
          </cell>
          <cell r="CJ280">
            <v>0</v>
          </cell>
          <cell r="CK280">
            <v>0</v>
          </cell>
        </row>
        <row r="281">
          <cell r="A281">
            <v>43483</v>
          </cell>
          <cell r="B281">
            <v>0.83680555555555547</v>
          </cell>
          <cell r="C281">
            <v>0.79513888888888884</v>
          </cell>
          <cell r="D281" t="str">
            <v>Standard</v>
          </cell>
          <cell r="G281" t="str">
            <v>SF @ FGO</v>
          </cell>
          <cell r="H281" t="str">
            <v>Vs. Conference</v>
          </cell>
          <cell r="I281" t="str">
            <v>SIOUX FALLS</v>
          </cell>
          <cell r="AC281">
            <v>12</v>
          </cell>
          <cell r="AD281">
            <v>6</v>
          </cell>
          <cell r="AJ281">
            <v>0</v>
          </cell>
          <cell r="AK281">
            <v>0</v>
          </cell>
          <cell r="AN281">
            <v>6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BA281" t="str">
            <v>FARGO</v>
          </cell>
          <cell r="BU281">
            <v>12</v>
          </cell>
          <cell r="BV281">
            <v>6</v>
          </cell>
          <cell r="CB281">
            <v>0</v>
          </cell>
          <cell r="CC281">
            <v>0</v>
          </cell>
          <cell r="CF281">
            <v>6</v>
          </cell>
          <cell r="CG281">
            <v>0</v>
          </cell>
          <cell r="CH281">
            <v>0</v>
          </cell>
          <cell r="CI281">
            <v>0</v>
          </cell>
          <cell r="CJ281">
            <v>0</v>
          </cell>
          <cell r="CK281">
            <v>0</v>
          </cell>
        </row>
        <row r="282">
          <cell r="A282">
            <v>43483</v>
          </cell>
          <cell r="B282">
            <v>0.83680555555555547</v>
          </cell>
          <cell r="C282">
            <v>0.79513888888888884</v>
          </cell>
          <cell r="D282" t="str">
            <v>Standard</v>
          </cell>
          <cell r="G282" t="str">
            <v>USA @ GB</v>
          </cell>
          <cell r="H282" t="str">
            <v>Vs. Conference</v>
          </cell>
          <cell r="I282" t="str">
            <v>TEAM USA</v>
          </cell>
          <cell r="AC282">
            <v>12</v>
          </cell>
          <cell r="AD282">
            <v>6</v>
          </cell>
          <cell r="AJ282">
            <v>0</v>
          </cell>
          <cell r="AK282">
            <v>0</v>
          </cell>
          <cell r="AN282">
            <v>6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BA282" t="str">
            <v>GREEN BAY</v>
          </cell>
          <cell r="BU282">
            <v>10</v>
          </cell>
          <cell r="BV282">
            <v>5</v>
          </cell>
          <cell r="CB282">
            <v>0</v>
          </cell>
          <cell r="CC282">
            <v>0</v>
          </cell>
          <cell r="CF282">
            <v>5</v>
          </cell>
          <cell r="CG282">
            <v>0</v>
          </cell>
          <cell r="CH282">
            <v>0</v>
          </cell>
          <cell r="CI282">
            <v>0</v>
          </cell>
          <cell r="CJ282">
            <v>0</v>
          </cell>
          <cell r="CK282">
            <v>0</v>
          </cell>
        </row>
        <row r="283">
          <cell r="A283">
            <v>43483</v>
          </cell>
          <cell r="B283">
            <v>0.83680555555555547</v>
          </cell>
          <cell r="C283">
            <v>0.79513888888888884</v>
          </cell>
          <cell r="D283" t="str">
            <v>Standard</v>
          </cell>
          <cell r="G283" t="str">
            <v>WAT @ DUB</v>
          </cell>
          <cell r="H283" t="str">
            <v>Vs. Non-Conference</v>
          </cell>
          <cell r="I283" t="str">
            <v>WATERLOO</v>
          </cell>
          <cell r="AC283">
            <v>6</v>
          </cell>
          <cell r="AD283">
            <v>3</v>
          </cell>
          <cell r="AJ283">
            <v>0</v>
          </cell>
          <cell r="AK283">
            <v>0</v>
          </cell>
          <cell r="AN283">
            <v>3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BA283" t="str">
            <v>DUBUQUE</v>
          </cell>
          <cell r="BU283">
            <v>10</v>
          </cell>
          <cell r="BV283">
            <v>5</v>
          </cell>
          <cell r="CB283">
            <v>0</v>
          </cell>
          <cell r="CC283">
            <v>0</v>
          </cell>
          <cell r="CF283">
            <v>5</v>
          </cell>
          <cell r="CG283">
            <v>0</v>
          </cell>
          <cell r="CH283">
            <v>0</v>
          </cell>
          <cell r="CI283">
            <v>0</v>
          </cell>
          <cell r="CJ283">
            <v>0</v>
          </cell>
          <cell r="CK283">
            <v>0</v>
          </cell>
        </row>
        <row r="284">
          <cell r="A284">
            <v>43483</v>
          </cell>
          <cell r="B284">
            <v>0.83680555555555547</v>
          </cell>
          <cell r="C284">
            <v>0.79513888888888884</v>
          </cell>
          <cell r="D284" t="str">
            <v>Standard</v>
          </cell>
          <cell r="G284" t="str">
            <v>SC @ MAD</v>
          </cell>
          <cell r="H284" t="str">
            <v>Vs. Non-Conference</v>
          </cell>
          <cell r="I284" t="str">
            <v>SIOUX CITY</v>
          </cell>
          <cell r="AC284">
            <v>2</v>
          </cell>
          <cell r="AD284">
            <v>1</v>
          </cell>
          <cell r="AJ284">
            <v>0</v>
          </cell>
          <cell r="AK284">
            <v>0</v>
          </cell>
          <cell r="AN284">
            <v>1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BA284" t="str">
            <v>MADISON</v>
          </cell>
          <cell r="BU284">
            <v>6</v>
          </cell>
          <cell r="BV284">
            <v>3</v>
          </cell>
          <cell r="CB284">
            <v>0</v>
          </cell>
          <cell r="CC284">
            <v>0</v>
          </cell>
          <cell r="CF284">
            <v>3</v>
          </cell>
          <cell r="CG284">
            <v>0</v>
          </cell>
          <cell r="CH284">
            <v>0</v>
          </cell>
          <cell r="CI284">
            <v>0</v>
          </cell>
          <cell r="CJ284">
            <v>0</v>
          </cell>
          <cell r="CK284">
            <v>0</v>
          </cell>
        </row>
        <row r="285">
          <cell r="A285">
            <v>43483</v>
          </cell>
          <cell r="B285">
            <v>0.83680555555555547</v>
          </cell>
          <cell r="C285">
            <v>0.79513888888888884</v>
          </cell>
          <cell r="D285" t="str">
            <v>Standard</v>
          </cell>
          <cell r="G285" t="str">
            <v>MUS @ TC</v>
          </cell>
          <cell r="H285" t="str">
            <v>Vs. Non-Conference</v>
          </cell>
          <cell r="I285" t="str">
            <v>MUSKEGON</v>
          </cell>
          <cell r="AC285">
            <v>8</v>
          </cell>
          <cell r="AD285">
            <v>4</v>
          </cell>
          <cell r="AJ285">
            <v>0</v>
          </cell>
          <cell r="AK285">
            <v>0</v>
          </cell>
          <cell r="AN285">
            <v>4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BA285" t="str">
            <v>TRI-CITY</v>
          </cell>
          <cell r="BU285">
            <v>6</v>
          </cell>
          <cell r="BV285">
            <v>3</v>
          </cell>
          <cell r="CB285">
            <v>0</v>
          </cell>
          <cell r="CC285">
            <v>0</v>
          </cell>
          <cell r="CF285">
            <v>3</v>
          </cell>
          <cell r="CG285">
            <v>0</v>
          </cell>
          <cell r="CH285">
            <v>0</v>
          </cell>
          <cell r="CI285">
            <v>0</v>
          </cell>
          <cell r="CJ285">
            <v>0</v>
          </cell>
          <cell r="CK285">
            <v>0</v>
          </cell>
        </row>
        <row r="286">
          <cell r="A286">
            <v>43484</v>
          </cell>
          <cell r="B286">
            <v>0.71180555555555547</v>
          </cell>
          <cell r="C286">
            <v>0.67013888888888884</v>
          </cell>
          <cell r="D286" t="str">
            <v>Standard</v>
          </cell>
          <cell r="G286" t="str">
            <v>CR @ YNG</v>
          </cell>
          <cell r="H286" t="str">
            <v>Vs. Conference</v>
          </cell>
          <cell r="I286" t="str">
            <v>CEDAR RAPIDS</v>
          </cell>
          <cell r="AC286">
            <v>8</v>
          </cell>
          <cell r="AD286">
            <v>4</v>
          </cell>
          <cell r="AJ286">
            <v>0</v>
          </cell>
          <cell r="AK286">
            <v>0</v>
          </cell>
          <cell r="AN286">
            <v>4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BA286" t="str">
            <v>YOUNGSTOWN</v>
          </cell>
          <cell r="BU286">
            <v>20</v>
          </cell>
          <cell r="BV286">
            <v>6</v>
          </cell>
          <cell r="CB286">
            <v>0</v>
          </cell>
          <cell r="CC286">
            <v>0</v>
          </cell>
          <cell r="CF286">
            <v>5</v>
          </cell>
          <cell r="CG286">
            <v>0</v>
          </cell>
          <cell r="CH286">
            <v>1</v>
          </cell>
          <cell r="CI286">
            <v>0</v>
          </cell>
          <cell r="CJ286">
            <v>0</v>
          </cell>
          <cell r="CK286">
            <v>0</v>
          </cell>
        </row>
        <row r="287">
          <cell r="A287">
            <v>43484</v>
          </cell>
          <cell r="B287">
            <v>0.83680555555555547</v>
          </cell>
          <cell r="C287">
            <v>0.79513888888888884</v>
          </cell>
          <cell r="D287" t="str">
            <v>Standard</v>
          </cell>
          <cell r="G287" t="str">
            <v>SF @ FGO</v>
          </cell>
          <cell r="H287" t="str">
            <v>Vs. Conference</v>
          </cell>
          <cell r="I287" t="str">
            <v>SIOUX FALLS</v>
          </cell>
          <cell r="AC287">
            <v>42</v>
          </cell>
          <cell r="AD287">
            <v>10</v>
          </cell>
          <cell r="AJ287">
            <v>0</v>
          </cell>
          <cell r="AK287">
            <v>0</v>
          </cell>
          <cell r="AN287">
            <v>6</v>
          </cell>
          <cell r="AO287">
            <v>2</v>
          </cell>
          <cell r="AP287">
            <v>2</v>
          </cell>
          <cell r="AQ287">
            <v>0</v>
          </cell>
          <cell r="AR287">
            <v>0</v>
          </cell>
          <cell r="AS287">
            <v>0</v>
          </cell>
          <cell r="BA287" t="str">
            <v>FARGO</v>
          </cell>
          <cell r="BU287">
            <v>44</v>
          </cell>
          <cell r="BV287">
            <v>11</v>
          </cell>
          <cell r="CB287">
            <v>0</v>
          </cell>
          <cell r="CC287">
            <v>0</v>
          </cell>
          <cell r="CF287">
            <v>7</v>
          </cell>
          <cell r="CG287">
            <v>2</v>
          </cell>
          <cell r="CH287">
            <v>2</v>
          </cell>
          <cell r="CI287">
            <v>0</v>
          </cell>
          <cell r="CJ287">
            <v>0</v>
          </cell>
          <cell r="CK287">
            <v>0</v>
          </cell>
        </row>
        <row r="288">
          <cell r="A288">
            <v>43484</v>
          </cell>
          <cell r="B288">
            <v>0.83680555555555547</v>
          </cell>
          <cell r="C288">
            <v>0.79513888888888884</v>
          </cell>
          <cell r="D288" t="str">
            <v>Standard</v>
          </cell>
          <cell r="G288" t="str">
            <v>USA @ GB</v>
          </cell>
          <cell r="H288" t="str">
            <v>Vs. Conference</v>
          </cell>
          <cell r="I288" t="str">
            <v>TEAM USA</v>
          </cell>
          <cell r="AC288">
            <v>10</v>
          </cell>
          <cell r="AD288">
            <v>5</v>
          </cell>
          <cell r="AJ288">
            <v>0</v>
          </cell>
          <cell r="AK288">
            <v>0</v>
          </cell>
          <cell r="AN288">
            <v>5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BA288" t="str">
            <v>GREEN BAY</v>
          </cell>
          <cell r="BU288">
            <v>33</v>
          </cell>
          <cell r="BV288">
            <v>11</v>
          </cell>
          <cell r="CB288">
            <v>0</v>
          </cell>
          <cell r="CC288">
            <v>0</v>
          </cell>
          <cell r="CF288">
            <v>9</v>
          </cell>
          <cell r="CG288">
            <v>1</v>
          </cell>
          <cell r="CH288">
            <v>0</v>
          </cell>
          <cell r="CI288">
            <v>1</v>
          </cell>
          <cell r="CJ288">
            <v>0</v>
          </cell>
          <cell r="CK288">
            <v>0</v>
          </cell>
        </row>
        <row r="289">
          <cell r="A289">
            <v>43484</v>
          </cell>
          <cell r="B289">
            <v>0.83680555555555547</v>
          </cell>
          <cell r="C289">
            <v>0.79513888888888884</v>
          </cell>
          <cell r="D289" t="str">
            <v>Standard</v>
          </cell>
          <cell r="G289" t="str">
            <v>LIN @ OMA</v>
          </cell>
          <cell r="H289" t="str">
            <v>Vs. Conference</v>
          </cell>
          <cell r="I289" t="str">
            <v>LINCOLN</v>
          </cell>
          <cell r="AC289">
            <v>24</v>
          </cell>
          <cell r="AD289">
            <v>8</v>
          </cell>
          <cell r="AJ289">
            <v>0</v>
          </cell>
          <cell r="AK289">
            <v>0</v>
          </cell>
          <cell r="AN289">
            <v>7</v>
          </cell>
          <cell r="AO289">
            <v>0</v>
          </cell>
          <cell r="AP289">
            <v>1</v>
          </cell>
          <cell r="AQ289">
            <v>0</v>
          </cell>
          <cell r="AR289">
            <v>0</v>
          </cell>
          <cell r="AS289">
            <v>0</v>
          </cell>
          <cell r="BA289" t="str">
            <v>OMAHA</v>
          </cell>
          <cell r="BU289">
            <v>16</v>
          </cell>
          <cell r="BV289">
            <v>8</v>
          </cell>
          <cell r="CB289">
            <v>0</v>
          </cell>
          <cell r="CC289">
            <v>0</v>
          </cell>
          <cell r="CF289">
            <v>8</v>
          </cell>
          <cell r="CG289">
            <v>0</v>
          </cell>
          <cell r="CH289">
            <v>0</v>
          </cell>
          <cell r="CI289">
            <v>0</v>
          </cell>
          <cell r="CJ289">
            <v>0</v>
          </cell>
          <cell r="CK289">
            <v>0</v>
          </cell>
        </row>
        <row r="290">
          <cell r="A290">
            <v>43484</v>
          </cell>
          <cell r="B290">
            <v>0.83680555555555547</v>
          </cell>
          <cell r="C290">
            <v>0.79513888888888884</v>
          </cell>
          <cell r="D290" t="str">
            <v>Standard</v>
          </cell>
          <cell r="G290" t="str">
            <v>SC @ CHI</v>
          </cell>
          <cell r="H290" t="str">
            <v>Vs. Non-Conference</v>
          </cell>
          <cell r="I290" t="str">
            <v>SIOUX CITY</v>
          </cell>
          <cell r="AC290">
            <v>25</v>
          </cell>
          <cell r="AD290">
            <v>5</v>
          </cell>
          <cell r="AJ290">
            <v>0</v>
          </cell>
          <cell r="AK290">
            <v>0</v>
          </cell>
          <cell r="AN290">
            <v>2</v>
          </cell>
          <cell r="AO290">
            <v>1</v>
          </cell>
          <cell r="AP290">
            <v>1</v>
          </cell>
          <cell r="AQ290">
            <v>1</v>
          </cell>
          <cell r="AR290">
            <v>0</v>
          </cell>
          <cell r="AS290">
            <v>0</v>
          </cell>
          <cell r="BA290" t="str">
            <v>CHICAGO</v>
          </cell>
          <cell r="BU290">
            <v>20</v>
          </cell>
          <cell r="BV290">
            <v>6</v>
          </cell>
          <cell r="CB290">
            <v>0</v>
          </cell>
          <cell r="CC290">
            <v>0</v>
          </cell>
          <cell r="CF290">
            <v>5</v>
          </cell>
          <cell r="CG290">
            <v>0</v>
          </cell>
          <cell r="CH290">
            <v>1</v>
          </cell>
          <cell r="CI290">
            <v>0</v>
          </cell>
          <cell r="CJ290">
            <v>0</v>
          </cell>
          <cell r="CK290">
            <v>0</v>
          </cell>
        </row>
        <row r="291">
          <cell r="A291">
            <v>43484</v>
          </cell>
          <cell r="B291">
            <v>0.83680555555555547</v>
          </cell>
          <cell r="C291">
            <v>0.79513888888888884</v>
          </cell>
          <cell r="D291" t="str">
            <v>Standard</v>
          </cell>
          <cell r="G291" t="str">
            <v>MUS @ TC</v>
          </cell>
          <cell r="H291" t="str">
            <v>Vs. Non-Conference</v>
          </cell>
          <cell r="I291" t="str">
            <v>MUSKEGON</v>
          </cell>
          <cell r="AC291">
            <v>0</v>
          </cell>
          <cell r="AD291">
            <v>10</v>
          </cell>
          <cell r="AJ291">
            <v>0</v>
          </cell>
          <cell r="AK291">
            <v>0</v>
          </cell>
          <cell r="AN291">
            <v>10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BA291" t="str">
            <v>TRI-CITY</v>
          </cell>
          <cell r="BU291">
            <v>22</v>
          </cell>
          <cell r="BV291">
            <v>11</v>
          </cell>
          <cell r="CB291">
            <v>0</v>
          </cell>
          <cell r="CC291">
            <v>0</v>
          </cell>
          <cell r="CF291">
            <v>11</v>
          </cell>
          <cell r="CG291">
            <v>0</v>
          </cell>
          <cell r="CH291">
            <v>0</v>
          </cell>
          <cell r="CI291">
            <v>0</v>
          </cell>
          <cell r="CJ291">
            <v>0</v>
          </cell>
          <cell r="CK291">
            <v>0</v>
          </cell>
        </row>
        <row r="292">
          <cell r="A292">
            <v>43484</v>
          </cell>
          <cell r="B292">
            <v>0.83680555555555547</v>
          </cell>
          <cell r="C292">
            <v>0.79513888888888884</v>
          </cell>
          <cell r="D292" t="str">
            <v>Standard</v>
          </cell>
          <cell r="G292" t="str">
            <v>DUB @ WAT</v>
          </cell>
          <cell r="H292" t="str">
            <v>Vs. Non-Conference</v>
          </cell>
          <cell r="I292" t="str">
            <v>DUBUQUE</v>
          </cell>
          <cell r="AC292">
            <v>0</v>
          </cell>
          <cell r="AD292">
            <v>6</v>
          </cell>
          <cell r="AJ292">
            <v>0</v>
          </cell>
          <cell r="AK292">
            <v>0</v>
          </cell>
          <cell r="AN292">
            <v>6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BA292" t="str">
            <v>WATERLOO</v>
          </cell>
          <cell r="BU292">
            <v>8</v>
          </cell>
          <cell r="BV292">
            <v>4</v>
          </cell>
          <cell r="CB292">
            <v>0</v>
          </cell>
          <cell r="CC292">
            <v>0</v>
          </cell>
          <cell r="CF292">
            <v>4</v>
          </cell>
          <cell r="CG292">
            <v>0</v>
          </cell>
          <cell r="CH292">
            <v>0</v>
          </cell>
          <cell r="CI292">
            <v>0</v>
          </cell>
          <cell r="CJ292">
            <v>0</v>
          </cell>
          <cell r="CK292">
            <v>0</v>
          </cell>
        </row>
        <row r="293">
          <cell r="A293">
            <v>43485</v>
          </cell>
          <cell r="B293">
            <v>0.62847222222222221</v>
          </cell>
          <cell r="C293">
            <v>0.58680555555555558</v>
          </cell>
          <cell r="D293" t="str">
            <v>Standard</v>
          </cell>
          <cell r="G293" t="str">
            <v>MUS @ LIN</v>
          </cell>
          <cell r="H293" t="str">
            <v>Vs. Non-Conference</v>
          </cell>
          <cell r="I293" t="str">
            <v>MUSKEGON</v>
          </cell>
          <cell r="AC293">
            <v>0</v>
          </cell>
          <cell r="AD293">
            <v>4</v>
          </cell>
          <cell r="AJ293">
            <v>0</v>
          </cell>
          <cell r="AK293">
            <v>0</v>
          </cell>
          <cell r="AN293">
            <v>4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BA293" t="str">
            <v>LINCOLN</v>
          </cell>
          <cell r="BU293">
            <v>10</v>
          </cell>
          <cell r="BV293">
            <v>5</v>
          </cell>
          <cell r="CB293">
            <v>0</v>
          </cell>
          <cell r="CC293">
            <v>0</v>
          </cell>
          <cell r="CF293">
            <v>5</v>
          </cell>
          <cell r="CG293">
            <v>0</v>
          </cell>
          <cell r="CH293">
            <v>0</v>
          </cell>
          <cell r="CI293">
            <v>0</v>
          </cell>
          <cell r="CJ293">
            <v>0</v>
          </cell>
          <cell r="CK293">
            <v>0</v>
          </cell>
        </row>
        <row r="294">
          <cell r="A294">
            <v>43486</v>
          </cell>
          <cell r="B294">
            <v>0.58333333333333337</v>
          </cell>
          <cell r="C294">
            <v>0.54166666666666674</v>
          </cell>
          <cell r="D294" t="str">
            <v>Standard</v>
          </cell>
          <cell r="G294" t="str">
            <v>CHI @ USA</v>
          </cell>
          <cell r="H294" t="str">
            <v>Vs. Conference</v>
          </cell>
          <cell r="I294" t="str">
            <v>CHICAGO</v>
          </cell>
          <cell r="AC294">
            <v>6</v>
          </cell>
          <cell r="AD294">
            <v>3</v>
          </cell>
          <cell r="AJ294">
            <v>0</v>
          </cell>
          <cell r="AK294">
            <v>0</v>
          </cell>
          <cell r="AN294">
            <v>3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BA294" t="str">
            <v>TEAM USA</v>
          </cell>
          <cell r="BU294">
            <v>4</v>
          </cell>
          <cell r="BV294">
            <v>2</v>
          </cell>
          <cell r="CB294">
            <v>0</v>
          </cell>
          <cell r="CC294">
            <v>0</v>
          </cell>
          <cell r="CF294">
            <v>2</v>
          </cell>
          <cell r="CG294">
            <v>0</v>
          </cell>
          <cell r="CH294">
            <v>0</v>
          </cell>
          <cell r="CI294">
            <v>0</v>
          </cell>
          <cell r="CJ294">
            <v>0</v>
          </cell>
          <cell r="CK294">
            <v>0</v>
          </cell>
        </row>
        <row r="295">
          <cell r="A295">
            <v>43486</v>
          </cell>
          <cell r="B295">
            <v>0.58819444444444446</v>
          </cell>
          <cell r="C295">
            <v>0.54652777777777783</v>
          </cell>
          <cell r="D295" t="str">
            <v>Standard</v>
          </cell>
          <cell r="G295" t="str">
            <v>MAD @ CIL</v>
          </cell>
          <cell r="H295" t="str">
            <v>Vs. Conference</v>
          </cell>
          <cell r="I295" t="str">
            <v>MADISON</v>
          </cell>
          <cell r="AC295">
            <v>16</v>
          </cell>
          <cell r="AD295">
            <v>8</v>
          </cell>
          <cell r="AJ295">
            <v>0</v>
          </cell>
          <cell r="AK295">
            <v>0</v>
          </cell>
          <cell r="AN295">
            <v>8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BA295" t="str">
            <v>CENTRAL ILLINOIS</v>
          </cell>
          <cell r="BU295">
            <v>14</v>
          </cell>
          <cell r="BV295">
            <v>7</v>
          </cell>
          <cell r="CB295">
            <v>0</v>
          </cell>
          <cell r="CC295">
            <v>0</v>
          </cell>
          <cell r="CF295">
            <v>7</v>
          </cell>
          <cell r="CG295">
            <v>0</v>
          </cell>
          <cell r="CH295">
            <v>0</v>
          </cell>
          <cell r="CI295">
            <v>0</v>
          </cell>
          <cell r="CJ295">
            <v>0</v>
          </cell>
          <cell r="CK295">
            <v>0</v>
          </cell>
        </row>
        <row r="296">
          <cell r="A296">
            <v>43489</v>
          </cell>
          <cell r="B296">
            <v>0.83680555555555547</v>
          </cell>
          <cell r="C296">
            <v>0.79513888888888884</v>
          </cell>
          <cell r="D296" t="str">
            <v>Standard</v>
          </cell>
          <cell r="G296" t="str">
            <v>OMA @ WAT</v>
          </cell>
          <cell r="H296" t="str">
            <v>Vs. Conference</v>
          </cell>
          <cell r="I296" t="str">
            <v>OMAHA</v>
          </cell>
          <cell r="AC296">
            <v>27</v>
          </cell>
          <cell r="AD296">
            <v>8</v>
          </cell>
          <cell r="AJ296">
            <v>0</v>
          </cell>
          <cell r="AK296">
            <v>0</v>
          </cell>
          <cell r="AN296">
            <v>6</v>
          </cell>
          <cell r="AO296">
            <v>1</v>
          </cell>
          <cell r="AP296">
            <v>0</v>
          </cell>
          <cell r="AQ296">
            <v>1</v>
          </cell>
          <cell r="AR296">
            <v>0</v>
          </cell>
          <cell r="AS296">
            <v>0</v>
          </cell>
          <cell r="BA296" t="str">
            <v>WATERLOO</v>
          </cell>
          <cell r="BU296">
            <v>6</v>
          </cell>
          <cell r="BV296">
            <v>3</v>
          </cell>
          <cell r="CB296">
            <v>0</v>
          </cell>
          <cell r="CC296">
            <v>0</v>
          </cell>
          <cell r="CF296">
            <v>3</v>
          </cell>
          <cell r="CG296">
            <v>0</v>
          </cell>
          <cell r="CH296">
            <v>0</v>
          </cell>
          <cell r="CI296">
            <v>0</v>
          </cell>
          <cell r="CJ296">
            <v>0</v>
          </cell>
          <cell r="CK296">
            <v>0</v>
          </cell>
        </row>
        <row r="297">
          <cell r="A297">
            <v>43490</v>
          </cell>
          <cell r="B297">
            <v>0.79166666666666663</v>
          </cell>
          <cell r="C297">
            <v>0.75</v>
          </cell>
          <cell r="D297" t="str">
            <v>Standard</v>
          </cell>
          <cell r="G297" t="str">
            <v>CIL @ USA</v>
          </cell>
          <cell r="H297" t="str">
            <v>Vs. Conference</v>
          </cell>
          <cell r="I297" t="str">
            <v>CENTRAL ILLINOIS</v>
          </cell>
          <cell r="AC297">
            <v>6</v>
          </cell>
          <cell r="AD297">
            <v>3</v>
          </cell>
          <cell r="AJ297">
            <v>0</v>
          </cell>
          <cell r="AK297">
            <v>0</v>
          </cell>
          <cell r="AN297">
            <v>3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BA297" t="str">
            <v>TEAM USA</v>
          </cell>
          <cell r="BU297">
            <v>4</v>
          </cell>
          <cell r="BV297">
            <v>2</v>
          </cell>
          <cell r="CB297">
            <v>0</v>
          </cell>
          <cell r="CC297">
            <v>0</v>
          </cell>
          <cell r="CF297">
            <v>2</v>
          </cell>
          <cell r="CG297">
            <v>0</v>
          </cell>
          <cell r="CH297">
            <v>0</v>
          </cell>
          <cell r="CI297">
            <v>0</v>
          </cell>
          <cell r="CJ297">
            <v>0</v>
          </cell>
          <cell r="CK297">
            <v>0</v>
          </cell>
        </row>
        <row r="298">
          <cell r="A298">
            <v>43490</v>
          </cell>
          <cell r="B298">
            <v>0.80208333333333337</v>
          </cell>
          <cell r="C298">
            <v>0.76041666666666674</v>
          </cell>
          <cell r="D298" t="str">
            <v>Standard</v>
          </cell>
          <cell r="G298" t="str">
            <v>FGO @ MUS</v>
          </cell>
          <cell r="H298" t="str">
            <v>Vs. Non-Conference</v>
          </cell>
          <cell r="I298" t="str">
            <v>FARGO</v>
          </cell>
          <cell r="AC298">
            <v>16</v>
          </cell>
          <cell r="AD298">
            <v>8</v>
          </cell>
          <cell r="AJ298">
            <v>0</v>
          </cell>
          <cell r="AK298">
            <v>0</v>
          </cell>
          <cell r="AN298">
            <v>8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BA298" t="str">
            <v>MUSKEGON</v>
          </cell>
          <cell r="BU298">
            <v>24</v>
          </cell>
          <cell r="BV298">
            <v>8</v>
          </cell>
          <cell r="CB298">
            <v>0</v>
          </cell>
          <cell r="CC298">
            <v>0</v>
          </cell>
          <cell r="CF298">
            <v>7</v>
          </cell>
          <cell r="CG298">
            <v>0</v>
          </cell>
          <cell r="CH298">
            <v>1</v>
          </cell>
          <cell r="CI298">
            <v>0</v>
          </cell>
          <cell r="CJ298">
            <v>0</v>
          </cell>
          <cell r="CK298">
            <v>0</v>
          </cell>
        </row>
        <row r="299">
          <cell r="A299">
            <v>43490</v>
          </cell>
          <cell r="B299">
            <v>0.83680555555555547</v>
          </cell>
          <cell r="C299">
            <v>0.79513888888888884</v>
          </cell>
          <cell r="D299" t="str">
            <v>Standard</v>
          </cell>
          <cell r="G299" t="str">
            <v>DUB @ MAD</v>
          </cell>
          <cell r="H299" t="str">
            <v>Vs. Conference</v>
          </cell>
          <cell r="I299" t="str">
            <v>DUBUQUE</v>
          </cell>
          <cell r="AC299">
            <v>6</v>
          </cell>
          <cell r="AD299">
            <v>3</v>
          </cell>
          <cell r="AJ299">
            <v>0</v>
          </cell>
          <cell r="AK299">
            <v>0</v>
          </cell>
          <cell r="AN299">
            <v>3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BA299" t="str">
            <v>MADISON</v>
          </cell>
          <cell r="BU299">
            <v>12</v>
          </cell>
          <cell r="BV299">
            <v>6</v>
          </cell>
          <cell r="CB299">
            <v>0</v>
          </cell>
          <cell r="CC299">
            <v>0</v>
          </cell>
          <cell r="CF299">
            <v>6</v>
          </cell>
          <cell r="CG299">
            <v>0</v>
          </cell>
          <cell r="CH299">
            <v>0</v>
          </cell>
          <cell r="CI299">
            <v>0</v>
          </cell>
          <cell r="CJ299">
            <v>0</v>
          </cell>
          <cell r="CK299">
            <v>0</v>
          </cell>
        </row>
        <row r="300">
          <cell r="A300">
            <v>43490</v>
          </cell>
          <cell r="B300">
            <v>0.83680555555555547</v>
          </cell>
          <cell r="C300">
            <v>0.79513888888888884</v>
          </cell>
          <cell r="D300" t="str">
            <v>Standard</v>
          </cell>
          <cell r="G300" t="str">
            <v>DM @ SC</v>
          </cell>
          <cell r="H300" t="str">
            <v>Vs. Conference</v>
          </cell>
          <cell r="I300" t="str">
            <v>DES MOINES</v>
          </cell>
          <cell r="AC300">
            <v>23</v>
          </cell>
          <cell r="AD300">
            <v>6</v>
          </cell>
          <cell r="AJ300">
            <v>0</v>
          </cell>
          <cell r="AK300">
            <v>0</v>
          </cell>
          <cell r="AN300">
            <v>4</v>
          </cell>
          <cell r="AO300">
            <v>1</v>
          </cell>
          <cell r="AP300">
            <v>1</v>
          </cell>
          <cell r="AQ300">
            <v>0</v>
          </cell>
          <cell r="AR300">
            <v>0</v>
          </cell>
          <cell r="AS300">
            <v>0</v>
          </cell>
          <cell r="BA300" t="str">
            <v>SIOUX CITY</v>
          </cell>
          <cell r="BU300">
            <v>23</v>
          </cell>
          <cell r="BV300">
            <v>6</v>
          </cell>
          <cell r="CB300">
            <v>0</v>
          </cell>
          <cell r="CC300">
            <v>0</v>
          </cell>
          <cell r="CF300">
            <v>4</v>
          </cell>
          <cell r="CG300">
            <v>1</v>
          </cell>
          <cell r="CH300">
            <v>1</v>
          </cell>
          <cell r="CI300">
            <v>0</v>
          </cell>
          <cell r="CJ300">
            <v>0</v>
          </cell>
          <cell r="CK300">
            <v>0</v>
          </cell>
        </row>
        <row r="301">
          <cell r="A301">
            <v>43490</v>
          </cell>
          <cell r="B301">
            <v>0.83680555555555547</v>
          </cell>
          <cell r="C301">
            <v>0.79513888888888884</v>
          </cell>
          <cell r="D301" t="str">
            <v>Standard</v>
          </cell>
          <cell r="G301" t="str">
            <v>SF @ CR</v>
          </cell>
          <cell r="H301" t="str">
            <v>Vs. Non-Conference</v>
          </cell>
          <cell r="I301" t="str">
            <v>SIOUX FALLS</v>
          </cell>
          <cell r="AC301">
            <v>33</v>
          </cell>
          <cell r="AD301">
            <v>11</v>
          </cell>
          <cell r="AJ301">
            <v>0</v>
          </cell>
          <cell r="AK301">
            <v>0</v>
          </cell>
          <cell r="AN301">
            <v>9</v>
          </cell>
          <cell r="AO301">
            <v>1</v>
          </cell>
          <cell r="AP301">
            <v>0</v>
          </cell>
          <cell r="AQ301">
            <v>1</v>
          </cell>
          <cell r="AR301">
            <v>0</v>
          </cell>
          <cell r="AS301">
            <v>0</v>
          </cell>
          <cell r="BA301" t="str">
            <v>CEDAR RAPIDS</v>
          </cell>
          <cell r="BU301">
            <v>31</v>
          </cell>
          <cell r="BV301">
            <v>10</v>
          </cell>
          <cell r="CB301">
            <v>0</v>
          </cell>
          <cell r="CC301">
            <v>0</v>
          </cell>
          <cell r="CF301">
            <v>8</v>
          </cell>
          <cell r="CG301">
            <v>1</v>
          </cell>
          <cell r="CH301">
            <v>0</v>
          </cell>
          <cell r="CI301">
            <v>1</v>
          </cell>
          <cell r="CJ301">
            <v>0</v>
          </cell>
          <cell r="CK301">
            <v>0</v>
          </cell>
        </row>
        <row r="302">
          <cell r="A302">
            <v>43490</v>
          </cell>
          <cell r="B302">
            <v>0.83680555555555547</v>
          </cell>
          <cell r="C302">
            <v>0.79513888888888884</v>
          </cell>
          <cell r="D302" t="str">
            <v>Standard</v>
          </cell>
          <cell r="G302" t="str">
            <v>LIN @ GB</v>
          </cell>
          <cell r="H302" t="str">
            <v>Vs. Non-Conference</v>
          </cell>
          <cell r="I302" t="str">
            <v>LINCOLN</v>
          </cell>
          <cell r="AC302">
            <v>6</v>
          </cell>
          <cell r="AD302">
            <v>3</v>
          </cell>
          <cell r="AJ302">
            <v>0</v>
          </cell>
          <cell r="AK302">
            <v>0</v>
          </cell>
          <cell r="AN302">
            <v>3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BA302" t="str">
            <v>GREEN BAY</v>
          </cell>
          <cell r="BU302">
            <v>8</v>
          </cell>
          <cell r="BV302">
            <v>4</v>
          </cell>
          <cell r="CB302">
            <v>0</v>
          </cell>
          <cell r="CC302">
            <v>0</v>
          </cell>
          <cell r="CF302">
            <v>4</v>
          </cell>
          <cell r="CG302">
            <v>0</v>
          </cell>
          <cell r="CH302">
            <v>0</v>
          </cell>
          <cell r="CI302">
            <v>0</v>
          </cell>
          <cell r="CJ302">
            <v>0</v>
          </cell>
          <cell r="CK302">
            <v>0</v>
          </cell>
        </row>
        <row r="303">
          <cell r="A303">
            <v>43490</v>
          </cell>
          <cell r="B303">
            <v>0.83680555555555547</v>
          </cell>
          <cell r="C303">
            <v>0.79513888888888884</v>
          </cell>
          <cell r="D303" t="str">
            <v>Standard</v>
          </cell>
          <cell r="G303" t="str">
            <v>YNG @ TC</v>
          </cell>
          <cell r="H303" t="str">
            <v>Vs. Non-Conference</v>
          </cell>
          <cell r="I303" t="str">
            <v>YOUNGSTOWN</v>
          </cell>
          <cell r="AC303">
            <v>47</v>
          </cell>
          <cell r="AD303">
            <v>14</v>
          </cell>
          <cell r="AJ303">
            <v>0</v>
          </cell>
          <cell r="AK303">
            <v>0</v>
          </cell>
          <cell r="AN303">
            <v>11</v>
          </cell>
          <cell r="AO303">
            <v>1</v>
          </cell>
          <cell r="AP303">
            <v>1</v>
          </cell>
          <cell r="AQ303">
            <v>1</v>
          </cell>
          <cell r="AR303">
            <v>0</v>
          </cell>
          <cell r="AS303">
            <v>0</v>
          </cell>
          <cell r="BA303" t="str">
            <v>TRI-CITY</v>
          </cell>
          <cell r="BU303">
            <v>32</v>
          </cell>
          <cell r="BV303">
            <v>12</v>
          </cell>
          <cell r="CB303">
            <v>0</v>
          </cell>
          <cell r="CC303">
            <v>0</v>
          </cell>
          <cell r="CF303">
            <v>11</v>
          </cell>
          <cell r="CG303">
            <v>0</v>
          </cell>
          <cell r="CH303">
            <v>1</v>
          </cell>
          <cell r="CI303">
            <v>0</v>
          </cell>
          <cell r="CJ303">
            <v>0</v>
          </cell>
          <cell r="CK303">
            <v>0</v>
          </cell>
        </row>
        <row r="304">
          <cell r="A304">
            <v>43491</v>
          </cell>
          <cell r="B304">
            <v>0.79166666666666663</v>
          </cell>
          <cell r="C304">
            <v>0.75</v>
          </cell>
          <cell r="D304" t="str">
            <v>Standard</v>
          </cell>
          <cell r="G304" t="str">
            <v>CIL @ USA</v>
          </cell>
          <cell r="H304" t="str">
            <v>Vs. Conference</v>
          </cell>
          <cell r="I304" t="str">
            <v>CENTRAL ILLINOIS</v>
          </cell>
          <cell r="AC304">
            <v>34</v>
          </cell>
          <cell r="AD304">
            <v>9</v>
          </cell>
          <cell r="AJ304">
            <v>0</v>
          </cell>
          <cell r="AK304">
            <v>0</v>
          </cell>
          <cell r="AN304">
            <v>7</v>
          </cell>
          <cell r="AO304">
            <v>0</v>
          </cell>
          <cell r="AP304">
            <v>2</v>
          </cell>
          <cell r="AQ304">
            <v>0</v>
          </cell>
          <cell r="AR304">
            <v>0</v>
          </cell>
          <cell r="AS304">
            <v>0</v>
          </cell>
          <cell r="BA304" t="str">
            <v>TEAM USA</v>
          </cell>
          <cell r="BU304">
            <v>10</v>
          </cell>
          <cell r="BV304">
            <v>5</v>
          </cell>
          <cell r="CB304">
            <v>0</v>
          </cell>
          <cell r="CC304">
            <v>0</v>
          </cell>
          <cell r="CF304">
            <v>5</v>
          </cell>
          <cell r="CG304">
            <v>0</v>
          </cell>
          <cell r="CH304">
            <v>0</v>
          </cell>
          <cell r="CI304">
            <v>0</v>
          </cell>
          <cell r="CJ304">
            <v>0</v>
          </cell>
          <cell r="CK304">
            <v>0</v>
          </cell>
        </row>
        <row r="305">
          <cell r="A305">
            <v>43491</v>
          </cell>
          <cell r="B305">
            <v>0.80208333333333337</v>
          </cell>
          <cell r="C305">
            <v>0.76041666666666674</v>
          </cell>
          <cell r="D305" t="str">
            <v>Standard</v>
          </cell>
          <cell r="G305" t="str">
            <v>USA @ MUS</v>
          </cell>
          <cell r="H305" t="str">
            <v>Vs. Conference</v>
          </cell>
          <cell r="I305" t="str">
            <v>TEAM USA</v>
          </cell>
          <cell r="AC305">
            <v>6</v>
          </cell>
          <cell r="AD305">
            <v>3</v>
          </cell>
          <cell r="AJ305">
            <v>0</v>
          </cell>
          <cell r="AK305">
            <v>0</v>
          </cell>
          <cell r="AN305">
            <v>3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BA305" t="str">
            <v>MUSKEGON</v>
          </cell>
          <cell r="BU305">
            <v>21</v>
          </cell>
          <cell r="BV305">
            <v>5</v>
          </cell>
          <cell r="CB305">
            <v>0</v>
          </cell>
          <cell r="CC305">
            <v>0</v>
          </cell>
          <cell r="CF305">
            <v>3</v>
          </cell>
          <cell r="CG305">
            <v>1</v>
          </cell>
          <cell r="CH305">
            <v>0</v>
          </cell>
          <cell r="CI305">
            <v>1</v>
          </cell>
          <cell r="CJ305">
            <v>0</v>
          </cell>
          <cell r="CK305">
            <v>0</v>
          </cell>
        </row>
        <row r="306">
          <cell r="A306">
            <v>43491</v>
          </cell>
          <cell r="B306">
            <v>0.83680555555555547</v>
          </cell>
          <cell r="C306">
            <v>0.79513888888888884</v>
          </cell>
          <cell r="D306" t="str">
            <v>Standard</v>
          </cell>
          <cell r="G306" t="str">
            <v>TC @ DM</v>
          </cell>
          <cell r="H306" t="str">
            <v>Vs. Conference</v>
          </cell>
          <cell r="I306" t="str">
            <v>TRI-CITY</v>
          </cell>
          <cell r="AC306">
            <v>10</v>
          </cell>
          <cell r="AD306">
            <v>5</v>
          </cell>
          <cell r="AJ306">
            <v>0</v>
          </cell>
          <cell r="AK306">
            <v>0</v>
          </cell>
          <cell r="AN306">
            <v>5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BA306" t="str">
            <v>DES MOINES</v>
          </cell>
          <cell r="BU306">
            <v>8</v>
          </cell>
          <cell r="BV306">
            <v>4</v>
          </cell>
          <cell r="CB306">
            <v>0</v>
          </cell>
          <cell r="CC306">
            <v>0</v>
          </cell>
          <cell r="CF306">
            <v>4</v>
          </cell>
          <cell r="CG306">
            <v>0</v>
          </cell>
          <cell r="CH306">
            <v>0</v>
          </cell>
          <cell r="CI306">
            <v>0</v>
          </cell>
          <cell r="CJ306">
            <v>0</v>
          </cell>
          <cell r="CK306">
            <v>0</v>
          </cell>
        </row>
        <row r="307">
          <cell r="A307">
            <v>43491</v>
          </cell>
          <cell r="B307">
            <v>0.83680555555555547</v>
          </cell>
          <cell r="C307">
            <v>0.79513888888888884</v>
          </cell>
          <cell r="D307" t="str">
            <v>Standard</v>
          </cell>
          <cell r="G307" t="str">
            <v>FGO @ CHI</v>
          </cell>
          <cell r="H307" t="str">
            <v>Vs. Non-Conference</v>
          </cell>
          <cell r="I307" t="str">
            <v>FARGO</v>
          </cell>
          <cell r="AC307">
            <v>4</v>
          </cell>
          <cell r="AD307">
            <v>2</v>
          </cell>
          <cell r="AJ307">
            <v>0</v>
          </cell>
          <cell r="AK307">
            <v>0</v>
          </cell>
          <cell r="AN307">
            <v>2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BA307" t="str">
            <v>CHICAGO</v>
          </cell>
          <cell r="BU307">
            <v>2</v>
          </cell>
          <cell r="BV307">
            <v>1</v>
          </cell>
          <cell r="CB307">
            <v>0</v>
          </cell>
          <cell r="CC307">
            <v>0</v>
          </cell>
          <cell r="CF307">
            <v>1</v>
          </cell>
          <cell r="CG307">
            <v>0</v>
          </cell>
          <cell r="CH307">
            <v>0</v>
          </cell>
          <cell r="CI307">
            <v>0</v>
          </cell>
          <cell r="CJ307">
            <v>0</v>
          </cell>
          <cell r="CK307">
            <v>0</v>
          </cell>
        </row>
        <row r="308">
          <cell r="A308">
            <v>43491</v>
          </cell>
          <cell r="B308">
            <v>0.83680555555555547</v>
          </cell>
          <cell r="C308">
            <v>0.79513888888888884</v>
          </cell>
          <cell r="D308" t="str">
            <v>Standard</v>
          </cell>
          <cell r="G308" t="str">
            <v>LIN @ GB</v>
          </cell>
          <cell r="H308" t="str">
            <v>Vs. Non-Conference</v>
          </cell>
          <cell r="I308" t="str">
            <v>LINCOLN</v>
          </cell>
          <cell r="AC308">
            <v>6</v>
          </cell>
          <cell r="AD308">
            <v>3</v>
          </cell>
          <cell r="AJ308">
            <v>0</v>
          </cell>
          <cell r="AK308">
            <v>0</v>
          </cell>
          <cell r="AN308">
            <v>3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BA308" t="str">
            <v>GREEN BAY</v>
          </cell>
          <cell r="BU308">
            <v>12</v>
          </cell>
          <cell r="BV308">
            <v>6</v>
          </cell>
          <cell r="CB308">
            <v>0</v>
          </cell>
          <cell r="CC308">
            <v>0</v>
          </cell>
          <cell r="CF308">
            <v>6</v>
          </cell>
          <cell r="CG308">
            <v>0</v>
          </cell>
          <cell r="CH308">
            <v>0</v>
          </cell>
          <cell r="CI308">
            <v>0</v>
          </cell>
          <cell r="CJ308">
            <v>0</v>
          </cell>
          <cell r="CK308">
            <v>0</v>
          </cell>
        </row>
        <row r="309">
          <cell r="A309">
            <v>43491</v>
          </cell>
          <cell r="B309">
            <v>0.83680555555555547</v>
          </cell>
          <cell r="C309">
            <v>0.79513888888888884</v>
          </cell>
          <cell r="D309" t="str">
            <v>Standard</v>
          </cell>
          <cell r="G309" t="str">
            <v>SF @ MAD</v>
          </cell>
          <cell r="H309" t="str">
            <v>Vs. Non-Conference</v>
          </cell>
          <cell r="I309" t="str">
            <v>SIOUX FALLS</v>
          </cell>
          <cell r="AC309">
            <v>6</v>
          </cell>
          <cell r="AD309">
            <v>3</v>
          </cell>
          <cell r="AJ309">
            <v>0</v>
          </cell>
          <cell r="AK309">
            <v>0</v>
          </cell>
          <cell r="AN309">
            <v>3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BA309" t="str">
            <v>MADISON</v>
          </cell>
          <cell r="BU309">
            <v>2</v>
          </cell>
          <cell r="BV309">
            <v>1</v>
          </cell>
          <cell r="CB309">
            <v>0</v>
          </cell>
          <cell r="CC309">
            <v>0</v>
          </cell>
          <cell r="CF309">
            <v>1</v>
          </cell>
          <cell r="CG309">
            <v>0</v>
          </cell>
          <cell r="CH309">
            <v>0</v>
          </cell>
          <cell r="CI309">
            <v>0</v>
          </cell>
          <cell r="CJ309">
            <v>0</v>
          </cell>
          <cell r="CK309">
            <v>0</v>
          </cell>
        </row>
        <row r="310">
          <cell r="A310">
            <v>43491</v>
          </cell>
          <cell r="B310">
            <v>0.83680555555555547</v>
          </cell>
          <cell r="C310">
            <v>0.79513888888888884</v>
          </cell>
          <cell r="D310" t="str">
            <v>Standard</v>
          </cell>
          <cell r="G310" t="str">
            <v>YNG @ OMA</v>
          </cell>
          <cell r="H310" t="str">
            <v>Vs. Non-Conference</v>
          </cell>
          <cell r="I310" t="str">
            <v>YOUNGSTOWN</v>
          </cell>
          <cell r="AC310">
            <v>8</v>
          </cell>
          <cell r="AD310">
            <v>4</v>
          </cell>
          <cell r="AJ310">
            <v>0</v>
          </cell>
          <cell r="AK310">
            <v>0</v>
          </cell>
          <cell r="AN310">
            <v>4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BA310" t="str">
            <v>OMAHA</v>
          </cell>
          <cell r="BU310">
            <v>4</v>
          </cell>
          <cell r="BV310">
            <v>2</v>
          </cell>
          <cell r="CB310">
            <v>0</v>
          </cell>
          <cell r="CC310">
            <v>0</v>
          </cell>
          <cell r="CF310">
            <v>2</v>
          </cell>
          <cell r="CG310">
            <v>0</v>
          </cell>
          <cell r="CH310">
            <v>0</v>
          </cell>
          <cell r="CI310">
            <v>0</v>
          </cell>
          <cell r="CJ310">
            <v>0</v>
          </cell>
          <cell r="CK310">
            <v>0</v>
          </cell>
        </row>
        <row r="311">
          <cell r="A311">
            <v>43491</v>
          </cell>
          <cell r="B311">
            <v>0.83680555555555547</v>
          </cell>
          <cell r="C311">
            <v>0.79513888888888884</v>
          </cell>
          <cell r="D311" t="str">
            <v>Standard</v>
          </cell>
          <cell r="G311" t="str">
            <v>CR @ WAT</v>
          </cell>
          <cell r="H311" t="str">
            <v>Vs. Non-Conference</v>
          </cell>
          <cell r="I311" t="str">
            <v>CEDAR RAPIDS</v>
          </cell>
          <cell r="AC311">
            <v>27</v>
          </cell>
          <cell r="AD311">
            <v>8</v>
          </cell>
          <cell r="AJ311">
            <v>0</v>
          </cell>
          <cell r="AK311">
            <v>0</v>
          </cell>
          <cell r="AN311">
            <v>6</v>
          </cell>
          <cell r="AO311">
            <v>1</v>
          </cell>
          <cell r="AP311">
            <v>0</v>
          </cell>
          <cell r="AQ311">
            <v>1</v>
          </cell>
          <cell r="AR311">
            <v>0</v>
          </cell>
          <cell r="AS311">
            <v>0</v>
          </cell>
          <cell r="BA311" t="str">
            <v>WATERLOO</v>
          </cell>
          <cell r="BU311">
            <v>10</v>
          </cell>
          <cell r="BV311">
            <v>5</v>
          </cell>
          <cell r="CB311">
            <v>0</v>
          </cell>
          <cell r="CC311">
            <v>0</v>
          </cell>
          <cell r="CF311">
            <v>5</v>
          </cell>
          <cell r="CG311">
            <v>0</v>
          </cell>
          <cell r="CH311">
            <v>0</v>
          </cell>
          <cell r="CI311">
            <v>0</v>
          </cell>
          <cell r="CJ311">
            <v>0</v>
          </cell>
          <cell r="CK311">
            <v>0</v>
          </cell>
        </row>
        <row r="312">
          <cell r="A312">
            <v>43492</v>
          </cell>
          <cell r="B312">
            <v>0.67013888888888884</v>
          </cell>
          <cell r="C312">
            <v>0.62847222222222221</v>
          </cell>
          <cell r="D312" t="str">
            <v>Standard</v>
          </cell>
          <cell r="G312" t="str">
            <v>TC @ SC</v>
          </cell>
          <cell r="H312" t="str">
            <v>Vs. Conference</v>
          </cell>
          <cell r="I312" t="str">
            <v>TRI-CITY</v>
          </cell>
          <cell r="AC312">
            <v>16</v>
          </cell>
          <cell r="AD312">
            <v>8</v>
          </cell>
          <cell r="AJ312">
            <v>0</v>
          </cell>
          <cell r="AK312">
            <v>0</v>
          </cell>
          <cell r="AN312">
            <v>8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BA312" t="str">
            <v>SIOUX CITY</v>
          </cell>
          <cell r="BU312">
            <v>26</v>
          </cell>
          <cell r="BV312">
            <v>9</v>
          </cell>
          <cell r="CB312">
            <v>0</v>
          </cell>
          <cell r="CC312">
            <v>0</v>
          </cell>
          <cell r="CF312">
            <v>8</v>
          </cell>
          <cell r="CG312">
            <v>0</v>
          </cell>
          <cell r="CH312">
            <v>1</v>
          </cell>
          <cell r="CI312">
            <v>0</v>
          </cell>
          <cell r="CJ312">
            <v>0</v>
          </cell>
          <cell r="CK312">
            <v>0</v>
          </cell>
        </row>
        <row r="313">
          <cell r="A313">
            <v>43492</v>
          </cell>
          <cell r="B313">
            <v>0.67013888888888884</v>
          </cell>
          <cell r="C313">
            <v>0.62847222222222221</v>
          </cell>
          <cell r="D313" t="str">
            <v>Standard</v>
          </cell>
          <cell r="G313" t="str">
            <v>FGO @ CHI</v>
          </cell>
          <cell r="H313" t="str">
            <v>Vs. Non-Conference</v>
          </cell>
          <cell r="I313" t="str">
            <v>FARGO</v>
          </cell>
          <cell r="AC313">
            <v>4</v>
          </cell>
          <cell r="AD313">
            <v>2</v>
          </cell>
          <cell r="AJ313">
            <v>0</v>
          </cell>
          <cell r="AK313">
            <v>0</v>
          </cell>
          <cell r="AN313">
            <v>2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BA313" t="str">
            <v>CHICAGO</v>
          </cell>
          <cell r="BU313">
            <v>4</v>
          </cell>
          <cell r="BV313">
            <v>2</v>
          </cell>
          <cell r="CB313">
            <v>0</v>
          </cell>
          <cell r="CC313">
            <v>0</v>
          </cell>
          <cell r="CF313">
            <v>2</v>
          </cell>
          <cell r="CG313">
            <v>0</v>
          </cell>
          <cell r="CH313">
            <v>0</v>
          </cell>
          <cell r="CI313">
            <v>0</v>
          </cell>
          <cell r="CJ313">
            <v>0</v>
          </cell>
          <cell r="CK313">
            <v>0</v>
          </cell>
        </row>
        <row r="314">
          <cell r="A314">
            <v>43492</v>
          </cell>
          <cell r="B314">
            <v>0.71180555555555547</v>
          </cell>
          <cell r="C314">
            <v>0.67013888888888884</v>
          </cell>
          <cell r="D314" t="str">
            <v>Standard</v>
          </cell>
          <cell r="G314" t="str">
            <v>YNG @ OMA</v>
          </cell>
          <cell r="H314" t="str">
            <v>Vs. Non-Conference</v>
          </cell>
          <cell r="I314" t="str">
            <v>YOUNGSTOWN</v>
          </cell>
          <cell r="AC314">
            <v>12</v>
          </cell>
          <cell r="AD314">
            <v>6</v>
          </cell>
          <cell r="AJ314">
            <v>0</v>
          </cell>
          <cell r="AK314">
            <v>0</v>
          </cell>
          <cell r="AN314">
            <v>6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BA314" t="str">
            <v>OMAHA</v>
          </cell>
          <cell r="BU314">
            <v>14</v>
          </cell>
          <cell r="BV314">
            <v>7</v>
          </cell>
          <cell r="CB314">
            <v>0</v>
          </cell>
          <cell r="CC314">
            <v>0</v>
          </cell>
          <cell r="CF314">
            <v>7</v>
          </cell>
          <cell r="CG314">
            <v>0</v>
          </cell>
          <cell r="CH314">
            <v>0</v>
          </cell>
          <cell r="CI314">
            <v>0</v>
          </cell>
          <cell r="CJ314">
            <v>0</v>
          </cell>
          <cell r="CK314">
            <v>0</v>
          </cell>
        </row>
        <row r="315">
          <cell r="A315">
            <v>43495</v>
          </cell>
          <cell r="B315">
            <v>0.83680555555555547</v>
          </cell>
          <cell r="C315">
            <v>0.79513888888888884</v>
          </cell>
          <cell r="D315" t="str">
            <v>Standard</v>
          </cell>
          <cell r="G315" t="str">
            <v>CR @ LIN</v>
          </cell>
          <cell r="H315" t="str">
            <v>Vs. Non-Conference</v>
          </cell>
          <cell r="I315" t="str">
            <v>CEDAR RAPIDS</v>
          </cell>
          <cell r="AC315">
            <v>4</v>
          </cell>
          <cell r="AD315">
            <v>2</v>
          </cell>
          <cell r="AJ315">
            <v>0</v>
          </cell>
          <cell r="AK315">
            <v>0</v>
          </cell>
          <cell r="AN315">
            <v>2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BA315" t="str">
            <v>LINCOLN</v>
          </cell>
          <cell r="BU315">
            <v>8</v>
          </cell>
          <cell r="BV315">
            <v>4</v>
          </cell>
          <cell r="CB315">
            <v>0</v>
          </cell>
          <cell r="CC315">
            <v>0</v>
          </cell>
          <cell r="CF315">
            <v>4</v>
          </cell>
          <cell r="CG315">
            <v>0</v>
          </cell>
          <cell r="CH315">
            <v>0</v>
          </cell>
          <cell r="CI315">
            <v>0</v>
          </cell>
          <cell r="CJ315">
            <v>0</v>
          </cell>
          <cell r="CK315">
            <v>0</v>
          </cell>
        </row>
        <row r="316">
          <cell r="A316">
            <v>43496</v>
          </cell>
          <cell r="B316">
            <v>0.83680555555555547</v>
          </cell>
          <cell r="C316">
            <v>0.79513888888888884</v>
          </cell>
          <cell r="D316" t="str">
            <v>Standard</v>
          </cell>
          <cell r="G316" t="str">
            <v>CIL @ SF</v>
          </cell>
          <cell r="H316" t="str">
            <v>Vs. Non-Conference</v>
          </cell>
          <cell r="I316" t="str">
            <v>CENTRAL ILLINOIS</v>
          </cell>
          <cell r="AC316">
            <v>25</v>
          </cell>
          <cell r="AD316">
            <v>7</v>
          </cell>
          <cell r="AJ316">
            <v>0</v>
          </cell>
          <cell r="AK316">
            <v>0</v>
          </cell>
          <cell r="AN316">
            <v>5</v>
          </cell>
          <cell r="AO316">
            <v>1</v>
          </cell>
          <cell r="AP316">
            <v>1</v>
          </cell>
          <cell r="AQ316">
            <v>0</v>
          </cell>
          <cell r="AR316">
            <v>0</v>
          </cell>
          <cell r="AS316">
            <v>0</v>
          </cell>
          <cell r="BA316" t="str">
            <v>SIOUX FALLS</v>
          </cell>
          <cell r="BU316">
            <v>23</v>
          </cell>
          <cell r="BV316">
            <v>6</v>
          </cell>
          <cell r="CB316">
            <v>0</v>
          </cell>
          <cell r="CC316">
            <v>0</v>
          </cell>
          <cell r="CF316">
            <v>4</v>
          </cell>
          <cell r="CG316">
            <v>1</v>
          </cell>
          <cell r="CH316">
            <v>1</v>
          </cell>
          <cell r="CI316">
            <v>0</v>
          </cell>
          <cell r="CJ316">
            <v>0</v>
          </cell>
          <cell r="CK316">
            <v>0</v>
          </cell>
        </row>
        <row r="317">
          <cell r="A317">
            <v>43497</v>
          </cell>
          <cell r="B317">
            <v>0.79166666666666663</v>
          </cell>
          <cell r="C317">
            <v>0.75</v>
          </cell>
          <cell r="D317" t="str">
            <v>Standard</v>
          </cell>
          <cell r="G317" t="str">
            <v>CHI @ USA</v>
          </cell>
          <cell r="H317" t="str">
            <v>Vs. Conference</v>
          </cell>
          <cell r="I317" t="str">
            <v>CHICAGO</v>
          </cell>
          <cell r="AC317">
            <v>4</v>
          </cell>
          <cell r="AD317">
            <v>2</v>
          </cell>
          <cell r="AJ317">
            <v>0</v>
          </cell>
          <cell r="AK317">
            <v>0</v>
          </cell>
          <cell r="AN317">
            <v>2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BA317" t="str">
            <v>TEAM USA</v>
          </cell>
          <cell r="BU317">
            <v>6</v>
          </cell>
          <cell r="BV317">
            <v>3</v>
          </cell>
          <cell r="CB317">
            <v>0</v>
          </cell>
          <cell r="CC317">
            <v>0</v>
          </cell>
          <cell r="CF317">
            <v>3</v>
          </cell>
          <cell r="CG317">
            <v>0</v>
          </cell>
          <cell r="CH317">
            <v>0</v>
          </cell>
          <cell r="CI317">
            <v>0</v>
          </cell>
          <cell r="CJ317">
            <v>0</v>
          </cell>
          <cell r="CK317">
            <v>0</v>
          </cell>
        </row>
        <row r="318">
          <cell r="A318">
            <v>43497</v>
          </cell>
          <cell r="B318">
            <v>0.83680555555555547</v>
          </cell>
          <cell r="C318">
            <v>0.79513888888888884</v>
          </cell>
          <cell r="D318" t="str">
            <v>Standard</v>
          </cell>
          <cell r="G318" t="str">
            <v>DUB @ CR</v>
          </cell>
          <cell r="H318" t="str">
            <v>Vs. Conference</v>
          </cell>
          <cell r="I318" t="str">
            <v>DUBUQUE</v>
          </cell>
          <cell r="AC318">
            <v>6</v>
          </cell>
          <cell r="AD318">
            <v>3</v>
          </cell>
          <cell r="AJ318">
            <v>0</v>
          </cell>
          <cell r="AK318">
            <v>0</v>
          </cell>
          <cell r="AN318">
            <v>3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BA318" t="str">
            <v>CEDAR RAPIDS</v>
          </cell>
          <cell r="BU318">
            <v>2</v>
          </cell>
          <cell r="BV318">
            <v>1</v>
          </cell>
          <cell r="CB318">
            <v>0</v>
          </cell>
          <cell r="CC318">
            <v>0</v>
          </cell>
          <cell r="CF318">
            <v>1</v>
          </cell>
          <cell r="CG318">
            <v>0</v>
          </cell>
          <cell r="CH318">
            <v>0</v>
          </cell>
          <cell r="CI318">
            <v>0</v>
          </cell>
          <cell r="CJ318">
            <v>0</v>
          </cell>
          <cell r="CK318">
            <v>0</v>
          </cell>
        </row>
        <row r="319">
          <cell r="A319">
            <v>43497</v>
          </cell>
          <cell r="B319">
            <v>0.83680555555555547</v>
          </cell>
          <cell r="C319">
            <v>0.79513888888888884</v>
          </cell>
          <cell r="D319" t="str">
            <v>Standard</v>
          </cell>
          <cell r="G319" t="str">
            <v>YNG @ GB</v>
          </cell>
          <cell r="H319" t="str">
            <v>Vs. Conference</v>
          </cell>
          <cell r="I319" t="str">
            <v>YOUNGSTOWN</v>
          </cell>
          <cell r="AC319">
            <v>27</v>
          </cell>
          <cell r="AD319">
            <v>8</v>
          </cell>
          <cell r="AJ319">
            <v>0</v>
          </cell>
          <cell r="AK319">
            <v>0</v>
          </cell>
          <cell r="AN319">
            <v>6</v>
          </cell>
          <cell r="AO319">
            <v>1</v>
          </cell>
          <cell r="AP319">
            <v>1</v>
          </cell>
          <cell r="AQ319">
            <v>0</v>
          </cell>
          <cell r="AR319">
            <v>0</v>
          </cell>
          <cell r="AS319">
            <v>0</v>
          </cell>
          <cell r="BA319" t="str">
            <v>GREEN BAY</v>
          </cell>
          <cell r="BU319">
            <v>63</v>
          </cell>
          <cell r="BV319">
            <v>14</v>
          </cell>
          <cell r="CB319">
            <v>0</v>
          </cell>
          <cell r="CC319">
            <v>0</v>
          </cell>
          <cell r="CF319">
            <v>9</v>
          </cell>
          <cell r="CG319">
            <v>1</v>
          </cell>
          <cell r="CH319">
            <v>3</v>
          </cell>
          <cell r="CI319">
            <v>1</v>
          </cell>
          <cell r="CJ319">
            <v>0</v>
          </cell>
          <cell r="CK319">
            <v>0</v>
          </cell>
        </row>
        <row r="320">
          <cell r="A320">
            <v>43497</v>
          </cell>
          <cell r="B320">
            <v>0.83680555555555547</v>
          </cell>
          <cell r="C320">
            <v>0.79513888888888884</v>
          </cell>
          <cell r="D320" t="str">
            <v>Standard</v>
          </cell>
          <cell r="G320" t="str">
            <v>LIN @ SF</v>
          </cell>
          <cell r="H320" t="str">
            <v>Vs. Conference</v>
          </cell>
          <cell r="I320" t="str">
            <v>LINCOLN</v>
          </cell>
          <cell r="AC320">
            <v>8</v>
          </cell>
          <cell r="AD320">
            <v>4</v>
          </cell>
          <cell r="AJ320">
            <v>0</v>
          </cell>
          <cell r="AK320">
            <v>0</v>
          </cell>
          <cell r="AN320">
            <v>4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BA320" t="str">
            <v>SIOUX FALLS</v>
          </cell>
          <cell r="BU320">
            <v>8</v>
          </cell>
          <cell r="BV320">
            <v>4</v>
          </cell>
          <cell r="CB320">
            <v>0</v>
          </cell>
          <cell r="CC320">
            <v>0</v>
          </cell>
          <cell r="CF320">
            <v>4</v>
          </cell>
          <cell r="CG320">
            <v>0</v>
          </cell>
          <cell r="CH320">
            <v>0</v>
          </cell>
          <cell r="CI320">
            <v>0</v>
          </cell>
          <cell r="CJ320">
            <v>0</v>
          </cell>
          <cell r="CK320">
            <v>0</v>
          </cell>
        </row>
        <row r="321">
          <cell r="A321">
            <v>43497</v>
          </cell>
          <cell r="B321">
            <v>0.83680555555555547</v>
          </cell>
          <cell r="C321">
            <v>0.79513888888888884</v>
          </cell>
          <cell r="D321" t="str">
            <v>Standard</v>
          </cell>
          <cell r="G321" t="str">
            <v>FGO @ WAT</v>
          </cell>
          <cell r="H321" t="str">
            <v>Vs. Conference</v>
          </cell>
          <cell r="I321" t="str">
            <v>FARGO</v>
          </cell>
          <cell r="AC321">
            <v>29</v>
          </cell>
          <cell r="AD321">
            <v>9</v>
          </cell>
          <cell r="AJ321">
            <v>0</v>
          </cell>
          <cell r="AK321">
            <v>0</v>
          </cell>
          <cell r="AN321">
            <v>7</v>
          </cell>
          <cell r="AO321">
            <v>1</v>
          </cell>
          <cell r="AP321">
            <v>0</v>
          </cell>
          <cell r="AQ321">
            <v>1</v>
          </cell>
          <cell r="AR321">
            <v>0</v>
          </cell>
          <cell r="AS321">
            <v>0</v>
          </cell>
          <cell r="BA321" t="str">
            <v>WATERLOO</v>
          </cell>
          <cell r="BU321">
            <v>23</v>
          </cell>
          <cell r="BV321">
            <v>6</v>
          </cell>
          <cell r="CB321">
            <v>0</v>
          </cell>
          <cell r="CC321">
            <v>0</v>
          </cell>
          <cell r="CF321">
            <v>4</v>
          </cell>
          <cell r="CG321">
            <v>1</v>
          </cell>
          <cell r="CH321">
            <v>0</v>
          </cell>
          <cell r="CI321">
            <v>1</v>
          </cell>
          <cell r="CJ321">
            <v>0</v>
          </cell>
          <cell r="CK321">
            <v>0</v>
          </cell>
        </row>
        <row r="322">
          <cell r="A322">
            <v>43497</v>
          </cell>
          <cell r="B322">
            <v>0.83680555555555547</v>
          </cell>
          <cell r="C322">
            <v>0.79513888888888884</v>
          </cell>
          <cell r="D322" t="str">
            <v>Standard</v>
          </cell>
          <cell r="G322" t="str">
            <v>CIL @ DM</v>
          </cell>
          <cell r="H322" t="str">
            <v>Vs. Non-Conference</v>
          </cell>
          <cell r="I322" t="str">
            <v>CENTRAL ILLINOIS</v>
          </cell>
          <cell r="AC322">
            <v>10</v>
          </cell>
          <cell r="AD322">
            <v>5</v>
          </cell>
          <cell r="AJ322">
            <v>0</v>
          </cell>
          <cell r="AK322">
            <v>0</v>
          </cell>
          <cell r="AN322">
            <v>5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BA322" t="str">
            <v>DES MOINES</v>
          </cell>
          <cell r="BU322">
            <v>8</v>
          </cell>
          <cell r="BV322">
            <v>4</v>
          </cell>
          <cell r="CB322">
            <v>0</v>
          </cell>
          <cell r="CC322">
            <v>0</v>
          </cell>
          <cell r="CF322">
            <v>4</v>
          </cell>
          <cell r="CG322">
            <v>0</v>
          </cell>
          <cell r="CH322">
            <v>0</v>
          </cell>
          <cell r="CI322">
            <v>0</v>
          </cell>
          <cell r="CJ322">
            <v>0</v>
          </cell>
          <cell r="CK322">
            <v>0</v>
          </cell>
        </row>
        <row r="323">
          <cell r="A323">
            <v>43497</v>
          </cell>
          <cell r="B323">
            <v>0.83680555555555547</v>
          </cell>
          <cell r="C323">
            <v>0.79513888888888884</v>
          </cell>
          <cell r="D323" t="str">
            <v>Standard</v>
          </cell>
          <cell r="G323" t="str">
            <v>MUS @ SC</v>
          </cell>
          <cell r="H323" t="str">
            <v>Vs. Non-Conference</v>
          </cell>
          <cell r="I323" t="str">
            <v>MUSKEGON</v>
          </cell>
          <cell r="AC323">
            <v>23</v>
          </cell>
          <cell r="AD323">
            <v>6</v>
          </cell>
          <cell r="AJ323">
            <v>0</v>
          </cell>
          <cell r="AK323">
            <v>0</v>
          </cell>
          <cell r="AN323">
            <v>4</v>
          </cell>
          <cell r="AO323">
            <v>1</v>
          </cell>
          <cell r="AP323">
            <v>1</v>
          </cell>
          <cell r="AQ323">
            <v>0</v>
          </cell>
          <cell r="AR323">
            <v>0</v>
          </cell>
          <cell r="AS323">
            <v>0</v>
          </cell>
          <cell r="BA323" t="str">
            <v>SIOUX CITY</v>
          </cell>
          <cell r="BU323">
            <v>23</v>
          </cell>
          <cell r="BV323">
            <v>6</v>
          </cell>
          <cell r="CB323">
            <v>0</v>
          </cell>
          <cell r="CC323">
            <v>0</v>
          </cell>
          <cell r="CF323">
            <v>4</v>
          </cell>
          <cell r="CG323">
            <v>1</v>
          </cell>
          <cell r="CH323">
            <v>1</v>
          </cell>
          <cell r="CI323">
            <v>0</v>
          </cell>
          <cell r="CJ323">
            <v>0</v>
          </cell>
          <cell r="CK323">
            <v>0</v>
          </cell>
        </row>
        <row r="324">
          <cell r="A324">
            <v>43497</v>
          </cell>
          <cell r="B324">
            <v>0.85763888888888884</v>
          </cell>
          <cell r="C324">
            <v>0.81597222222222221</v>
          </cell>
          <cell r="D324" t="str">
            <v>Standard</v>
          </cell>
          <cell r="G324" t="str">
            <v>MAD @ OMA</v>
          </cell>
          <cell r="H324" t="str">
            <v>Vs. Non-Conference</v>
          </cell>
          <cell r="I324" t="str">
            <v>MADISON</v>
          </cell>
          <cell r="AC324">
            <v>4</v>
          </cell>
          <cell r="AD324">
            <v>2</v>
          </cell>
          <cell r="AJ324">
            <v>0</v>
          </cell>
          <cell r="AK324">
            <v>0</v>
          </cell>
          <cell r="AN324">
            <v>2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BA324" t="str">
            <v>OMAHA</v>
          </cell>
          <cell r="BU324">
            <v>2</v>
          </cell>
          <cell r="BV324">
            <v>1</v>
          </cell>
          <cell r="CB324">
            <v>0</v>
          </cell>
          <cell r="CC324">
            <v>0</v>
          </cell>
          <cell r="CF324">
            <v>1</v>
          </cell>
          <cell r="CG324">
            <v>0</v>
          </cell>
          <cell r="CH324">
            <v>0</v>
          </cell>
          <cell r="CI324">
            <v>0</v>
          </cell>
          <cell r="CJ324">
            <v>0</v>
          </cell>
          <cell r="CK324">
            <v>0</v>
          </cell>
        </row>
        <row r="325">
          <cell r="A325">
            <v>43498</v>
          </cell>
          <cell r="B325">
            <v>0.83680555555555547</v>
          </cell>
          <cell r="C325">
            <v>0.79513888888888884</v>
          </cell>
          <cell r="D325" t="str">
            <v>Standard</v>
          </cell>
          <cell r="G325" t="str">
            <v>GB @ CR</v>
          </cell>
          <cell r="H325" t="str">
            <v>Vs. Conference</v>
          </cell>
          <cell r="I325" t="str">
            <v>GREEN BAY</v>
          </cell>
          <cell r="AC325">
            <v>8</v>
          </cell>
          <cell r="AD325">
            <v>4</v>
          </cell>
          <cell r="AJ325">
            <v>0</v>
          </cell>
          <cell r="AK325">
            <v>0</v>
          </cell>
          <cell r="AN325">
            <v>4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BA325" t="str">
            <v>CEDAR RAPIDS</v>
          </cell>
          <cell r="BU325">
            <v>6</v>
          </cell>
          <cell r="BV325">
            <v>3</v>
          </cell>
          <cell r="CB325">
            <v>0</v>
          </cell>
          <cell r="CC325">
            <v>0</v>
          </cell>
          <cell r="CF325">
            <v>3</v>
          </cell>
          <cell r="CG325">
            <v>0</v>
          </cell>
          <cell r="CH325">
            <v>0</v>
          </cell>
          <cell r="CI325">
            <v>0</v>
          </cell>
          <cell r="CJ325">
            <v>0</v>
          </cell>
          <cell r="CK325">
            <v>0</v>
          </cell>
        </row>
        <row r="326">
          <cell r="A326">
            <v>43498</v>
          </cell>
          <cell r="B326">
            <v>0.83680555555555547</v>
          </cell>
          <cell r="C326">
            <v>0.79513888888888884</v>
          </cell>
          <cell r="D326" t="str">
            <v>Standard</v>
          </cell>
          <cell r="G326" t="str">
            <v>YNG @ CHI</v>
          </cell>
          <cell r="H326" t="str">
            <v>Vs. Conference</v>
          </cell>
          <cell r="I326" t="str">
            <v>YOUNGSTOWN</v>
          </cell>
          <cell r="AC326">
            <v>16</v>
          </cell>
          <cell r="AD326">
            <v>8</v>
          </cell>
          <cell r="AJ326">
            <v>0</v>
          </cell>
          <cell r="AK326">
            <v>0</v>
          </cell>
          <cell r="AN326">
            <v>8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BA326" t="str">
            <v>CHICAGO</v>
          </cell>
          <cell r="BU326">
            <v>8</v>
          </cell>
          <cell r="BV326">
            <v>4</v>
          </cell>
          <cell r="CB326">
            <v>0</v>
          </cell>
          <cell r="CC326">
            <v>0</v>
          </cell>
          <cell r="CF326">
            <v>4</v>
          </cell>
          <cell r="CG326">
            <v>0</v>
          </cell>
          <cell r="CH326">
            <v>0</v>
          </cell>
          <cell r="CI326">
            <v>0</v>
          </cell>
          <cell r="CJ326">
            <v>0</v>
          </cell>
          <cell r="CK326">
            <v>0</v>
          </cell>
        </row>
        <row r="327">
          <cell r="A327">
            <v>43498</v>
          </cell>
          <cell r="B327">
            <v>0.83680555555555547</v>
          </cell>
          <cell r="C327">
            <v>0.79513888888888884</v>
          </cell>
          <cell r="D327" t="str">
            <v>Standard</v>
          </cell>
          <cell r="G327" t="str">
            <v>TC @ DM</v>
          </cell>
          <cell r="H327" t="str">
            <v>Vs. Conference</v>
          </cell>
          <cell r="I327" t="str">
            <v>TRI-CITY</v>
          </cell>
          <cell r="AC327">
            <v>27</v>
          </cell>
          <cell r="AD327">
            <v>8</v>
          </cell>
          <cell r="AJ327">
            <v>0</v>
          </cell>
          <cell r="AK327">
            <v>0</v>
          </cell>
          <cell r="AN327">
            <v>6</v>
          </cell>
          <cell r="AO327">
            <v>1</v>
          </cell>
          <cell r="AP327">
            <v>1</v>
          </cell>
          <cell r="AQ327">
            <v>0</v>
          </cell>
          <cell r="AR327">
            <v>0</v>
          </cell>
          <cell r="AS327">
            <v>0</v>
          </cell>
          <cell r="BA327" t="str">
            <v>DES MOINES</v>
          </cell>
          <cell r="BU327">
            <v>25</v>
          </cell>
          <cell r="BV327">
            <v>7</v>
          </cell>
          <cell r="CB327">
            <v>0</v>
          </cell>
          <cell r="CC327">
            <v>0</v>
          </cell>
          <cell r="CF327">
            <v>5</v>
          </cell>
          <cell r="CG327">
            <v>1</v>
          </cell>
          <cell r="CH327">
            <v>1</v>
          </cell>
          <cell r="CI327">
            <v>0</v>
          </cell>
          <cell r="CJ327">
            <v>0</v>
          </cell>
          <cell r="CK327">
            <v>0</v>
          </cell>
        </row>
        <row r="328">
          <cell r="A328">
            <v>43498</v>
          </cell>
          <cell r="B328">
            <v>0.83680555555555547</v>
          </cell>
          <cell r="C328">
            <v>0.79513888888888884</v>
          </cell>
          <cell r="D328" t="str">
            <v>Standard</v>
          </cell>
          <cell r="G328" t="str">
            <v>LIN @ OMA</v>
          </cell>
          <cell r="H328" t="str">
            <v>Vs. Conference</v>
          </cell>
          <cell r="I328" t="str">
            <v>LINCOLN</v>
          </cell>
          <cell r="AC328">
            <v>16</v>
          </cell>
          <cell r="AD328">
            <v>8</v>
          </cell>
          <cell r="AJ328">
            <v>0</v>
          </cell>
          <cell r="AK328">
            <v>0</v>
          </cell>
          <cell r="AN328">
            <v>8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BA328" t="str">
            <v>OMAHA</v>
          </cell>
          <cell r="BU328">
            <v>14</v>
          </cell>
          <cell r="BV328">
            <v>7</v>
          </cell>
          <cell r="CB328">
            <v>0</v>
          </cell>
          <cell r="CC328">
            <v>0</v>
          </cell>
          <cell r="CF328">
            <v>7</v>
          </cell>
          <cell r="CG328">
            <v>0</v>
          </cell>
          <cell r="CH328">
            <v>0</v>
          </cell>
          <cell r="CI328">
            <v>0</v>
          </cell>
          <cell r="CJ328">
            <v>0</v>
          </cell>
          <cell r="CK328">
            <v>0</v>
          </cell>
        </row>
        <row r="329">
          <cell r="A329">
            <v>43498</v>
          </cell>
          <cell r="B329">
            <v>0.83680555555555547</v>
          </cell>
          <cell r="C329">
            <v>0.79513888888888884</v>
          </cell>
          <cell r="D329" t="str">
            <v>Standard</v>
          </cell>
          <cell r="G329" t="str">
            <v>FGO @ DUB</v>
          </cell>
          <cell r="H329" t="str">
            <v>Vs. Non-Conference</v>
          </cell>
          <cell r="I329" t="str">
            <v>FARGO</v>
          </cell>
          <cell r="AC329">
            <v>8</v>
          </cell>
          <cell r="AD329">
            <v>5</v>
          </cell>
          <cell r="AJ329">
            <v>0</v>
          </cell>
          <cell r="AK329">
            <v>0</v>
          </cell>
          <cell r="AN329">
            <v>4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BA329" t="str">
            <v>DUBUQUE</v>
          </cell>
          <cell r="BU329">
            <v>20</v>
          </cell>
          <cell r="BV329">
            <v>6</v>
          </cell>
          <cell r="CB329">
            <v>0</v>
          </cell>
          <cell r="CC329">
            <v>1</v>
          </cell>
          <cell r="CF329">
            <v>5</v>
          </cell>
          <cell r="CG329">
            <v>0</v>
          </cell>
          <cell r="CH329">
            <v>1</v>
          </cell>
          <cell r="CI329">
            <v>0</v>
          </cell>
          <cell r="CJ329">
            <v>0</v>
          </cell>
          <cell r="CK329">
            <v>1</v>
          </cell>
        </row>
        <row r="330">
          <cell r="A330">
            <v>43498</v>
          </cell>
          <cell r="B330">
            <v>0.83680555555555547</v>
          </cell>
          <cell r="C330">
            <v>0.79513888888888884</v>
          </cell>
          <cell r="D330" t="str">
            <v>Standard</v>
          </cell>
          <cell r="G330" t="str">
            <v>MAD @ SC</v>
          </cell>
          <cell r="H330" t="str">
            <v>Vs. Non-Conference</v>
          </cell>
          <cell r="I330" t="str">
            <v>MADISON</v>
          </cell>
          <cell r="AC330">
            <v>10</v>
          </cell>
          <cell r="AD330">
            <v>5</v>
          </cell>
          <cell r="AJ330">
            <v>0</v>
          </cell>
          <cell r="AK330">
            <v>0</v>
          </cell>
          <cell r="AN330">
            <v>5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BA330" t="str">
            <v>SIOUX CITY</v>
          </cell>
          <cell r="BU330">
            <v>8</v>
          </cell>
          <cell r="BV330">
            <v>4</v>
          </cell>
          <cell r="CB330">
            <v>0</v>
          </cell>
          <cell r="CC330">
            <v>0</v>
          </cell>
          <cell r="CF330">
            <v>4</v>
          </cell>
          <cell r="CG330">
            <v>0</v>
          </cell>
          <cell r="CH330">
            <v>0</v>
          </cell>
          <cell r="CI330">
            <v>0</v>
          </cell>
          <cell r="CJ330">
            <v>0</v>
          </cell>
          <cell r="CK330">
            <v>0</v>
          </cell>
        </row>
        <row r="331">
          <cell r="A331">
            <v>43498</v>
          </cell>
          <cell r="B331">
            <v>0.83680555555555547</v>
          </cell>
          <cell r="C331">
            <v>0.79513888888888884</v>
          </cell>
          <cell r="D331" t="str">
            <v>Standard</v>
          </cell>
          <cell r="G331" t="str">
            <v>MUS @ WAT</v>
          </cell>
          <cell r="H331" t="str">
            <v>Vs. Non-Conference</v>
          </cell>
          <cell r="I331" t="str">
            <v>MUSKEGON</v>
          </cell>
          <cell r="AC331">
            <v>29</v>
          </cell>
          <cell r="AD331">
            <v>9</v>
          </cell>
          <cell r="AJ331">
            <v>0</v>
          </cell>
          <cell r="AK331">
            <v>0</v>
          </cell>
          <cell r="AN331">
            <v>7</v>
          </cell>
          <cell r="AO331">
            <v>1</v>
          </cell>
          <cell r="AP331">
            <v>1</v>
          </cell>
          <cell r="AQ331">
            <v>0</v>
          </cell>
          <cell r="AR331">
            <v>0</v>
          </cell>
          <cell r="AS331">
            <v>0</v>
          </cell>
          <cell r="BA331" t="str">
            <v>WATERLOO</v>
          </cell>
          <cell r="BU331">
            <v>37</v>
          </cell>
          <cell r="BV331">
            <v>9</v>
          </cell>
          <cell r="CB331">
            <v>0</v>
          </cell>
          <cell r="CC331">
            <v>0</v>
          </cell>
          <cell r="CF331">
            <v>6</v>
          </cell>
          <cell r="CG331">
            <v>1</v>
          </cell>
          <cell r="CH331">
            <v>2</v>
          </cell>
          <cell r="CI331">
            <v>0</v>
          </cell>
          <cell r="CJ331">
            <v>0</v>
          </cell>
          <cell r="CK331">
            <v>0</v>
          </cell>
        </row>
        <row r="332">
          <cell r="A332">
            <v>43504</v>
          </cell>
          <cell r="B332">
            <v>0.79513888888888884</v>
          </cell>
          <cell r="C332">
            <v>0.75347222222222221</v>
          </cell>
          <cell r="D332" t="str">
            <v>Standard</v>
          </cell>
          <cell r="G332" t="str">
            <v>LIN @ YNG</v>
          </cell>
          <cell r="H332" t="str">
            <v>Vs. Non-Conference</v>
          </cell>
          <cell r="I332" t="str">
            <v>LINCOLN</v>
          </cell>
          <cell r="AC332">
            <v>10</v>
          </cell>
          <cell r="AD332">
            <v>5</v>
          </cell>
          <cell r="AJ332">
            <v>0</v>
          </cell>
          <cell r="AK332">
            <v>0</v>
          </cell>
          <cell r="AN332">
            <v>5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BA332" t="str">
            <v>YOUNGSTOWN</v>
          </cell>
          <cell r="BU332">
            <v>6</v>
          </cell>
          <cell r="BV332">
            <v>3</v>
          </cell>
          <cell r="CB332">
            <v>0</v>
          </cell>
          <cell r="CC332">
            <v>0</v>
          </cell>
          <cell r="CF332">
            <v>3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</row>
        <row r="333">
          <cell r="A333">
            <v>43504</v>
          </cell>
          <cell r="B333">
            <v>0.80208333333333337</v>
          </cell>
          <cell r="C333">
            <v>0.76041666666666674</v>
          </cell>
          <cell r="D333" t="str">
            <v>Standard</v>
          </cell>
          <cell r="G333" t="str">
            <v>CIL @ MUS</v>
          </cell>
          <cell r="H333" t="str">
            <v>Vs. Conference</v>
          </cell>
          <cell r="I333" t="str">
            <v>CENTRAL ILLINOIS</v>
          </cell>
          <cell r="AC333">
            <v>31</v>
          </cell>
          <cell r="AD333">
            <v>10</v>
          </cell>
          <cell r="AJ333">
            <v>0</v>
          </cell>
          <cell r="AK333">
            <v>0</v>
          </cell>
          <cell r="AN333">
            <v>8</v>
          </cell>
          <cell r="AO333">
            <v>1</v>
          </cell>
          <cell r="AP333">
            <v>0</v>
          </cell>
          <cell r="AQ333">
            <v>1</v>
          </cell>
          <cell r="AR333">
            <v>0</v>
          </cell>
          <cell r="AS333">
            <v>0</v>
          </cell>
          <cell r="BA333" t="str">
            <v>MUSKEGON</v>
          </cell>
          <cell r="BU333">
            <v>35</v>
          </cell>
          <cell r="BV333">
            <v>12</v>
          </cell>
          <cell r="CB333">
            <v>0</v>
          </cell>
          <cell r="CC333">
            <v>0</v>
          </cell>
          <cell r="CF333">
            <v>10</v>
          </cell>
          <cell r="CG333">
            <v>1</v>
          </cell>
          <cell r="CH333">
            <v>1</v>
          </cell>
          <cell r="CI333">
            <v>0</v>
          </cell>
          <cell r="CJ333">
            <v>0</v>
          </cell>
          <cell r="CK333">
            <v>0</v>
          </cell>
        </row>
        <row r="334">
          <cell r="A334">
            <v>43504</v>
          </cell>
          <cell r="B334">
            <v>0.83680555555555547</v>
          </cell>
          <cell r="C334">
            <v>0.79513888888888884</v>
          </cell>
          <cell r="D334" t="str">
            <v>Standard</v>
          </cell>
          <cell r="G334" t="str">
            <v>DUB @ CR</v>
          </cell>
          <cell r="H334" t="str">
            <v>Vs. Conference</v>
          </cell>
          <cell r="I334" t="str">
            <v>DUBUQUE</v>
          </cell>
          <cell r="AC334">
            <v>23</v>
          </cell>
          <cell r="AD334">
            <v>6</v>
          </cell>
          <cell r="AJ334">
            <v>0</v>
          </cell>
          <cell r="AK334">
            <v>0</v>
          </cell>
          <cell r="AN334">
            <v>4</v>
          </cell>
          <cell r="AO334">
            <v>1</v>
          </cell>
          <cell r="AP334">
            <v>1</v>
          </cell>
          <cell r="AQ334">
            <v>0</v>
          </cell>
          <cell r="AR334">
            <v>0</v>
          </cell>
          <cell r="AS334">
            <v>0</v>
          </cell>
          <cell r="BA334" t="str">
            <v>CEDAR RAPIDS</v>
          </cell>
          <cell r="BU334">
            <v>17</v>
          </cell>
          <cell r="BV334">
            <v>3</v>
          </cell>
          <cell r="CB334">
            <v>0</v>
          </cell>
          <cell r="CC334">
            <v>0</v>
          </cell>
          <cell r="CF334">
            <v>1</v>
          </cell>
          <cell r="CG334">
            <v>1</v>
          </cell>
          <cell r="CH334">
            <v>1</v>
          </cell>
          <cell r="CI334">
            <v>0</v>
          </cell>
          <cell r="CJ334">
            <v>0</v>
          </cell>
          <cell r="CK334">
            <v>0</v>
          </cell>
        </row>
        <row r="335">
          <cell r="A335">
            <v>43504</v>
          </cell>
          <cell r="B335">
            <v>0.83680555555555547</v>
          </cell>
          <cell r="C335">
            <v>0.79513888888888884</v>
          </cell>
          <cell r="D335" t="str">
            <v>Standard</v>
          </cell>
          <cell r="G335" t="str">
            <v>WAT @ DM</v>
          </cell>
          <cell r="H335" t="str">
            <v>Vs. Conference</v>
          </cell>
          <cell r="I335" t="str">
            <v>WATERLOO</v>
          </cell>
          <cell r="AC335">
            <v>14</v>
          </cell>
          <cell r="AD335">
            <v>7</v>
          </cell>
          <cell r="AJ335">
            <v>0</v>
          </cell>
          <cell r="AK335">
            <v>0</v>
          </cell>
          <cell r="AN335">
            <v>7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BA335" t="str">
            <v>DES MOINES</v>
          </cell>
          <cell r="BU335">
            <v>10</v>
          </cell>
          <cell r="BV335">
            <v>5</v>
          </cell>
          <cell r="CB335">
            <v>0</v>
          </cell>
          <cell r="CC335">
            <v>0</v>
          </cell>
          <cell r="CF335">
            <v>5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</row>
        <row r="336">
          <cell r="A336">
            <v>43504</v>
          </cell>
          <cell r="B336">
            <v>0.83680555555555547</v>
          </cell>
          <cell r="C336">
            <v>0.79513888888888884</v>
          </cell>
          <cell r="D336" t="str">
            <v>Standard</v>
          </cell>
          <cell r="G336" t="str">
            <v>MAD @ FGO</v>
          </cell>
          <cell r="H336" t="str">
            <v>Vs. Non-Conference</v>
          </cell>
          <cell r="I336" t="str">
            <v>MADISON</v>
          </cell>
          <cell r="AC336">
            <v>21</v>
          </cell>
          <cell r="AD336">
            <v>5</v>
          </cell>
          <cell r="AJ336">
            <v>0</v>
          </cell>
          <cell r="AK336">
            <v>0</v>
          </cell>
          <cell r="AN336">
            <v>3</v>
          </cell>
          <cell r="AO336">
            <v>1</v>
          </cell>
          <cell r="AP336">
            <v>1</v>
          </cell>
          <cell r="AQ336">
            <v>0</v>
          </cell>
          <cell r="AR336">
            <v>0</v>
          </cell>
          <cell r="AS336">
            <v>0</v>
          </cell>
          <cell r="BA336" t="str">
            <v>FARGO</v>
          </cell>
          <cell r="BU336">
            <v>21</v>
          </cell>
          <cell r="BV336">
            <v>5</v>
          </cell>
          <cell r="CB336">
            <v>0</v>
          </cell>
          <cell r="CC336">
            <v>0</v>
          </cell>
          <cell r="CF336">
            <v>3</v>
          </cell>
          <cell r="CG336">
            <v>1</v>
          </cell>
          <cell r="CH336">
            <v>1</v>
          </cell>
          <cell r="CI336">
            <v>0</v>
          </cell>
          <cell r="CJ336">
            <v>0</v>
          </cell>
          <cell r="CK336">
            <v>0</v>
          </cell>
        </row>
        <row r="337">
          <cell r="A337">
            <v>43504</v>
          </cell>
          <cell r="B337">
            <v>0.83680555555555547</v>
          </cell>
          <cell r="C337">
            <v>0.79513888888888884</v>
          </cell>
          <cell r="D337" t="str">
            <v>Standard</v>
          </cell>
          <cell r="G337" t="str">
            <v>CHI @ SF</v>
          </cell>
          <cell r="H337" t="str">
            <v>Vs. Non-Conference</v>
          </cell>
          <cell r="I337" t="str">
            <v>CHICAGO</v>
          </cell>
          <cell r="AC337">
            <v>6</v>
          </cell>
          <cell r="AD337">
            <v>3</v>
          </cell>
          <cell r="AJ337">
            <v>0</v>
          </cell>
          <cell r="AK337">
            <v>0</v>
          </cell>
          <cell r="AN337">
            <v>3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BA337" t="str">
            <v>SIOUX FALLS</v>
          </cell>
          <cell r="BU337">
            <v>6</v>
          </cell>
          <cell r="BV337">
            <v>3</v>
          </cell>
          <cell r="CB337">
            <v>0</v>
          </cell>
          <cell r="CC337">
            <v>0</v>
          </cell>
          <cell r="CF337">
            <v>3</v>
          </cell>
          <cell r="CG337">
            <v>0</v>
          </cell>
          <cell r="CH337">
            <v>0</v>
          </cell>
          <cell r="CI337">
            <v>0</v>
          </cell>
          <cell r="CJ337">
            <v>0</v>
          </cell>
          <cell r="CK337">
            <v>0</v>
          </cell>
        </row>
        <row r="338">
          <cell r="A338">
            <v>43504</v>
          </cell>
          <cell r="B338">
            <v>0.83680555555555547</v>
          </cell>
          <cell r="C338">
            <v>0.79513888888888884</v>
          </cell>
          <cell r="D338" t="str">
            <v>Standard</v>
          </cell>
          <cell r="G338" t="str">
            <v>GB @ TC</v>
          </cell>
          <cell r="H338" t="str">
            <v>Vs. Non-Conference</v>
          </cell>
          <cell r="I338" t="str">
            <v>GREEN BAY</v>
          </cell>
          <cell r="AC338">
            <v>6</v>
          </cell>
          <cell r="AD338">
            <v>3</v>
          </cell>
          <cell r="AJ338">
            <v>0</v>
          </cell>
          <cell r="AK338">
            <v>0</v>
          </cell>
          <cell r="AN338">
            <v>3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BA338" t="str">
            <v>TRI-CITY</v>
          </cell>
          <cell r="BU338">
            <v>4</v>
          </cell>
          <cell r="BV338">
            <v>2</v>
          </cell>
          <cell r="CB338">
            <v>0</v>
          </cell>
          <cell r="CC338">
            <v>0</v>
          </cell>
          <cell r="CF338">
            <v>2</v>
          </cell>
          <cell r="CG338">
            <v>0</v>
          </cell>
          <cell r="CH338">
            <v>0</v>
          </cell>
          <cell r="CI338">
            <v>0</v>
          </cell>
          <cell r="CJ338">
            <v>0</v>
          </cell>
          <cell r="CK338">
            <v>0</v>
          </cell>
        </row>
        <row r="339">
          <cell r="A339">
            <v>43504</v>
          </cell>
          <cell r="B339">
            <v>0.85763888888888884</v>
          </cell>
          <cell r="C339">
            <v>0.81597222222222221</v>
          </cell>
          <cell r="D339" t="str">
            <v>Standard</v>
          </cell>
          <cell r="G339" t="str">
            <v>SC @ OMA</v>
          </cell>
          <cell r="H339" t="str">
            <v>Vs. Conference</v>
          </cell>
          <cell r="I339" t="str">
            <v>SIOUX CITY</v>
          </cell>
          <cell r="AC339">
            <v>37</v>
          </cell>
          <cell r="AD339">
            <v>9</v>
          </cell>
          <cell r="AJ339">
            <v>0</v>
          </cell>
          <cell r="AK339">
            <v>0</v>
          </cell>
          <cell r="AN339">
            <v>6</v>
          </cell>
          <cell r="AO339">
            <v>1</v>
          </cell>
          <cell r="AP339">
            <v>2</v>
          </cell>
          <cell r="AQ339">
            <v>0</v>
          </cell>
          <cell r="AR339">
            <v>0</v>
          </cell>
          <cell r="AS339">
            <v>0</v>
          </cell>
          <cell r="BA339" t="str">
            <v>OMAHA</v>
          </cell>
          <cell r="BU339">
            <v>21</v>
          </cell>
          <cell r="BV339">
            <v>5</v>
          </cell>
          <cell r="CB339">
            <v>0</v>
          </cell>
          <cell r="CC339">
            <v>0</v>
          </cell>
          <cell r="CF339">
            <v>3</v>
          </cell>
          <cell r="CG339">
            <v>1</v>
          </cell>
          <cell r="CH339">
            <v>0</v>
          </cell>
          <cell r="CI339">
            <v>1</v>
          </cell>
          <cell r="CJ339">
            <v>0</v>
          </cell>
          <cell r="CK339">
            <v>0</v>
          </cell>
        </row>
        <row r="340">
          <cell r="A340">
            <v>43505</v>
          </cell>
          <cell r="B340">
            <v>0.79513888888888884</v>
          </cell>
          <cell r="C340">
            <v>0.75347222222222221</v>
          </cell>
          <cell r="D340" t="str">
            <v>Standard</v>
          </cell>
          <cell r="G340" t="str">
            <v>LIN @ YNG</v>
          </cell>
          <cell r="H340" t="str">
            <v>Vs. Non-Conference</v>
          </cell>
          <cell r="I340" t="str">
            <v>LINCOLN</v>
          </cell>
          <cell r="AC340">
            <v>54</v>
          </cell>
          <cell r="AD340">
            <v>15</v>
          </cell>
          <cell r="AJ340">
            <v>0</v>
          </cell>
          <cell r="AK340">
            <v>0</v>
          </cell>
          <cell r="AN340">
            <v>12</v>
          </cell>
          <cell r="AO340">
            <v>0</v>
          </cell>
          <cell r="AP340">
            <v>3</v>
          </cell>
          <cell r="AQ340">
            <v>0</v>
          </cell>
          <cell r="AR340">
            <v>0</v>
          </cell>
          <cell r="AS340">
            <v>0</v>
          </cell>
          <cell r="BA340" t="str">
            <v>YOUNGSTOWN</v>
          </cell>
          <cell r="BU340">
            <v>50</v>
          </cell>
          <cell r="BV340">
            <v>13</v>
          </cell>
          <cell r="CB340">
            <v>0</v>
          </cell>
          <cell r="CC340">
            <v>0</v>
          </cell>
          <cell r="CF340">
            <v>10</v>
          </cell>
          <cell r="CG340">
            <v>0</v>
          </cell>
          <cell r="CH340">
            <v>3</v>
          </cell>
          <cell r="CI340">
            <v>0</v>
          </cell>
          <cell r="CJ340">
            <v>0</v>
          </cell>
          <cell r="CK340">
            <v>0</v>
          </cell>
        </row>
        <row r="341">
          <cell r="A341">
            <v>43505</v>
          </cell>
          <cell r="B341">
            <v>0.80208333333333337</v>
          </cell>
          <cell r="C341">
            <v>0.76041666666666674</v>
          </cell>
          <cell r="D341" t="str">
            <v>Standard</v>
          </cell>
          <cell r="G341" t="str">
            <v>CIL @ MUS</v>
          </cell>
          <cell r="H341" t="str">
            <v>Vs. Conference</v>
          </cell>
          <cell r="I341" t="str">
            <v>CENTRAL ILLINOIS</v>
          </cell>
          <cell r="AC341">
            <v>12</v>
          </cell>
          <cell r="AD341">
            <v>6</v>
          </cell>
          <cell r="AJ341">
            <v>0</v>
          </cell>
          <cell r="AK341">
            <v>0</v>
          </cell>
          <cell r="AN341">
            <v>6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BA341" t="str">
            <v>MUSKEGON</v>
          </cell>
          <cell r="BU341">
            <v>12</v>
          </cell>
          <cell r="BV341">
            <v>6</v>
          </cell>
          <cell r="CB341">
            <v>0</v>
          </cell>
          <cell r="CC341">
            <v>0</v>
          </cell>
          <cell r="CF341">
            <v>6</v>
          </cell>
          <cell r="CG341">
            <v>0</v>
          </cell>
          <cell r="CH341">
            <v>0</v>
          </cell>
          <cell r="CI341">
            <v>0</v>
          </cell>
          <cell r="CJ341">
            <v>0</v>
          </cell>
          <cell r="CK341">
            <v>0</v>
          </cell>
        </row>
        <row r="342">
          <cell r="A342">
            <v>43505</v>
          </cell>
          <cell r="B342">
            <v>0.83680555555555547</v>
          </cell>
          <cell r="C342">
            <v>0.79513888888888884</v>
          </cell>
          <cell r="D342" t="str">
            <v>Standard</v>
          </cell>
          <cell r="G342" t="str">
            <v>OMA @ DM</v>
          </cell>
          <cell r="H342" t="str">
            <v>Vs. Conference</v>
          </cell>
          <cell r="I342" t="str">
            <v>OMAHA</v>
          </cell>
          <cell r="AC342">
            <v>8</v>
          </cell>
          <cell r="AD342">
            <v>4</v>
          </cell>
          <cell r="AJ342">
            <v>0</v>
          </cell>
          <cell r="AK342">
            <v>0</v>
          </cell>
          <cell r="AN342">
            <v>4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BA342" t="str">
            <v>DES MOINES</v>
          </cell>
          <cell r="BU342">
            <v>6</v>
          </cell>
          <cell r="BV342">
            <v>3</v>
          </cell>
          <cell r="CB342">
            <v>0</v>
          </cell>
          <cell r="CC342">
            <v>0</v>
          </cell>
          <cell r="CF342">
            <v>3</v>
          </cell>
          <cell r="CG342">
            <v>0</v>
          </cell>
          <cell r="CH342">
            <v>0</v>
          </cell>
          <cell r="CI342">
            <v>0</v>
          </cell>
          <cell r="CJ342">
            <v>0</v>
          </cell>
          <cell r="CK342">
            <v>0</v>
          </cell>
        </row>
        <row r="343">
          <cell r="A343">
            <v>43505</v>
          </cell>
          <cell r="B343">
            <v>0.83680555555555547</v>
          </cell>
          <cell r="C343">
            <v>0.79513888888888884</v>
          </cell>
          <cell r="D343" t="str">
            <v>Standard</v>
          </cell>
          <cell r="G343" t="str">
            <v>CR @ DUB</v>
          </cell>
          <cell r="H343" t="str">
            <v>Vs. Conference</v>
          </cell>
          <cell r="I343" t="str">
            <v>CEDAR RAPIDS</v>
          </cell>
          <cell r="AC343">
            <v>2</v>
          </cell>
          <cell r="AD343">
            <v>1</v>
          </cell>
          <cell r="AJ343">
            <v>0</v>
          </cell>
          <cell r="AK343">
            <v>0</v>
          </cell>
          <cell r="AN343">
            <v>1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BA343" t="str">
            <v>DUBUQUE</v>
          </cell>
          <cell r="BU343">
            <v>31</v>
          </cell>
          <cell r="BV343">
            <v>6</v>
          </cell>
          <cell r="CB343">
            <v>0</v>
          </cell>
          <cell r="CC343">
            <v>0</v>
          </cell>
          <cell r="CF343">
            <v>3</v>
          </cell>
          <cell r="CG343">
            <v>1</v>
          </cell>
          <cell r="CH343">
            <v>1</v>
          </cell>
          <cell r="CI343">
            <v>1</v>
          </cell>
          <cell r="CJ343">
            <v>0</v>
          </cell>
          <cell r="CK343">
            <v>0</v>
          </cell>
        </row>
        <row r="344">
          <cell r="A344">
            <v>43505</v>
          </cell>
          <cell r="B344">
            <v>0.83680555555555547</v>
          </cell>
          <cell r="C344">
            <v>0.79513888888888884</v>
          </cell>
          <cell r="D344" t="str">
            <v>Standard</v>
          </cell>
          <cell r="G344" t="str">
            <v>SF @ WAT</v>
          </cell>
          <cell r="H344" t="str">
            <v>Vs. Conference</v>
          </cell>
          <cell r="I344" t="str">
            <v>SIOUX FALLS</v>
          </cell>
          <cell r="AC344">
            <v>10</v>
          </cell>
          <cell r="AD344">
            <v>5</v>
          </cell>
          <cell r="AJ344">
            <v>0</v>
          </cell>
          <cell r="AK344">
            <v>0</v>
          </cell>
          <cell r="AN344">
            <v>5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BA344" t="str">
            <v>WATERLOO</v>
          </cell>
          <cell r="BU344">
            <v>10</v>
          </cell>
          <cell r="BV344">
            <v>5</v>
          </cell>
          <cell r="CB344">
            <v>0</v>
          </cell>
          <cell r="CC344">
            <v>0</v>
          </cell>
          <cell r="CF344">
            <v>5</v>
          </cell>
          <cell r="CG344">
            <v>0</v>
          </cell>
          <cell r="CH344">
            <v>0</v>
          </cell>
          <cell r="CI344">
            <v>0</v>
          </cell>
          <cell r="CJ344">
            <v>0</v>
          </cell>
          <cell r="CK344">
            <v>0</v>
          </cell>
        </row>
        <row r="345">
          <cell r="A345">
            <v>43505</v>
          </cell>
          <cell r="B345">
            <v>0.83680555555555547</v>
          </cell>
          <cell r="C345">
            <v>0.79513888888888884</v>
          </cell>
          <cell r="D345" t="str">
            <v>Standard</v>
          </cell>
          <cell r="G345" t="str">
            <v>MAD @ FGO</v>
          </cell>
          <cell r="H345" t="str">
            <v>Vs. Non-Conference</v>
          </cell>
          <cell r="I345" t="str">
            <v>MADISON</v>
          </cell>
          <cell r="AC345">
            <v>12</v>
          </cell>
          <cell r="AD345">
            <v>7</v>
          </cell>
          <cell r="AJ345">
            <v>0</v>
          </cell>
          <cell r="AK345">
            <v>0</v>
          </cell>
          <cell r="AN345">
            <v>6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BA345" t="str">
            <v>FARGO</v>
          </cell>
          <cell r="BU345">
            <v>16</v>
          </cell>
          <cell r="BV345">
            <v>8</v>
          </cell>
          <cell r="CB345">
            <v>1</v>
          </cell>
          <cell r="CC345">
            <v>1</v>
          </cell>
          <cell r="CF345">
            <v>8</v>
          </cell>
          <cell r="CG345">
            <v>0</v>
          </cell>
          <cell r="CH345">
            <v>0</v>
          </cell>
          <cell r="CI345">
            <v>0</v>
          </cell>
          <cell r="CJ345">
            <v>0</v>
          </cell>
          <cell r="CK345">
            <v>1</v>
          </cell>
        </row>
        <row r="346">
          <cell r="A346">
            <v>43505</v>
          </cell>
          <cell r="B346">
            <v>0.83680555555555547</v>
          </cell>
          <cell r="C346">
            <v>0.79513888888888884</v>
          </cell>
          <cell r="D346" t="str">
            <v>Standard</v>
          </cell>
          <cell r="G346" t="str">
            <v>CHI @ SC</v>
          </cell>
          <cell r="H346" t="str">
            <v>Vs. Non-Conference</v>
          </cell>
          <cell r="I346" t="str">
            <v>CHICAGO</v>
          </cell>
          <cell r="AC346">
            <v>4</v>
          </cell>
          <cell r="AD346">
            <v>2</v>
          </cell>
          <cell r="AJ346">
            <v>0</v>
          </cell>
          <cell r="AK346">
            <v>0</v>
          </cell>
          <cell r="AN346">
            <v>2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BA346" t="str">
            <v>SIOUX CITY</v>
          </cell>
          <cell r="BU346">
            <v>6</v>
          </cell>
          <cell r="BV346">
            <v>3</v>
          </cell>
          <cell r="CB346">
            <v>0</v>
          </cell>
          <cell r="CC346">
            <v>0</v>
          </cell>
          <cell r="CF346">
            <v>3</v>
          </cell>
          <cell r="CG346">
            <v>0</v>
          </cell>
          <cell r="CH346">
            <v>0</v>
          </cell>
          <cell r="CI346">
            <v>0</v>
          </cell>
          <cell r="CJ346">
            <v>0</v>
          </cell>
          <cell r="CK346">
            <v>0</v>
          </cell>
        </row>
        <row r="347">
          <cell r="A347">
            <v>43505</v>
          </cell>
          <cell r="B347">
            <v>0.83680555555555547</v>
          </cell>
          <cell r="C347">
            <v>0.79513888888888884</v>
          </cell>
          <cell r="D347" t="str">
            <v>Standard</v>
          </cell>
          <cell r="G347" t="str">
            <v>GB @ TC</v>
          </cell>
          <cell r="H347" t="str">
            <v>Vs. Non-Conference</v>
          </cell>
          <cell r="I347" t="str">
            <v>GREEN BAY</v>
          </cell>
          <cell r="AC347">
            <v>25</v>
          </cell>
          <cell r="AD347">
            <v>7</v>
          </cell>
          <cell r="AJ347">
            <v>0</v>
          </cell>
          <cell r="AK347">
            <v>0</v>
          </cell>
          <cell r="AN347">
            <v>5</v>
          </cell>
          <cell r="AO347">
            <v>1</v>
          </cell>
          <cell r="AP347">
            <v>1</v>
          </cell>
          <cell r="AQ347">
            <v>0</v>
          </cell>
          <cell r="AR347">
            <v>0</v>
          </cell>
          <cell r="AS347">
            <v>0</v>
          </cell>
          <cell r="BA347" t="str">
            <v>TRI-CITY</v>
          </cell>
          <cell r="BU347">
            <v>25</v>
          </cell>
          <cell r="BV347">
            <v>7</v>
          </cell>
          <cell r="CB347">
            <v>0</v>
          </cell>
          <cell r="CC347">
            <v>0</v>
          </cell>
          <cell r="CF347">
            <v>5</v>
          </cell>
          <cell r="CG347">
            <v>1</v>
          </cell>
          <cell r="CH347">
            <v>1</v>
          </cell>
          <cell r="CI347">
            <v>0</v>
          </cell>
          <cell r="CJ347">
            <v>0</v>
          </cell>
          <cell r="CK347">
            <v>0</v>
          </cell>
        </row>
        <row r="348">
          <cell r="A348">
            <v>43506</v>
          </cell>
          <cell r="B348">
            <v>0.71180555555555547</v>
          </cell>
          <cell r="C348">
            <v>0.67013888888888884</v>
          </cell>
          <cell r="D348" t="str">
            <v>Standard</v>
          </cell>
          <cell r="G348" t="str">
            <v>DM @ OMA</v>
          </cell>
          <cell r="H348" t="str">
            <v>Vs. Conference</v>
          </cell>
          <cell r="I348" t="str">
            <v>DES MOINES</v>
          </cell>
          <cell r="AC348">
            <v>4</v>
          </cell>
          <cell r="AD348">
            <v>2</v>
          </cell>
          <cell r="AJ348">
            <v>0</v>
          </cell>
          <cell r="AK348">
            <v>0</v>
          </cell>
          <cell r="AN348">
            <v>2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BA348" t="str">
            <v>OMAHA</v>
          </cell>
          <cell r="BU348">
            <v>2</v>
          </cell>
          <cell r="BV348">
            <v>1</v>
          </cell>
          <cell r="CB348">
            <v>0</v>
          </cell>
          <cell r="CC348">
            <v>0</v>
          </cell>
          <cell r="CF348">
            <v>1</v>
          </cell>
          <cell r="CG348">
            <v>0</v>
          </cell>
          <cell r="CH348">
            <v>0</v>
          </cell>
          <cell r="CI348">
            <v>0</v>
          </cell>
          <cell r="CJ348">
            <v>0</v>
          </cell>
          <cell r="CK348">
            <v>0</v>
          </cell>
        </row>
        <row r="349">
          <cell r="A349">
            <v>43507</v>
          </cell>
          <cell r="B349">
            <v>0.83680555555555547</v>
          </cell>
          <cell r="C349">
            <v>0.79513888888888884</v>
          </cell>
          <cell r="D349" t="str">
            <v>Standard</v>
          </cell>
          <cell r="G349" t="str">
            <v>DUB @ MAD</v>
          </cell>
          <cell r="H349" t="str">
            <v>Vs. Conference</v>
          </cell>
          <cell r="I349" t="str">
            <v>DUBUQUE</v>
          </cell>
          <cell r="AC349">
            <v>8</v>
          </cell>
          <cell r="AD349">
            <v>4</v>
          </cell>
          <cell r="AJ349">
            <v>0</v>
          </cell>
          <cell r="AK349">
            <v>0</v>
          </cell>
          <cell r="AN349">
            <v>4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BA349" t="str">
            <v>MADISON</v>
          </cell>
          <cell r="BU349">
            <v>8</v>
          </cell>
          <cell r="BV349">
            <v>4</v>
          </cell>
          <cell r="CB349">
            <v>0</v>
          </cell>
          <cell r="CC349">
            <v>0</v>
          </cell>
          <cell r="CF349">
            <v>4</v>
          </cell>
          <cell r="CG349">
            <v>0</v>
          </cell>
          <cell r="CH349">
            <v>0</v>
          </cell>
          <cell r="CI349">
            <v>0</v>
          </cell>
          <cell r="CJ349">
            <v>0</v>
          </cell>
          <cell r="CK349">
            <v>0</v>
          </cell>
        </row>
        <row r="350">
          <cell r="A350">
            <v>43510</v>
          </cell>
          <cell r="B350">
            <v>0.83680555555555547</v>
          </cell>
          <cell r="C350">
            <v>0.79513888888888884</v>
          </cell>
          <cell r="D350" t="str">
            <v>Standard</v>
          </cell>
          <cell r="G350" t="str">
            <v>SC @ LIN</v>
          </cell>
          <cell r="H350" t="str">
            <v>Vs. Conference</v>
          </cell>
          <cell r="I350" t="str">
            <v>SIOUX CITY</v>
          </cell>
          <cell r="AC350">
            <v>0</v>
          </cell>
          <cell r="AD350">
            <v>0</v>
          </cell>
          <cell r="AJ350">
            <v>0</v>
          </cell>
          <cell r="AK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BA350" t="str">
            <v>LINCOLN</v>
          </cell>
          <cell r="BU350">
            <v>2</v>
          </cell>
          <cell r="BV350">
            <v>1</v>
          </cell>
          <cell r="CB350">
            <v>0</v>
          </cell>
          <cell r="CC350">
            <v>0</v>
          </cell>
          <cell r="CF350">
            <v>1</v>
          </cell>
          <cell r="CG350">
            <v>0</v>
          </cell>
          <cell r="CH350">
            <v>0</v>
          </cell>
          <cell r="CI350">
            <v>0</v>
          </cell>
          <cell r="CJ350">
            <v>0</v>
          </cell>
          <cell r="CK350">
            <v>0</v>
          </cell>
        </row>
        <row r="351">
          <cell r="A351">
            <v>43511</v>
          </cell>
          <cell r="B351">
            <v>0.79166666666666663</v>
          </cell>
          <cell r="C351">
            <v>0.75</v>
          </cell>
          <cell r="D351" t="str">
            <v>Standard</v>
          </cell>
          <cell r="G351" t="str">
            <v>SF @ USA</v>
          </cell>
          <cell r="H351" t="str">
            <v>Vs. Non-Conference</v>
          </cell>
          <cell r="I351" t="str">
            <v>SIOUX FALLS</v>
          </cell>
          <cell r="AC351">
            <v>10</v>
          </cell>
          <cell r="AD351">
            <v>5</v>
          </cell>
          <cell r="AJ351">
            <v>0</v>
          </cell>
          <cell r="AK351">
            <v>0</v>
          </cell>
          <cell r="AN351">
            <v>5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BA351" t="str">
            <v>TEAM USA</v>
          </cell>
          <cell r="BU351">
            <v>14</v>
          </cell>
          <cell r="BV351">
            <v>7</v>
          </cell>
          <cell r="CB351">
            <v>0</v>
          </cell>
          <cell r="CC351">
            <v>0</v>
          </cell>
          <cell r="CF351">
            <v>7</v>
          </cell>
          <cell r="CG351">
            <v>0</v>
          </cell>
          <cell r="CH351">
            <v>0</v>
          </cell>
          <cell r="CI351">
            <v>0</v>
          </cell>
          <cell r="CJ351">
            <v>0</v>
          </cell>
          <cell r="CK351">
            <v>0</v>
          </cell>
        </row>
        <row r="352">
          <cell r="A352">
            <v>43511</v>
          </cell>
          <cell r="B352">
            <v>0.79513888888888884</v>
          </cell>
          <cell r="C352">
            <v>0.75347222222222221</v>
          </cell>
          <cell r="D352" t="str">
            <v>Standard</v>
          </cell>
          <cell r="G352" t="str">
            <v>USA @ YNG</v>
          </cell>
          <cell r="H352" t="str">
            <v>Vs. Conference</v>
          </cell>
          <cell r="I352" t="str">
            <v>TEAM USA</v>
          </cell>
          <cell r="AC352">
            <v>2</v>
          </cell>
          <cell r="AD352">
            <v>1</v>
          </cell>
          <cell r="AJ352">
            <v>0</v>
          </cell>
          <cell r="AK352">
            <v>0</v>
          </cell>
          <cell r="AN352">
            <v>1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BA352" t="str">
            <v>YOUNGSTOWN</v>
          </cell>
          <cell r="BU352">
            <v>0</v>
          </cell>
          <cell r="BV352">
            <v>0</v>
          </cell>
          <cell r="CB352">
            <v>0</v>
          </cell>
          <cell r="CC352">
            <v>0</v>
          </cell>
          <cell r="CF352">
            <v>0</v>
          </cell>
          <cell r="CG352">
            <v>0</v>
          </cell>
          <cell r="CH352">
            <v>0</v>
          </cell>
          <cell r="CI352">
            <v>0</v>
          </cell>
          <cell r="CJ352">
            <v>0</v>
          </cell>
          <cell r="CK352">
            <v>0</v>
          </cell>
        </row>
        <row r="353">
          <cell r="A353">
            <v>43511</v>
          </cell>
          <cell r="B353">
            <v>0.83680555555555547</v>
          </cell>
          <cell r="C353">
            <v>0.79513888888888884</v>
          </cell>
          <cell r="D353" t="str">
            <v>Standard</v>
          </cell>
          <cell r="G353" t="str">
            <v>MUS @ CHI</v>
          </cell>
          <cell r="H353" t="str">
            <v>Vs. Conference</v>
          </cell>
          <cell r="I353" t="str">
            <v>MUSKEGON</v>
          </cell>
          <cell r="AC353">
            <v>29</v>
          </cell>
          <cell r="AD353">
            <v>9</v>
          </cell>
          <cell r="AJ353">
            <v>0</v>
          </cell>
          <cell r="AK353">
            <v>0</v>
          </cell>
          <cell r="AN353">
            <v>7</v>
          </cell>
          <cell r="AO353">
            <v>1</v>
          </cell>
          <cell r="AP353">
            <v>0</v>
          </cell>
          <cell r="AQ353">
            <v>1</v>
          </cell>
          <cell r="AR353">
            <v>0</v>
          </cell>
          <cell r="AS353">
            <v>0</v>
          </cell>
          <cell r="BA353" t="str">
            <v>CHICAGO</v>
          </cell>
          <cell r="BU353">
            <v>14</v>
          </cell>
          <cell r="BV353">
            <v>7</v>
          </cell>
          <cell r="CB353">
            <v>0</v>
          </cell>
          <cell r="CC353">
            <v>0</v>
          </cell>
          <cell r="CF353">
            <v>7</v>
          </cell>
          <cell r="CG353">
            <v>0</v>
          </cell>
          <cell r="CH353">
            <v>0</v>
          </cell>
          <cell r="CI353">
            <v>0</v>
          </cell>
          <cell r="CJ353">
            <v>0</v>
          </cell>
          <cell r="CK353">
            <v>0</v>
          </cell>
        </row>
        <row r="354">
          <cell r="A354">
            <v>43511</v>
          </cell>
          <cell r="B354">
            <v>0.83680555555555547</v>
          </cell>
          <cell r="C354">
            <v>0.79513888888888884</v>
          </cell>
          <cell r="D354" t="str">
            <v>Standard</v>
          </cell>
          <cell r="G354" t="str">
            <v>WAT @ DM</v>
          </cell>
          <cell r="H354" t="str">
            <v>Vs. Conference</v>
          </cell>
          <cell r="I354" t="str">
            <v>WATERLOO</v>
          </cell>
          <cell r="AC354">
            <v>24</v>
          </cell>
          <cell r="AD354">
            <v>8</v>
          </cell>
          <cell r="AJ354">
            <v>0</v>
          </cell>
          <cell r="AK354">
            <v>0</v>
          </cell>
          <cell r="AN354">
            <v>7</v>
          </cell>
          <cell r="AO354">
            <v>0</v>
          </cell>
          <cell r="AP354">
            <v>1</v>
          </cell>
          <cell r="AQ354">
            <v>0</v>
          </cell>
          <cell r="AR354">
            <v>0</v>
          </cell>
          <cell r="AS354">
            <v>0</v>
          </cell>
          <cell r="BA354" t="str">
            <v>DES MOINES</v>
          </cell>
          <cell r="BU354">
            <v>12</v>
          </cell>
          <cell r="BV354">
            <v>6</v>
          </cell>
          <cell r="CB354">
            <v>0</v>
          </cell>
          <cell r="CC354">
            <v>0</v>
          </cell>
          <cell r="CF354">
            <v>6</v>
          </cell>
          <cell r="CG354">
            <v>0</v>
          </cell>
          <cell r="CH354">
            <v>0</v>
          </cell>
          <cell r="CI354">
            <v>0</v>
          </cell>
          <cell r="CJ354">
            <v>0</v>
          </cell>
          <cell r="CK354">
            <v>0</v>
          </cell>
        </row>
        <row r="355">
          <cell r="A355">
            <v>43511</v>
          </cell>
          <cell r="B355">
            <v>0.83680555555555547</v>
          </cell>
          <cell r="C355">
            <v>0.79513888888888884</v>
          </cell>
          <cell r="D355" t="str">
            <v>Standard</v>
          </cell>
          <cell r="G355" t="str">
            <v>GB @ DUB</v>
          </cell>
          <cell r="H355" t="str">
            <v>Vs. Conference</v>
          </cell>
          <cell r="I355" t="str">
            <v>GREEN BAY</v>
          </cell>
          <cell r="AC355">
            <v>4</v>
          </cell>
          <cell r="AD355">
            <v>2</v>
          </cell>
          <cell r="AJ355">
            <v>0</v>
          </cell>
          <cell r="AK355">
            <v>0</v>
          </cell>
          <cell r="AN355">
            <v>2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BA355" t="str">
            <v>DUBUQUE</v>
          </cell>
          <cell r="BU355">
            <v>2</v>
          </cell>
          <cell r="BV355">
            <v>1</v>
          </cell>
          <cell r="CB355">
            <v>0</v>
          </cell>
          <cell r="CC355">
            <v>0</v>
          </cell>
          <cell r="CF355">
            <v>1</v>
          </cell>
          <cell r="CG355">
            <v>0</v>
          </cell>
          <cell r="CH355">
            <v>0</v>
          </cell>
          <cell r="CI355">
            <v>0</v>
          </cell>
          <cell r="CJ355">
            <v>0</v>
          </cell>
          <cell r="CK355">
            <v>0</v>
          </cell>
        </row>
        <row r="356">
          <cell r="A356">
            <v>43511</v>
          </cell>
          <cell r="B356">
            <v>0.83680555555555547</v>
          </cell>
          <cell r="C356">
            <v>0.79513888888888884</v>
          </cell>
          <cell r="D356" t="str">
            <v>Standard</v>
          </cell>
          <cell r="G356" t="str">
            <v>CR @ MAD</v>
          </cell>
          <cell r="H356" t="str">
            <v>Vs. Conference</v>
          </cell>
          <cell r="I356" t="str">
            <v>CEDAR RAPIDS</v>
          </cell>
          <cell r="AC356">
            <v>4</v>
          </cell>
          <cell r="AD356">
            <v>2</v>
          </cell>
          <cell r="AJ356">
            <v>0</v>
          </cell>
          <cell r="AK356">
            <v>0</v>
          </cell>
          <cell r="AN356">
            <v>2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BA356" t="str">
            <v>MADISON</v>
          </cell>
          <cell r="BU356">
            <v>18</v>
          </cell>
          <cell r="BV356">
            <v>5</v>
          </cell>
          <cell r="CB356">
            <v>0</v>
          </cell>
          <cell r="CC356">
            <v>0</v>
          </cell>
          <cell r="CF356">
            <v>4</v>
          </cell>
          <cell r="CG356">
            <v>0</v>
          </cell>
          <cell r="CH356">
            <v>1</v>
          </cell>
          <cell r="CI356">
            <v>0</v>
          </cell>
          <cell r="CJ356">
            <v>0</v>
          </cell>
          <cell r="CK356">
            <v>0</v>
          </cell>
        </row>
        <row r="357">
          <cell r="A357">
            <v>43511</v>
          </cell>
          <cell r="B357">
            <v>0.83819444444444446</v>
          </cell>
          <cell r="C357">
            <v>0.79652777777777783</v>
          </cell>
          <cell r="D357" t="str">
            <v>Standard</v>
          </cell>
          <cell r="G357" t="str">
            <v>TC @ CIL</v>
          </cell>
          <cell r="H357" t="str">
            <v>Vs. Non-Conference</v>
          </cell>
          <cell r="I357" t="str">
            <v>TRI-CITY</v>
          </cell>
          <cell r="AC357">
            <v>27</v>
          </cell>
          <cell r="AD357">
            <v>8</v>
          </cell>
          <cell r="AJ357">
            <v>0</v>
          </cell>
          <cell r="AK357">
            <v>0</v>
          </cell>
          <cell r="AN357">
            <v>6</v>
          </cell>
          <cell r="AO357">
            <v>1</v>
          </cell>
          <cell r="AP357">
            <v>0</v>
          </cell>
          <cell r="AQ357">
            <v>1</v>
          </cell>
          <cell r="AR357">
            <v>0</v>
          </cell>
          <cell r="AS357">
            <v>0</v>
          </cell>
          <cell r="BA357" t="str">
            <v>CENTRAL ILLINOIS</v>
          </cell>
          <cell r="BU357">
            <v>22</v>
          </cell>
          <cell r="BV357">
            <v>11</v>
          </cell>
          <cell r="CB357">
            <v>0</v>
          </cell>
          <cell r="CC357">
            <v>0</v>
          </cell>
          <cell r="CF357">
            <v>11</v>
          </cell>
          <cell r="CG357">
            <v>0</v>
          </cell>
          <cell r="CH357">
            <v>0</v>
          </cell>
          <cell r="CI357">
            <v>0</v>
          </cell>
          <cell r="CJ357">
            <v>0</v>
          </cell>
          <cell r="CK357">
            <v>0</v>
          </cell>
        </row>
        <row r="358">
          <cell r="A358">
            <v>43511</v>
          </cell>
          <cell r="B358">
            <v>0.85763888888888884</v>
          </cell>
          <cell r="C358">
            <v>0.81597222222222221</v>
          </cell>
          <cell r="D358" t="str">
            <v>Standard</v>
          </cell>
          <cell r="G358" t="str">
            <v>SC @ OMA</v>
          </cell>
          <cell r="H358" t="str">
            <v>Vs. Conference</v>
          </cell>
          <cell r="I358" t="str">
            <v>SIOUX CITY</v>
          </cell>
          <cell r="AC358">
            <v>12</v>
          </cell>
          <cell r="AD358">
            <v>6</v>
          </cell>
          <cell r="AJ358">
            <v>0</v>
          </cell>
          <cell r="AK358">
            <v>0</v>
          </cell>
          <cell r="AN358">
            <v>6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BA358" t="str">
            <v>OMAHA</v>
          </cell>
          <cell r="BU358">
            <v>4</v>
          </cell>
          <cell r="BV358">
            <v>2</v>
          </cell>
          <cell r="CB358">
            <v>0</v>
          </cell>
          <cell r="CC358">
            <v>0</v>
          </cell>
          <cell r="CF358">
            <v>2</v>
          </cell>
          <cell r="CG358">
            <v>0</v>
          </cell>
          <cell r="CH358">
            <v>0</v>
          </cell>
          <cell r="CI358">
            <v>0</v>
          </cell>
          <cell r="CJ358">
            <v>0</v>
          </cell>
          <cell r="CK358">
            <v>0</v>
          </cell>
        </row>
        <row r="359">
          <cell r="A359">
            <v>43512</v>
          </cell>
          <cell r="B359">
            <v>0.79513888888888884</v>
          </cell>
          <cell r="C359">
            <v>0.75347222222222221</v>
          </cell>
          <cell r="D359" t="str">
            <v>Standard</v>
          </cell>
          <cell r="G359" t="str">
            <v>USA @ YNG</v>
          </cell>
          <cell r="H359" t="str">
            <v>Vs. Conference</v>
          </cell>
          <cell r="I359" t="str">
            <v>TEAM USA</v>
          </cell>
          <cell r="AC359">
            <v>10</v>
          </cell>
          <cell r="AD359">
            <v>5</v>
          </cell>
          <cell r="AJ359">
            <v>0</v>
          </cell>
          <cell r="AK359">
            <v>0</v>
          </cell>
          <cell r="AN359">
            <v>5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BA359" t="str">
            <v>YOUNGSTOWN</v>
          </cell>
          <cell r="BU359">
            <v>27</v>
          </cell>
          <cell r="BV359">
            <v>8</v>
          </cell>
          <cell r="CB359">
            <v>0</v>
          </cell>
          <cell r="CC359">
            <v>0</v>
          </cell>
          <cell r="CF359">
            <v>6</v>
          </cell>
          <cell r="CG359">
            <v>1</v>
          </cell>
          <cell r="CH359">
            <v>0</v>
          </cell>
          <cell r="CI359">
            <v>1</v>
          </cell>
          <cell r="CJ359">
            <v>0</v>
          </cell>
          <cell r="CK359">
            <v>0</v>
          </cell>
        </row>
        <row r="360">
          <cell r="A360">
            <v>43512</v>
          </cell>
          <cell r="B360">
            <v>0.80208333333333337</v>
          </cell>
          <cell r="C360">
            <v>0.76041666666666674</v>
          </cell>
          <cell r="D360" t="str">
            <v>Standard</v>
          </cell>
          <cell r="G360" t="str">
            <v>SF @ MUS</v>
          </cell>
          <cell r="H360" t="str">
            <v>Vs. Non-Conference</v>
          </cell>
          <cell r="I360" t="str">
            <v>SIOUX FALLS</v>
          </cell>
          <cell r="AC360">
            <v>21</v>
          </cell>
          <cell r="AD360">
            <v>5</v>
          </cell>
          <cell r="AJ360">
            <v>0</v>
          </cell>
          <cell r="AK360">
            <v>0</v>
          </cell>
          <cell r="AN360">
            <v>3</v>
          </cell>
          <cell r="AO360">
            <v>1</v>
          </cell>
          <cell r="AP360">
            <v>0</v>
          </cell>
          <cell r="AQ360">
            <v>1</v>
          </cell>
          <cell r="AR360">
            <v>0</v>
          </cell>
          <cell r="AS360">
            <v>0</v>
          </cell>
          <cell r="BA360" t="str">
            <v>MUSKEGON</v>
          </cell>
          <cell r="BU360">
            <v>10</v>
          </cell>
          <cell r="BV360">
            <v>5</v>
          </cell>
          <cell r="CB360">
            <v>0</v>
          </cell>
          <cell r="CC360">
            <v>0</v>
          </cell>
          <cell r="CF360">
            <v>5</v>
          </cell>
          <cell r="CG360">
            <v>0</v>
          </cell>
          <cell r="CH360">
            <v>0</v>
          </cell>
          <cell r="CI360">
            <v>0</v>
          </cell>
          <cell r="CJ360">
            <v>0</v>
          </cell>
          <cell r="CK360">
            <v>0</v>
          </cell>
        </row>
        <row r="361">
          <cell r="A361">
            <v>43512</v>
          </cell>
          <cell r="B361">
            <v>0.83680555555555547</v>
          </cell>
          <cell r="C361">
            <v>0.79513888888888884</v>
          </cell>
          <cell r="D361" t="str">
            <v>Standard</v>
          </cell>
          <cell r="G361" t="str">
            <v>USA @ CHI</v>
          </cell>
          <cell r="H361" t="str">
            <v>Vs. Conference</v>
          </cell>
          <cell r="I361" t="str">
            <v>TEAM USA</v>
          </cell>
          <cell r="AC361">
            <v>12</v>
          </cell>
          <cell r="AD361">
            <v>6</v>
          </cell>
          <cell r="AJ361">
            <v>0</v>
          </cell>
          <cell r="AK361">
            <v>0</v>
          </cell>
          <cell r="AN361">
            <v>6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BA361" t="str">
            <v>CHICAGO</v>
          </cell>
          <cell r="BU361">
            <v>6</v>
          </cell>
          <cell r="BV361">
            <v>3</v>
          </cell>
          <cell r="CB361">
            <v>0</v>
          </cell>
          <cell r="CC361">
            <v>0</v>
          </cell>
          <cell r="CF361">
            <v>3</v>
          </cell>
          <cell r="CG361">
            <v>0</v>
          </cell>
          <cell r="CH361">
            <v>0</v>
          </cell>
          <cell r="CI361">
            <v>0</v>
          </cell>
          <cell r="CJ361">
            <v>0</v>
          </cell>
          <cell r="CK361">
            <v>0</v>
          </cell>
        </row>
        <row r="362">
          <cell r="A362">
            <v>43512</v>
          </cell>
          <cell r="B362">
            <v>0.83680555555555547</v>
          </cell>
          <cell r="C362">
            <v>0.79513888888888884</v>
          </cell>
          <cell r="D362" t="str">
            <v>Standard</v>
          </cell>
          <cell r="G362" t="str">
            <v>LIN @ FGO</v>
          </cell>
          <cell r="H362" t="str">
            <v>Vs. Conference</v>
          </cell>
          <cell r="I362" t="str">
            <v>LINCOLN</v>
          </cell>
          <cell r="AC362">
            <v>10</v>
          </cell>
          <cell r="AD362">
            <v>5</v>
          </cell>
          <cell r="AJ362">
            <v>0</v>
          </cell>
          <cell r="AK362">
            <v>0</v>
          </cell>
          <cell r="AN362">
            <v>5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BA362" t="str">
            <v>FARGO</v>
          </cell>
          <cell r="BU362">
            <v>6</v>
          </cell>
          <cell r="BV362">
            <v>3</v>
          </cell>
          <cell r="CB362">
            <v>0</v>
          </cell>
          <cell r="CC362">
            <v>0</v>
          </cell>
          <cell r="CF362">
            <v>3</v>
          </cell>
          <cell r="CG362">
            <v>0</v>
          </cell>
          <cell r="CH362">
            <v>0</v>
          </cell>
          <cell r="CI362">
            <v>0</v>
          </cell>
          <cell r="CJ362">
            <v>0</v>
          </cell>
          <cell r="CK362">
            <v>0</v>
          </cell>
        </row>
        <row r="363">
          <cell r="A363">
            <v>43512</v>
          </cell>
          <cell r="B363">
            <v>0.83680555555555547</v>
          </cell>
          <cell r="C363">
            <v>0.79513888888888884</v>
          </cell>
          <cell r="D363" t="str">
            <v>Standard</v>
          </cell>
          <cell r="G363" t="str">
            <v>MAD @ GB</v>
          </cell>
          <cell r="H363" t="str">
            <v>Vs. Conference</v>
          </cell>
          <cell r="I363" t="str">
            <v>MADISON</v>
          </cell>
          <cell r="AC363">
            <v>4</v>
          </cell>
          <cell r="AD363">
            <v>2</v>
          </cell>
          <cell r="AJ363">
            <v>0</v>
          </cell>
          <cell r="AK363">
            <v>0</v>
          </cell>
          <cell r="AN363">
            <v>2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BA363" t="str">
            <v>GREEN BAY</v>
          </cell>
          <cell r="BU363">
            <v>4</v>
          </cell>
          <cell r="BV363">
            <v>2</v>
          </cell>
          <cell r="CB363">
            <v>0</v>
          </cell>
          <cell r="CC363">
            <v>0</v>
          </cell>
          <cell r="CF363">
            <v>2</v>
          </cell>
          <cell r="CG363">
            <v>0</v>
          </cell>
          <cell r="CH363">
            <v>0</v>
          </cell>
          <cell r="CI363">
            <v>0</v>
          </cell>
          <cell r="CJ363">
            <v>0</v>
          </cell>
          <cell r="CK363">
            <v>0</v>
          </cell>
        </row>
        <row r="364">
          <cell r="A364">
            <v>43512</v>
          </cell>
          <cell r="B364">
            <v>0.83680555555555547</v>
          </cell>
          <cell r="C364">
            <v>0.79513888888888884</v>
          </cell>
          <cell r="D364" t="str">
            <v>Standard</v>
          </cell>
          <cell r="G364" t="str">
            <v>DM @ OMA</v>
          </cell>
          <cell r="H364" t="str">
            <v>Vs. Conference</v>
          </cell>
          <cell r="I364" t="str">
            <v>DES MOINES</v>
          </cell>
          <cell r="AC364">
            <v>10</v>
          </cell>
          <cell r="AD364">
            <v>5</v>
          </cell>
          <cell r="AJ364">
            <v>0</v>
          </cell>
          <cell r="AK364">
            <v>0</v>
          </cell>
          <cell r="AN364">
            <v>5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BA364" t="str">
            <v>OMAHA</v>
          </cell>
          <cell r="BU364">
            <v>6</v>
          </cell>
          <cell r="BV364">
            <v>3</v>
          </cell>
          <cell r="CB364">
            <v>0</v>
          </cell>
          <cell r="CC364">
            <v>0</v>
          </cell>
          <cell r="CF364">
            <v>3</v>
          </cell>
          <cell r="CG364">
            <v>0</v>
          </cell>
          <cell r="CH364">
            <v>0</v>
          </cell>
          <cell r="CI364">
            <v>0</v>
          </cell>
          <cell r="CJ364">
            <v>0</v>
          </cell>
          <cell r="CK364">
            <v>0</v>
          </cell>
        </row>
        <row r="365">
          <cell r="A365">
            <v>43512</v>
          </cell>
          <cell r="B365">
            <v>0.83680555555555547</v>
          </cell>
          <cell r="C365">
            <v>0.79513888888888884</v>
          </cell>
          <cell r="D365" t="str">
            <v>Standard</v>
          </cell>
          <cell r="G365" t="str">
            <v>WAT @ CR</v>
          </cell>
          <cell r="H365" t="str">
            <v>Vs. Non-Conference</v>
          </cell>
          <cell r="I365" t="str">
            <v>WATERLOO</v>
          </cell>
          <cell r="AC365">
            <v>12</v>
          </cell>
          <cell r="AD365">
            <v>6</v>
          </cell>
          <cell r="AJ365">
            <v>0</v>
          </cell>
          <cell r="AK365">
            <v>0</v>
          </cell>
          <cell r="AN365">
            <v>6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BA365" t="str">
            <v>CEDAR RAPIDS</v>
          </cell>
          <cell r="BU365">
            <v>24</v>
          </cell>
          <cell r="BV365">
            <v>8</v>
          </cell>
          <cell r="CB365">
            <v>0</v>
          </cell>
          <cell r="CC365">
            <v>0</v>
          </cell>
          <cell r="CF365">
            <v>7</v>
          </cell>
          <cell r="CG365">
            <v>0</v>
          </cell>
          <cell r="CH365">
            <v>1</v>
          </cell>
          <cell r="CI365">
            <v>0</v>
          </cell>
          <cell r="CJ365">
            <v>0</v>
          </cell>
          <cell r="CK365">
            <v>0</v>
          </cell>
        </row>
        <row r="366">
          <cell r="A366">
            <v>43512</v>
          </cell>
          <cell r="B366">
            <v>0.83819444444444446</v>
          </cell>
          <cell r="C366">
            <v>0.79652777777777783</v>
          </cell>
          <cell r="D366" t="str">
            <v>Standard</v>
          </cell>
          <cell r="G366" t="str">
            <v>TC @ CIL</v>
          </cell>
          <cell r="H366" t="str">
            <v>Vs. Non-Conference</v>
          </cell>
          <cell r="I366" t="str">
            <v>TRI-CITY</v>
          </cell>
          <cell r="AC366">
            <v>10</v>
          </cell>
          <cell r="AD366">
            <v>5</v>
          </cell>
          <cell r="AJ366">
            <v>0</v>
          </cell>
          <cell r="AK366">
            <v>0</v>
          </cell>
          <cell r="AN366">
            <v>5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BA366" t="str">
            <v>CENTRAL ILLINOIS</v>
          </cell>
          <cell r="BU366">
            <v>20</v>
          </cell>
          <cell r="BV366">
            <v>10</v>
          </cell>
          <cell r="CB366">
            <v>0</v>
          </cell>
          <cell r="CC366">
            <v>0</v>
          </cell>
          <cell r="CF366">
            <v>10</v>
          </cell>
          <cell r="CG366">
            <v>0</v>
          </cell>
          <cell r="CH366">
            <v>0</v>
          </cell>
          <cell r="CI366">
            <v>0</v>
          </cell>
          <cell r="CJ366">
            <v>0</v>
          </cell>
          <cell r="CK366">
            <v>0</v>
          </cell>
        </row>
        <row r="367">
          <cell r="A367">
            <v>43513</v>
          </cell>
          <cell r="B367">
            <v>0.62847222222222221</v>
          </cell>
          <cell r="C367">
            <v>0.58680555555555558</v>
          </cell>
          <cell r="D367" t="str">
            <v>Standard</v>
          </cell>
          <cell r="G367" t="str">
            <v>DUB @ MAD</v>
          </cell>
          <cell r="H367" t="str">
            <v>Vs. Conference</v>
          </cell>
          <cell r="I367" t="str">
            <v>DUBUQUE</v>
          </cell>
          <cell r="AC367">
            <v>2</v>
          </cell>
          <cell r="AD367">
            <v>1</v>
          </cell>
          <cell r="AJ367">
            <v>0</v>
          </cell>
          <cell r="AK367">
            <v>0</v>
          </cell>
          <cell r="AN367">
            <v>1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BA367" t="str">
            <v>MADISON</v>
          </cell>
          <cell r="BU367">
            <v>8</v>
          </cell>
          <cell r="BV367">
            <v>4</v>
          </cell>
          <cell r="CB367">
            <v>0</v>
          </cell>
          <cell r="CC367">
            <v>0</v>
          </cell>
          <cell r="CF367">
            <v>4</v>
          </cell>
          <cell r="CG367">
            <v>0</v>
          </cell>
          <cell r="CH367">
            <v>0</v>
          </cell>
          <cell r="CI367">
            <v>0</v>
          </cell>
          <cell r="CJ367">
            <v>0</v>
          </cell>
          <cell r="CK367">
            <v>0</v>
          </cell>
        </row>
        <row r="368">
          <cell r="A368">
            <v>43513</v>
          </cell>
          <cell r="B368">
            <v>0.63541666666666663</v>
          </cell>
          <cell r="C368">
            <v>0.59375</v>
          </cell>
          <cell r="D368" t="str">
            <v>Standard</v>
          </cell>
          <cell r="G368" t="str">
            <v>SF @ MUS</v>
          </cell>
          <cell r="H368" t="str">
            <v>Vs. Non-Conference</v>
          </cell>
          <cell r="I368" t="str">
            <v>SIOUX FALLS</v>
          </cell>
          <cell r="AC368">
            <v>10</v>
          </cell>
          <cell r="AD368">
            <v>5</v>
          </cell>
          <cell r="AJ368">
            <v>0</v>
          </cell>
          <cell r="AK368">
            <v>0</v>
          </cell>
          <cell r="AN368">
            <v>5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BA368" t="str">
            <v>MUSKEGON</v>
          </cell>
          <cell r="BU368">
            <v>6</v>
          </cell>
          <cell r="BV368">
            <v>3</v>
          </cell>
          <cell r="CB368">
            <v>0</v>
          </cell>
          <cell r="CC368">
            <v>0</v>
          </cell>
          <cell r="CF368">
            <v>3</v>
          </cell>
          <cell r="CG368">
            <v>0</v>
          </cell>
          <cell r="CH368">
            <v>0</v>
          </cell>
          <cell r="CI368">
            <v>0</v>
          </cell>
          <cell r="CJ368">
            <v>0</v>
          </cell>
          <cell r="CK368">
            <v>0</v>
          </cell>
        </row>
        <row r="369">
          <cell r="A369">
            <v>43513</v>
          </cell>
          <cell r="B369">
            <v>0.67013888888888884</v>
          </cell>
          <cell r="C369">
            <v>0.62847222222222221</v>
          </cell>
          <cell r="D369" t="str">
            <v>Standard</v>
          </cell>
          <cell r="G369" t="str">
            <v>TC @ WAT</v>
          </cell>
          <cell r="H369" t="str">
            <v>Vs. Conference</v>
          </cell>
          <cell r="I369" t="str">
            <v>TRI-CITY</v>
          </cell>
          <cell r="AC369">
            <v>12</v>
          </cell>
          <cell r="AD369">
            <v>6</v>
          </cell>
          <cell r="AJ369">
            <v>1</v>
          </cell>
          <cell r="AK369">
            <v>1</v>
          </cell>
          <cell r="AN369">
            <v>6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1</v>
          </cell>
          <cell r="BA369" t="str">
            <v>WATERLOO</v>
          </cell>
          <cell r="BU369">
            <v>14</v>
          </cell>
          <cell r="BV369">
            <v>8</v>
          </cell>
          <cell r="CB369">
            <v>0</v>
          </cell>
          <cell r="CC369">
            <v>0</v>
          </cell>
          <cell r="CF369">
            <v>7</v>
          </cell>
          <cell r="CG369">
            <v>0</v>
          </cell>
          <cell r="CH369">
            <v>0</v>
          </cell>
          <cell r="CI369">
            <v>0</v>
          </cell>
          <cell r="CJ369">
            <v>0</v>
          </cell>
          <cell r="CK369">
            <v>0</v>
          </cell>
        </row>
        <row r="370">
          <cell r="A370">
            <v>43513</v>
          </cell>
          <cell r="B370">
            <v>0.7534722222222221</v>
          </cell>
          <cell r="C370">
            <v>0.71180555555555547</v>
          </cell>
          <cell r="D370" t="str">
            <v>Standard</v>
          </cell>
          <cell r="G370" t="str">
            <v>LIN @ FGO</v>
          </cell>
          <cell r="H370" t="str">
            <v>Vs. Conference</v>
          </cell>
          <cell r="I370" t="str">
            <v>LINCOLN</v>
          </cell>
          <cell r="AC370">
            <v>17</v>
          </cell>
          <cell r="AD370">
            <v>3</v>
          </cell>
          <cell r="AJ370">
            <v>0</v>
          </cell>
          <cell r="AK370">
            <v>0</v>
          </cell>
          <cell r="AN370">
            <v>1</v>
          </cell>
          <cell r="AO370">
            <v>1</v>
          </cell>
          <cell r="AP370">
            <v>1</v>
          </cell>
          <cell r="AQ370">
            <v>0</v>
          </cell>
          <cell r="AR370">
            <v>0</v>
          </cell>
          <cell r="AS370">
            <v>0</v>
          </cell>
          <cell r="BA370" t="str">
            <v>FARGO</v>
          </cell>
          <cell r="BU370">
            <v>21</v>
          </cell>
          <cell r="BV370">
            <v>5</v>
          </cell>
          <cell r="CB370">
            <v>0</v>
          </cell>
          <cell r="CC370">
            <v>0</v>
          </cell>
          <cell r="CF370">
            <v>3</v>
          </cell>
          <cell r="CG370">
            <v>1</v>
          </cell>
          <cell r="CH370">
            <v>1</v>
          </cell>
          <cell r="CI370">
            <v>0</v>
          </cell>
          <cell r="CJ370">
            <v>0</v>
          </cell>
          <cell r="CK370">
            <v>0</v>
          </cell>
        </row>
        <row r="371">
          <cell r="A371">
            <v>43513</v>
          </cell>
          <cell r="B371">
            <v>0.83680555555555547</v>
          </cell>
          <cell r="C371">
            <v>0.79513888888888884</v>
          </cell>
          <cell r="D371" t="str">
            <v>Standard</v>
          </cell>
          <cell r="G371" t="str">
            <v>CR @ GB</v>
          </cell>
          <cell r="H371" t="str">
            <v>Vs. Conference</v>
          </cell>
          <cell r="I371" t="str">
            <v>CEDAR RAPIDS</v>
          </cell>
          <cell r="AC371">
            <v>4</v>
          </cell>
          <cell r="AD371">
            <v>2</v>
          </cell>
          <cell r="AJ371">
            <v>0</v>
          </cell>
          <cell r="AK371">
            <v>0</v>
          </cell>
          <cell r="AN371">
            <v>2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BA371" t="str">
            <v>GREEN BAY</v>
          </cell>
          <cell r="BU371">
            <v>4</v>
          </cell>
          <cell r="BV371">
            <v>2</v>
          </cell>
          <cell r="CB371">
            <v>0</v>
          </cell>
          <cell r="CC371">
            <v>0</v>
          </cell>
          <cell r="CF371">
            <v>2</v>
          </cell>
          <cell r="CG371">
            <v>0</v>
          </cell>
          <cell r="CH371">
            <v>0</v>
          </cell>
          <cell r="CI371">
            <v>0</v>
          </cell>
          <cell r="CJ371">
            <v>0</v>
          </cell>
          <cell r="CK371">
            <v>0</v>
          </cell>
        </row>
        <row r="372">
          <cell r="A372">
            <v>43515</v>
          </cell>
          <cell r="B372">
            <v>0.8159722222222221</v>
          </cell>
          <cell r="C372">
            <v>0.77430555555555547</v>
          </cell>
          <cell r="D372" t="str">
            <v>Standard</v>
          </cell>
          <cell r="G372" t="str">
            <v>FGO @ SC</v>
          </cell>
          <cell r="H372" t="str">
            <v>Vs. Conference</v>
          </cell>
          <cell r="I372" t="str">
            <v>FARGO</v>
          </cell>
          <cell r="AC372">
            <v>10</v>
          </cell>
          <cell r="AD372">
            <v>5</v>
          </cell>
          <cell r="AJ372">
            <v>0</v>
          </cell>
          <cell r="AK372">
            <v>0</v>
          </cell>
          <cell r="AN372">
            <v>5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BA372" t="str">
            <v>SIOUX CITY</v>
          </cell>
          <cell r="BU372">
            <v>10</v>
          </cell>
          <cell r="BV372">
            <v>5</v>
          </cell>
          <cell r="CB372">
            <v>0</v>
          </cell>
          <cell r="CC372">
            <v>0</v>
          </cell>
          <cell r="CF372">
            <v>5</v>
          </cell>
          <cell r="CG372">
            <v>0</v>
          </cell>
          <cell r="CH372">
            <v>0</v>
          </cell>
          <cell r="CI372">
            <v>0</v>
          </cell>
          <cell r="CJ372">
            <v>0</v>
          </cell>
          <cell r="CK372">
            <v>0</v>
          </cell>
        </row>
        <row r="373">
          <cell r="A373">
            <v>43517</v>
          </cell>
          <cell r="B373">
            <v>0.50486111111111109</v>
          </cell>
          <cell r="C373">
            <v>0.46319444444444446</v>
          </cell>
          <cell r="D373" t="str">
            <v>Standard</v>
          </cell>
          <cell r="G373" t="str">
            <v>MUS @ CIL</v>
          </cell>
          <cell r="H373" t="str">
            <v>Vs. Conference</v>
          </cell>
          <cell r="I373" t="str">
            <v>MUSKEGON</v>
          </cell>
          <cell r="AC373">
            <v>12</v>
          </cell>
          <cell r="AD373">
            <v>6</v>
          </cell>
          <cell r="AJ373">
            <v>0</v>
          </cell>
          <cell r="AK373">
            <v>0</v>
          </cell>
          <cell r="AN373">
            <v>6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BA373" t="str">
            <v>CENTRAL ILLINOIS</v>
          </cell>
          <cell r="BU373">
            <v>16</v>
          </cell>
          <cell r="BV373">
            <v>8</v>
          </cell>
          <cell r="CB373">
            <v>0</v>
          </cell>
          <cell r="CC373">
            <v>0</v>
          </cell>
          <cell r="CF373">
            <v>8</v>
          </cell>
          <cell r="CG373">
            <v>0</v>
          </cell>
          <cell r="CH373">
            <v>0</v>
          </cell>
          <cell r="CI373">
            <v>0</v>
          </cell>
          <cell r="CJ373">
            <v>0</v>
          </cell>
          <cell r="CK373">
            <v>0</v>
          </cell>
        </row>
        <row r="374">
          <cell r="A374">
            <v>43518</v>
          </cell>
          <cell r="B374">
            <v>0.79166666666666663</v>
          </cell>
          <cell r="C374">
            <v>0.75</v>
          </cell>
          <cell r="D374" t="str">
            <v>Standard</v>
          </cell>
          <cell r="G374" t="str">
            <v>MUS @ USA</v>
          </cell>
          <cell r="H374" t="str">
            <v>Vs. Conference</v>
          </cell>
          <cell r="I374" t="str">
            <v>MUSKEGON</v>
          </cell>
          <cell r="AC374">
            <v>10</v>
          </cell>
          <cell r="AD374">
            <v>5</v>
          </cell>
          <cell r="AJ374">
            <v>0</v>
          </cell>
          <cell r="AK374">
            <v>0</v>
          </cell>
          <cell r="AN374">
            <v>5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BA374" t="str">
            <v>TEAM USA</v>
          </cell>
          <cell r="BU374">
            <v>4</v>
          </cell>
          <cell r="BV374">
            <v>2</v>
          </cell>
          <cell r="CB374">
            <v>0</v>
          </cell>
          <cell r="CC374">
            <v>0</v>
          </cell>
          <cell r="CF374">
            <v>2</v>
          </cell>
          <cell r="CG374">
            <v>0</v>
          </cell>
          <cell r="CH374">
            <v>0</v>
          </cell>
          <cell r="CI374">
            <v>0</v>
          </cell>
          <cell r="CJ374">
            <v>0</v>
          </cell>
          <cell r="CK374">
            <v>0</v>
          </cell>
        </row>
        <row r="375">
          <cell r="A375">
            <v>43518</v>
          </cell>
          <cell r="B375">
            <v>0.83680555555555547</v>
          </cell>
          <cell r="C375">
            <v>0.79513888888888884</v>
          </cell>
          <cell r="D375" t="str">
            <v>Standard</v>
          </cell>
          <cell r="G375" t="str">
            <v>CR @ DUB</v>
          </cell>
          <cell r="H375" t="str">
            <v>Vs. Conference</v>
          </cell>
          <cell r="I375" t="str">
            <v>CEDAR RAPIDS</v>
          </cell>
          <cell r="AC375">
            <v>27</v>
          </cell>
          <cell r="AD375">
            <v>8</v>
          </cell>
          <cell r="AJ375">
            <v>0</v>
          </cell>
          <cell r="AK375">
            <v>0</v>
          </cell>
          <cell r="AN375">
            <v>6</v>
          </cell>
          <cell r="AO375">
            <v>1</v>
          </cell>
          <cell r="AP375">
            <v>1</v>
          </cell>
          <cell r="AQ375">
            <v>0</v>
          </cell>
          <cell r="AR375">
            <v>0</v>
          </cell>
          <cell r="AS375">
            <v>0</v>
          </cell>
          <cell r="BA375" t="str">
            <v>DUBUQUE</v>
          </cell>
          <cell r="BU375">
            <v>37</v>
          </cell>
          <cell r="BV375">
            <v>9</v>
          </cell>
          <cell r="CB375">
            <v>0</v>
          </cell>
          <cell r="CC375">
            <v>0</v>
          </cell>
          <cell r="CF375">
            <v>6</v>
          </cell>
          <cell r="CG375">
            <v>1</v>
          </cell>
          <cell r="CH375">
            <v>1</v>
          </cell>
          <cell r="CI375">
            <v>1</v>
          </cell>
          <cell r="CJ375">
            <v>0</v>
          </cell>
          <cell r="CK375">
            <v>0</v>
          </cell>
        </row>
        <row r="376">
          <cell r="A376">
            <v>43518</v>
          </cell>
          <cell r="B376">
            <v>0.83680555555555547</v>
          </cell>
          <cell r="C376">
            <v>0.79513888888888884</v>
          </cell>
          <cell r="D376" t="str">
            <v>Standard</v>
          </cell>
          <cell r="G376" t="str">
            <v>WAT @ LIN</v>
          </cell>
          <cell r="H376" t="str">
            <v>Vs. Conference</v>
          </cell>
          <cell r="I376" t="str">
            <v>WATERLOO</v>
          </cell>
          <cell r="AC376">
            <v>58</v>
          </cell>
          <cell r="AD376">
            <v>14</v>
          </cell>
          <cell r="AJ376">
            <v>0</v>
          </cell>
          <cell r="AK376">
            <v>0</v>
          </cell>
          <cell r="AN376">
            <v>9</v>
          </cell>
          <cell r="AO376">
            <v>2</v>
          </cell>
          <cell r="AP376">
            <v>3</v>
          </cell>
          <cell r="AQ376">
            <v>0</v>
          </cell>
          <cell r="AR376">
            <v>0</v>
          </cell>
          <cell r="AS376">
            <v>0</v>
          </cell>
          <cell r="BA376" t="str">
            <v>LINCOLN</v>
          </cell>
          <cell r="BU376">
            <v>85</v>
          </cell>
          <cell r="BV376">
            <v>18</v>
          </cell>
          <cell r="CB376">
            <v>0</v>
          </cell>
          <cell r="CC376">
            <v>0</v>
          </cell>
          <cell r="CF376">
            <v>10</v>
          </cell>
          <cell r="CG376">
            <v>3</v>
          </cell>
          <cell r="CH376">
            <v>4</v>
          </cell>
          <cell r="CI376">
            <v>1</v>
          </cell>
          <cell r="CJ376">
            <v>0</v>
          </cell>
          <cell r="CK376">
            <v>0</v>
          </cell>
        </row>
        <row r="377">
          <cell r="A377">
            <v>43518</v>
          </cell>
          <cell r="B377">
            <v>0.83680555555555547</v>
          </cell>
          <cell r="C377">
            <v>0.79513888888888884</v>
          </cell>
          <cell r="D377" t="str">
            <v>Standard</v>
          </cell>
          <cell r="G377" t="str">
            <v>GB @ MAD</v>
          </cell>
          <cell r="H377" t="str">
            <v>Vs. Conference</v>
          </cell>
          <cell r="I377" t="str">
            <v>GREEN BAY</v>
          </cell>
          <cell r="AC377">
            <v>29</v>
          </cell>
          <cell r="AD377">
            <v>9</v>
          </cell>
          <cell r="AJ377">
            <v>0</v>
          </cell>
          <cell r="AK377">
            <v>0</v>
          </cell>
          <cell r="AN377">
            <v>7</v>
          </cell>
          <cell r="AO377">
            <v>1</v>
          </cell>
          <cell r="AP377">
            <v>1</v>
          </cell>
          <cell r="AQ377">
            <v>0</v>
          </cell>
          <cell r="AR377">
            <v>0</v>
          </cell>
          <cell r="AS377">
            <v>0</v>
          </cell>
          <cell r="BA377" t="str">
            <v>MADISON</v>
          </cell>
          <cell r="BU377">
            <v>31</v>
          </cell>
          <cell r="BV377">
            <v>10</v>
          </cell>
          <cell r="CB377">
            <v>0</v>
          </cell>
          <cell r="CC377">
            <v>0</v>
          </cell>
          <cell r="CF377">
            <v>8</v>
          </cell>
          <cell r="CG377">
            <v>1</v>
          </cell>
          <cell r="CH377">
            <v>1</v>
          </cell>
          <cell r="CI377">
            <v>0</v>
          </cell>
          <cell r="CJ377">
            <v>0</v>
          </cell>
          <cell r="CK377">
            <v>0</v>
          </cell>
        </row>
        <row r="378">
          <cell r="A378">
            <v>43518</v>
          </cell>
          <cell r="B378">
            <v>0.83680555555555547</v>
          </cell>
          <cell r="C378">
            <v>0.79513888888888884</v>
          </cell>
          <cell r="D378" t="str">
            <v>Standard</v>
          </cell>
          <cell r="G378" t="str">
            <v>SF @ SC</v>
          </cell>
          <cell r="H378" t="str">
            <v>Vs. Conference</v>
          </cell>
          <cell r="I378" t="str">
            <v>SIOUX FALLS</v>
          </cell>
          <cell r="AC378">
            <v>23</v>
          </cell>
          <cell r="AD378">
            <v>6</v>
          </cell>
          <cell r="AJ378">
            <v>0</v>
          </cell>
          <cell r="AK378">
            <v>0</v>
          </cell>
          <cell r="AN378">
            <v>4</v>
          </cell>
          <cell r="AO378">
            <v>1</v>
          </cell>
          <cell r="AP378">
            <v>1</v>
          </cell>
          <cell r="AQ378">
            <v>0</v>
          </cell>
          <cell r="AR378">
            <v>0</v>
          </cell>
          <cell r="AS378">
            <v>0</v>
          </cell>
          <cell r="BA378" t="str">
            <v>SIOUX CITY</v>
          </cell>
          <cell r="BU378">
            <v>15</v>
          </cell>
          <cell r="BV378">
            <v>2</v>
          </cell>
          <cell r="CB378">
            <v>0</v>
          </cell>
          <cell r="CC378">
            <v>0</v>
          </cell>
          <cell r="CF378">
            <v>0</v>
          </cell>
          <cell r="CG378">
            <v>1</v>
          </cell>
          <cell r="CH378">
            <v>1</v>
          </cell>
          <cell r="CI378">
            <v>0</v>
          </cell>
          <cell r="CJ378">
            <v>0</v>
          </cell>
          <cell r="CK378">
            <v>0</v>
          </cell>
        </row>
        <row r="379">
          <cell r="A379">
            <v>43518</v>
          </cell>
          <cell r="B379">
            <v>0.83680555555555547</v>
          </cell>
          <cell r="C379">
            <v>0.79513888888888884</v>
          </cell>
          <cell r="D379" t="str">
            <v>Standard</v>
          </cell>
          <cell r="G379" t="str">
            <v>YNG @ DM</v>
          </cell>
          <cell r="H379" t="str">
            <v>Vs. Non-Conference</v>
          </cell>
          <cell r="I379" t="str">
            <v>YOUNGSTOWN</v>
          </cell>
          <cell r="AC379">
            <v>8</v>
          </cell>
          <cell r="AD379">
            <v>4</v>
          </cell>
          <cell r="AJ379">
            <v>0</v>
          </cell>
          <cell r="AK379">
            <v>0</v>
          </cell>
          <cell r="AN379">
            <v>4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BA379" t="str">
            <v>DES MOINES</v>
          </cell>
          <cell r="BU379">
            <v>8</v>
          </cell>
          <cell r="BV379">
            <v>4</v>
          </cell>
          <cell r="CB379">
            <v>0</v>
          </cell>
          <cell r="CC379">
            <v>0</v>
          </cell>
          <cell r="CF379">
            <v>4</v>
          </cell>
          <cell r="CG379">
            <v>0</v>
          </cell>
          <cell r="CH379">
            <v>0</v>
          </cell>
          <cell r="CI379">
            <v>0</v>
          </cell>
          <cell r="CJ379">
            <v>0</v>
          </cell>
          <cell r="CK379">
            <v>0</v>
          </cell>
        </row>
        <row r="380">
          <cell r="A380">
            <v>43518</v>
          </cell>
          <cell r="B380">
            <v>0.83680555555555547</v>
          </cell>
          <cell r="C380">
            <v>0.79513888888888884</v>
          </cell>
          <cell r="D380" t="str">
            <v>Standard</v>
          </cell>
          <cell r="G380" t="str">
            <v>CHI @ TC</v>
          </cell>
          <cell r="H380" t="str">
            <v>Vs. Non-Conference</v>
          </cell>
          <cell r="I380" t="str">
            <v>CHICAGO</v>
          </cell>
          <cell r="AC380">
            <v>12</v>
          </cell>
          <cell r="AD380">
            <v>6</v>
          </cell>
          <cell r="AJ380">
            <v>0</v>
          </cell>
          <cell r="AK380">
            <v>0</v>
          </cell>
          <cell r="AN380">
            <v>6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BA380" t="str">
            <v>TRI-CITY</v>
          </cell>
          <cell r="BU380">
            <v>16</v>
          </cell>
          <cell r="BV380">
            <v>8</v>
          </cell>
          <cell r="CB380">
            <v>0</v>
          </cell>
          <cell r="CC380">
            <v>0</v>
          </cell>
          <cell r="CF380">
            <v>8</v>
          </cell>
          <cell r="CG380">
            <v>0</v>
          </cell>
          <cell r="CH380">
            <v>0</v>
          </cell>
          <cell r="CI380">
            <v>0</v>
          </cell>
          <cell r="CJ380">
            <v>0</v>
          </cell>
          <cell r="CK380">
            <v>0</v>
          </cell>
        </row>
        <row r="381">
          <cell r="A381">
            <v>43518</v>
          </cell>
          <cell r="B381">
            <v>0.85763888888888884</v>
          </cell>
          <cell r="C381">
            <v>0.81597222222222221</v>
          </cell>
          <cell r="D381" t="str">
            <v>Standard</v>
          </cell>
          <cell r="G381" t="str">
            <v>FGO @ OMA</v>
          </cell>
          <cell r="H381" t="str">
            <v>Vs. Conference</v>
          </cell>
          <cell r="I381" t="str">
            <v>FARGO</v>
          </cell>
          <cell r="AC381">
            <v>10</v>
          </cell>
          <cell r="AD381">
            <v>5</v>
          </cell>
          <cell r="AJ381">
            <v>0</v>
          </cell>
          <cell r="AK381">
            <v>0</v>
          </cell>
          <cell r="AN381">
            <v>5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BA381" t="str">
            <v>OMAHA</v>
          </cell>
          <cell r="BU381">
            <v>6</v>
          </cell>
          <cell r="BV381">
            <v>3</v>
          </cell>
          <cell r="CB381">
            <v>0</v>
          </cell>
          <cell r="CC381">
            <v>0</v>
          </cell>
          <cell r="CF381">
            <v>3</v>
          </cell>
          <cell r="CG381">
            <v>0</v>
          </cell>
          <cell r="CH381">
            <v>0</v>
          </cell>
          <cell r="CI381">
            <v>0</v>
          </cell>
          <cell r="CJ381">
            <v>0</v>
          </cell>
          <cell r="CK381">
            <v>0</v>
          </cell>
        </row>
        <row r="382">
          <cell r="A382">
            <v>43519</v>
          </cell>
          <cell r="B382">
            <v>0.80208333333333337</v>
          </cell>
          <cell r="C382">
            <v>0.76041666666666674</v>
          </cell>
          <cell r="D382" t="str">
            <v>Standard</v>
          </cell>
          <cell r="G382" t="str">
            <v>MAD @ MUS</v>
          </cell>
          <cell r="H382" t="str">
            <v>Vs. Conference</v>
          </cell>
          <cell r="I382" t="str">
            <v>MADISON</v>
          </cell>
          <cell r="AC382">
            <v>8</v>
          </cell>
          <cell r="AD382">
            <v>4</v>
          </cell>
          <cell r="AJ382">
            <v>0</v>
          </cell>
          <cell r="AK382">
            <v>0</v>
          </cell>
          <cell r="AN382">
            <v>4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BA382" t="str">
            <v>MUSKEGON</v>
          </cell>
          <cell r="BU382">
            <v>4</v>
          </cell>
          <cell r="BV382">
            <v>2</v>
          </cell>
          <cell r="CB382">
            <v>0</v>
          </cell>
          <cell r="CC382">
            <v>0</v>
          </cell>
          <cell r="CF382">
            <v>2</v>
          </cell>
          <cell r="CG382">
            <v>0</v>
          </cell>
          <cell r="CH382">
            <v>0</v>
          </cell>
          <cell r="CI382">
            <v>0</v>
          </cell>
          <cell r="CJ382">
            <v>0</v>
          </cell>
          <cell r="CK382">
            <v>0</v>
          </cell>
        </row>
        <row r="383">
          <cell r="A383">
            <v>43519</v>
          </cell>
          <cell r="B383">
            <v>0.83680555555555547</v>
          </cell>
          <cell r="C383">
            <v>0.79513888888888884</v>
          </cell>
          <cell r="D383" t="str">
            <v>Standard</v>
          </cell>
          <cell r="G383" t="str">
            <v>DUB @ CR</v>
          </cell>
          <cell r="H383" t="str">
            <v>Vs. Conference</v>
          </cell>
          <cell r="I383" t="str">
            <v>DUBUQUE</v>
          </cell>
          <cell r="AC383">
            <v>38</v>
          </cell>
          <cell r="AD383">
            <v>11</v>
          </cell>
          <cell r="AJ383">
            <v>0</v>
          </cell>
          <cell r="AK383">
            <v>0</v>
          </cell>
          <cell r="AN383">
            <v>9</v>
          </cell>
          <cell r="AO383">
            <v>0</v>
          </cell>
          <cell r="AP383">
            <v>2</v>
          </cell>
          <cell r="AQ383">
            <v>0</v>
          </cell>
          <cell r="AR383">
            <v>0</v>
          </cell>
          <cell r="AS383">
            <v>0</v>
          </cell>
          <cell r="BA383" t="str">
            <v>CEDAR RAPIDS</v>
          </cell>
          <cell r="BU383">
            <v>32</v>
          </cell>
          <cell r="BV383">
            <v>8</v>
          </cell>
          <cell r="CB383">
            <v>0</v>
          </cell>
          <cell r="CC383">
            <v>0</v>
          </cell>
          <cell r="CF383">
            <v>6</v>
          </cell>
          <cell r="CG383">
            <v>0</v>
          </cell>
          <cell r="CH383">
            <v>2</v>
          </cell>
          <cell r="CI383">
            <v>0</v>
          </cell>
          <cell r="CJ383">
            <v>0</v>
          </cell>
          <cell r="CK383">
            <v>0</v>
          </cell>
        </row>
        <row r="384">
          <cell r="A384">
            <v>43519</v>
          </cell>
          <cell r="B384">
            <v>0.83680555555555547</v>
          </cell>
          <cell r="C384">
            <v>0.79513888888888884</v>
          </cell>
          <cell r="D384" t="str">
            <v>Standard</v>
          </cell>
          <cell r="G384" t="str">
            <v>CIL @ GB</v>
          </cell>
          <cell r="H384" t="str">
            <v>Vs. Conference</v>
          </cell>
          <cell r="I384" t="str">
            <v>CENTRAL ILLINOIS</v>
          </cell>
          <cell r="AC384">
            <v>14</v>
          </cell>
          <cell r="AD384">
            <v>7</v>
          </cell>
          <cell r="AJ384">
            <v>0</v>
          </cell>
          <cell r="AK384">
            <v>0</v>
          </cell>
          <cell r="AN384">
            <v>7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BA384" t="str">
            <v>GREEN BAY</v>
          </cell>
          <cell r="BU384">
            <v>12</v>
          </cell>
          <cell r="BV384">
            <v>6</v>
          </cell>
          <cell r="CB384">
            <v>0</v>
          </cell>
          <cell r="CC384">
            <v>0</v>
          </cell>
          <cell r="CF384">
            <v>6</v>
          </cell>
          <cell r="CG384">
            <v>0</v>
          </cell>
          <cell r="CH384">
            <v>0</v>
          </cell>
          <cell r="CI384">
            <v>0</v>
          </cell>
          <cell r="CJ384">
            <v>0</v>
          </cell>
          <cell r="CK384">
            <v>0</v>
          </cell>
        </row>
        <row r="385">
          <cell r="A385">
            <v>43519</v>
          </cell>
          <cell r="B385">
            <v>0.83680555555555547</v>
          </cell>
          <cell r="C385">
            <v>0.79513888888888884</v>
          </cell>
          <cell r="D385" t="str">
            <v>Standard</v>
          </cell>
          <cell r="G385" t="str">
            <v>FGO @ LIN</v>
          </cell>
          <cell r="H385" t="str">
            <v>Vs. Conference</v>
          </cell>
          <cell r="I385" t="str">
            <v>FARGO</v>
          </cell>
          <cell r="AC385">
            <v>16</v>
          </cell>
          <cell r="AD385">
            <v>4</v>
          </cell>
          <cell r="AJ385">
            <v>0</v>
          </cell>
          <cell r="AK385">
            <v>0</v>
          </cell>
          <cell r="AN385">
            <v>3</v>
          </cell>
          <cell r="AO385">
            <v>0</v>
          </cell>
          <cell r="AP385">
            <v>1</v>
          </cell>
          <cell r="AQ385">
            <v>0</v>
          </cell>
          <cell r="AR385">
            <v>0</v>
          </cell>
          <cell r="AS385">
            <v>0</v>
          </cell>
          <cell r="BA385" t="str">
            <v>LINCOLN</v>
          </cell>
          <cell r="BU385">
            <v>19</v>
          </cell>
          <cell r="BV385">
            <v>4</v>
          </cell>
          <cell r="CB385">
            <v>0</v>
          </cell>
          <cell r="CC385">
            <v>0</v>
          </cell>
          <cell r="CF385">
            <v>2</v>
          </cell>
          <cell r="CG385">
            <v>1</v>
          </cell>
          <cell r="CH385">
            <v>1</v>
          </cell>
          <cell r="CI385">
            <v>0</v>
          </cell>
          <cell r="CJ385">
            <v>0</v>
          </cell>
          <cell r="CK385">
            <v>0</v>
          </cell>
        </row>
        <row r="386">
          <cell r="A386">
            <v>43519</v>
          </cell>
          <cell r="B386">
            <v>0.83680555555555547</v>
          </cell>
          <cell r="C386">
            <v>0.79513888888888884</v>
          </cell>
          <cell r="D386" t="str">
            <v>Standard</v>
          </cell>
          <cell r="G386" t="str">
            <v>OMA @ SF</v>
          </cell>
          <cell r="H386" t="str">
            <v>Vs. Conference</v>
          </cell>
          <cell r="I386" t="str">
            <v>OMAHA</v>
          </cell>
          <cell r="AC386">
            <v>8</v>
          </cell>
          <cell r="AD386">
            <v>4</v>
          </cell>
          <cell r="AJ386">
            <v>0</v>
          </cell>
          <cell r="AK386">
            <v>0</v>
          </cell>
          <cell r="AN386">
            <v>4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BA386" t="str">
            <v>SIOUX FALLS</v>
          </cell>
          <cell r="BU386">
            <v>10</v>
          </cell>
          <cell r="BV386">
            <v>5</v>
          </cell>
          <cell r="CB386">
            <v>0</v>
          </cell>
          <cell r="CC386">
            <v>0</v>
          </cell>
          <cell r="CF386">
            <v>5</v>
          </cell>
          <cell r="CG386">
            <v>0</v>
          </cell>
          <cell r="CH386">
            <v>0</v>
          </cell>
          <cell r="CI386">
            <v>0</v>
          </cell>
          <cell r="CJ386">
            <v>0</v>
          </cell>
          <cell r="CK386">
            <v>0</v>
          </cell>
        </row>
        <row r="387">
          <cell r="A387">
            <v>43519</v>
          </cell>
          <cell r="B387">
            <v>0.83680555555555547</v>
          </cell>
          <cell r="C387">
            <v>0.79513888888888884</v>
          </cell>
          <cell r="D387" t="str">
            <v>Standard</v>
          </cell>
          <cell r="G387" t="str">
            <v>SC @ WAT</v>
          </cell>
          <cell r="H387" t="str">
            <v>Vs. Conference</v>
          </cell>
          <cell r="I387" t="str">
            <v>SIOUX CITY</v>
          </cell>
          <cell r="AC387">
            <v>4</v>
          </cell>
          <cell r="AD387">
            <v>2</v>
          </cell>
          <cell r="AJ387">
            <v>0</v>
          </cell>
          <cell r="AK387">
            <v>0</v>
          </cell>
          <cell r="AN387">
            <v>2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BA387" t="str">
            <v>WATERLOO</v>
          </cell>
          <cell r="BU387">
            <v>4</v>
          </cell>
          <cell r="BV387">
            <v>2</v>
          </cell>
          <cell r="CB387">
            <v>0</v>
          </cell>
          <cell r="CC387">
            <v>0</v>
          </cell>
          <cell r="CF387">
            <v>2</v>
          </cell>
          <cell r="CG387">
            <v>0</v>
          </cell>
          <cell r="CH387">
            <v>0</v>
          </cell>
          <cell r="CI387">
            <v>0</v>
          </cell>
          <cell r="CJ387">
            <v>0</v>
          </cell>
          <cell r="CK387">
            <v>0</v>
          </cell>
        </row>
        <row r="388">
          <cell r="A388">
            <v>43519</v>
          </cell>
          <cell r="B388">
            <v>0.83680555555555547</v>
          </cell>
          <cell r="C388">
            <v>0.79513888888888884</v>
          </cell>
          <cell r="D388" t="str">
            <v>Standard</v>
          </cell>
          <cell r="G388" t="str">
            <v>YNG @ DM</v>
          </cell>
          <cell r="H388" t="str">
            <v>Vs. Non-Conference</v>
          </cell>
          <cell r="I388" t="str">
            <v>YOUNGSTOWN</v>
          </cell>
          <cell r="AC388">
            <v>16</v>
          </cell>
          <cell r="AD388">
            <v>8</v>
          </cell>
          <cell r="AJ388">
            <v>0</v>
          </cell>
          <cell r="AK388">
            <v>0</v>
          </cell>
          <cell r="AN388">
            <v>8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BA388" t="str">
            <v>DES MOINES</v>
          </cell>
          <cell r="BU388">
            <v>12</v>
          </cell>
          <cell r="BV388">
            <v>6</v>
          </cell>
          <cell r="CB388">
            <v>0</v>
          </cell>
          <cell r="CC388">
            <v>0</v>
          </cell>
          <cell r="CF388">
            <v>6</v>
          </cell>
          <cell r="CG388">
            <v>0</v>
          </cell>
          <cell r="CH388">
            <v>0</v>
          </cell>
          <cell r="CI388">
            <v>0</v>
          </cell>
          <cell r="CJ388">
            <v>0</v>
          </cell>
          <cell r="CK388">
            <v>0</v>
          </cell>
        </row>
        <row r="389">
          <cell r="A389">
            <v>43519</v>
          </cell>
          <cell r="B389">
            <v>0.83680555555555547</v>
          </cell>
          <cell r="C389">
            <v>0.79513888888888884</v>
          </cell>
          <cell r="D389" t="str">
            <v>Standard</v>
          </cell>
          <cell r="G389" t="str">
            <v>CHI @ TC</v>
          </cell>
          <cell r="H389" t="str">
            <v>Vs. Non-Conference</v>
          </cell>
          <cell r="I389" t="str">
            <v>CHICAGO</v>
          </cell>
          <cell r="AC389">
            <v>10</v>
          </cell>
          <cell r="AD389">
            <v>5</v>
          </cell>
          <cell r="AJ389">
            <v>0</v>
          </cell>
          <cell r="AK389">
            <v>0</v>
          </cell>
          <cell r="AN389">
            <v>5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BA389" t="str">
            <v>TRI-CITY</v>
          </cell>
          <cell r="BU389">
            <v>4</v>
          </cell>
          <cell r="BV389">
            <v>2</v>
          </cell>
          <cell r="CB389">
            <v>0</v>
          </cell>
          <cell r="CC389">
            <v>0</v>
          </cell>
          <cell r="CF389">
            <v>2</v>
          </cell>
          <cell r="CG389">
            <v>0</v>
          </cell>
          <cell r="CH389">
            <v>0</v>
          </cell>
          <cell r="CI389">
            <v>0</v>
          </cell>
          <cell r="CJ389">
            <v>0</v>
          </cell>
          <cell r="CK389">
            <v>0</v>
          </cell>
        </row>
        <row r="390">
          <cell r="A390">
            <v>43520</v>
          </cell>
          <cell r="B390">
            <v>0.71180555555555547</v>
          </cell>
          <cell r="C390">
            <v>0.67013888888888884</v>
          </cell>
          <cell r="D390" t="str">
            <v>Standard</v>
          </cell>
          <cell r="G390" t="str">
            <v>CHI @ OMA</v>
          </cell>
          <cell r="H390" t="str">
            <v>Vs. Non-Conference</v>
          </cell>
          <cell r="I390" t="str">
            <v>CHICAGO</v>
          </cell>
          <cell r="AC390">
            <v>4</v>
          </cell>
          <cell r="AD390">
            <v>2</v>
          </cell>
          <cell r="AJ390">
            <v>0</v>
          </cell>
          <cell r="AK390">
            <v>0</v>
          </cell>
          <cell r="AN390">
            <v>2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BA390" t="str">
            <v>OMAHA</v>
          </cell>
          <cell r="BU390">
            <v>2</v>
          </cell>
          <cell r="BV390">
            <v>1</v>
          </cell>
          <cell r="CB390">
            <v>0</v>
          </cell>
          <cell r="CC390">
            <v>0</v>
          </cell>
          <cell r="CF390">
            <v>1</v>
          </cell>
          <cell r="CG390">
            <v>0</v>
          </cell>
          <cell r="CH390">
            <v>0</v>
          </cell>
          <cell r="CI390">
            <v>0</v>
          </cell>
          <cell r="CJ390">
            <v>0</v>
          </cell>
          <cell r="CK390">
            <v>0</v>
          </cell>
        </row>
        <row r="391">
          <cell r="A391">
            <v>43520</v>
          </cell>
          <cell r="B391">
            <v>0.71319444444444446</v>
          </cell>
          <cell r="C391">
            <v>0.67152777777777783</v>
          </cell>
          <cell r="D391" t="str">
            <v>Standard</v>
          </cell>
          <cell r="G391" t="str">
            <v>YNG @ CIL</v>
          </cell>
          <cell r="H391" t="str">
            <v>Vs. Conference</v>
          </cell>
          <cell r="I391" t="str">
            <v>YOUNGSTOWN</v>
          </cell>
          <cell r="AC391">
            <v>4</v>
          </cell>
          <cell r="AD391">
            <v>2</v>
          </cell>
          <cell r="AJ391">
            <v>0</v>
          </cell>
          <cell r="AK391">
            <v>0</v>
          </cell>
          <cell r="AN391">
            <v>2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BA391" t="str">
            <v>CENTRAL ILLINOIS</v>
          </cell>
          <cell r="BU391">
            <v>4</v>
          </cell>
          <cell r="BV391">
            <v>2</v>
          </cell>
          <cell r="CB391">
            <v>0</v>
          </cell>
          <cell r="CC391">
            <v>0</v>
          </cell>
          <cell r="CF391">
            <v>2</v>
          </cell>
          <cell r="CG391">
            <v>0</v>
          </cell>
          <cell r="CH391">
            <v>0</v>
          </cell>
          <cell r="CI391">
            <v>0</v>
          </cell>
          <cell r="CJ391">
            <v>0</v>
          </cell>
          <cell r="CK391">
            <v>0</v>
          </cell>
        </row>
        <row r="392">
          <cell r="A392">
            <v>43523</v>
          </cell>
          <cell r="B392">
            <v>0.83680555555555547</v>
          </cell>
          <cell r="C392">
            <v>0.79513888888888884</v>
          </cell>
          <cell r="D392" t="str">
            <v>Standard</v>
          </cell>
          <cell r="G392" t="str">
            <v>CR @ GB</v>
          </cell>
          <cell r="H392" t="str">
            <v>Vs. Conference</v>
          </cell>
          <cell r="I392" t="str">
            <v>CEDAR RAPIDS</v>
          </cell>
          <cell r="AC392">
            <v>19</v>
          </cell>
          <cell r="AD392">
            <v>4</v>
          </cell>
          <cell r="AJ392">
            <v>0</v>
          </cell>
          <cell r="AK392">
            <v>0</v>
          </cell>
          <cell r="AN392">
            <v>2</v>
          </cell>
          <cell r="AO392">
            <v>1</v>
          </cell>
          <cell r="AP392">
            <v>0</v>
          </cell>
          <cell r="AQ392">
            <v>1</v>
          </cell>
          <cell r="AR392">
            <v>0</v>
          </cell>
          <cell r="AS392">
            <v>0</v>
          </cell>
          <cell r="BA392" t="str">
            <v>GREEN BAY</v>
          </cell>
          <cell r="BU392">
            <v>21</v>
          </cell>
          <cell r="BV392">
            <v>5</v>
          </cell>
          <cell r="CB392">
            <v>0</v>
          </cell>
          <cell r="CC392">
            <v>0</v>
          </cell>
          <cell r="CF392">
            <v>3</v>
          </cell>
          <cell r="CG392">
            <v>1</v>
          </cell>
          <cell r="CH392">
            <v>0</v>
          </cell>
          <cell r="CI392">
            <v>1</v>
          </cell>
          <cell r="CJ392">
            <v>0</v>
          </cell>
          <cell r="CK392">
            <v>0</v>
          </cell>
        </row>
        <row r="393">
          <cell r="A393">
            <v>43523</v>
          </cell>
          <cell r="B393">
            <v>0.83819444444444446</v>
          </cell>
          <cell r="C393">
            <v>0.79652777777777783</v>
          </cell>
          <cell r="D393" t="str">
            <v>Standard</v>
          </cell>
          <cell r="G393" t="str">
            <v>USA @ CIL</v>
          </cell>
          <cell r="H393" t="str">
            <v>Vs. Conference</v>
          </cell>
          <cell r="I393" t="str">
            <v>TEAM USA</v>
          </cell>
          <cell r="AC393">
            <v>12</v>
          </cell>
          <cell r="AD393">
            <v>6</v>
          </cell>
          <cell r="AJ393">
            <v>0</v>
          </cell>
          <cell r="AK393">
            <v>0</v>
          </cell>
          <cell r="AN393">
            <v>6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BA393" t="str">
            <v>CENTRAL ILLINOIS</v>
          </cell>
          <cell r="BU393">
            <v>12</v>
          </cell>
          <cell r="BV393">
            <v>6</v>
          </cell>
          <cell r="CB393">
            <v>0</v>
          </cell>
          <cell r="CC393">
            <v>0</v>
          </cell>
          <cell r="CF393">
            <v>6</v>
          </cell>
          <cell r="CG393">
            <v>0</v>
          </cell>
          <cell r="CH393">
            <v>0</v>
          </cell>
          <cell r="CI393">
            <v>0</v>
          </cell>
          <cell r="CJ393">
            <v>0</v>
          </cell>
          <cell r="CK393">
            <v>0</v>
          </cell>
        </row>
        <row r="394">
          <cell r="A394">
            <v>43524</v>
          </cell>
          <cell r="B394">
            <v>0.81597222222222221</v>
          </cell>
          <cell r="C394">
            <v>0.77430555555555547</v>
          </cell>
          <cell r="D394" t="str">
            <v>Standard</v>
          </cell>
          <cell r="G394" t="str">
            <v>OMA @ DM</v>
          </cell>
          <cell r="H394" t="str">
            <v>Vs. Conference</v>
          </cell>
          <cell r="I394" t="str">
            <v>OMAHA</v>
          </cell>
          <cell r="AC394">
            <v>8</v>
          </cell>
          <cell r="AD394">
            <v>4</v>
          </cell>
          <cell r="AJ394">
            <v>0</v>
          </cell>
          <cell r="AK394">
            <v>0</v>
          </cell>
          <cell r="AN394">
            <v>4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BA394" t="str">
            <v>DES MOINES</v>
          </cell>
          <cell r="BU394">
            <v>6</v>
          </cell>
          <cell r="BV394">
            <v>3</v>
          </cell>
          <cell r="CB394">
            <v>0</v>
          </cell>
          <cell r="CC394">
            <v>0</v>
          </cell>
          <cell r="CF394">
            <v>3</v>
          </cell>
          <cell r="CG394">
            <v>0</v>
          </cell>
          <cell r="CH394">
            <v>0</v>
          </cell>
          <cell r="CI394">
            <v>0</v>
          </cell>
          <cell r="CJ394">
            <v>0</v>
          </cell>
          <cell r="CK394">
            <v>0</v>
          </cell>
        </row>
        <row r="395">
          <cell r="A395">
            <v>43525</v>
          </cell>
          <cell r="B395">
            <v>0.83680555555555547</v>
          </cell>
          <cell r="C395">
            <v>0.79513888888888884</v>
          </cell>
          <cell r="D395" t="str">
            <v>Standard</v>
          </cell>
          <cell r="G395" t="str">
            <v>CHI @ DUB</v>
          </cell>
          <cell r="H395" t="str">
            <v>Vs. Conference</v>
          </cell>
          <cell r="I395" t="str">
            <v>CHICAGO</v>
          </cell>
          <cell r="AC395">
            <v>0</v>
          </cell>
          <cell r="AD395">
            <v>0</v>
          </cell>
          <cell r="AJ395">
            <v>0</v>
          </cell>
          <cell r="AK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BA395" t="str">
            <v>DUBUQUE</v>
          </cell>
          <cell r="BU395">
            <v>4</v>
          </cell>
          <cell r="BV395">
            <v>2</v>
          </cell>
          <cell r="CB395">
            <v>0</v>
          </cell>
          <cell r="CC395">
            <v>0</v>
          </cell>
          <cell r="CF395">
            <v>2</v>
          </cell>
          <cell r="CG395">
            <v>0</v>
          </cell>
          <cell r="CH395">
            <v>0</v>
          </cell>
          <cell r="CI395">
            <v>0</v>
          </cell>
          <cell r="CJ395">
            <v>0</v>
          </cell>
          <cell r="CK395">
            <v>0</v>
          </cell>
        </row>
        <row r="396">
          <cell r="A396">
            <v>43525</v>
          </cell>
          <cell r="B396">
            <v>0.83680555555555547</v>
          </cell>
          <cell r="C396">
            <v>0.79513888888888884</v>
          </cell>
          <cell r="D396" t="str">
            <v>Standard</v>
          </cell>
          <cell r="G396" t="str">
            <v>WAT @ FGO</v>
          </cell>
          <cell r="H396" t="str">
            <v>Vs. Conference</v>
          </cell>
          <cell r="I396" t="str">
            <v>WATERLOO</v>
          </cell>
          <cell r="AC396">
            <v>12</v>
          </cell>
          <cell r="AD396">
            <v>6</v>
          </cell>
          <cell r="AJ396">
            <v>0</v>
          </cell>
          <cell r="AK396">
            <v>0</v>
          </cell>
          <cell r="AN396">
            <v>6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BA396" t="str">
            <v>FARGO</v>
          </cell>
          <cell r="BU396">
            <v>10</v>
          </cell>
          <cell r="BV396">
            <v>5</v>
          </cell>
          <cell r="CB396">
            <v>0</v>
          </cell>
          <cell r="CC396">
            <v>0</v>
          </cell>
          <cell r="CF396">
            <v>5</v>
          </cell>
          <cell r="CG396">
            <v>0</v>
          </cell>
          <cell r="CH396">
            <v>0</v>
          </cell>
          <cell r="CI396">
            <v>0</v>
          </cell>
          <cell r="CJ396">
            <v>0</v>
          </cell>
          <cell r="CK396">
            <v>0</v>
          </cell>
        </row>
        <row r="397">
          <cell r="A397">
            <v>43525</v>
          </cell>
          <cell r="B397">
            <v>0.83680555555555547</v>
          </cell>
          <cell r="C397">
            <v>0.79513888888888884</v>
          </cell>
          <cell r="D397" t="str">
            <v>Standard</v>
          </cell>
          <cell r="G397" t="str">
            <v>USA @ MAD</v>
          </cell>
          <cell r="H397" t="str">
            <v>Vs. Conference</v>
          </cell>
          <cell r="I397" t="str">
            <v>TEAM USA</v>
          </cell>
          <cell r="AC397">
            <v>18</v>
          </cell>
          <cell r="AD397">
            <v>5</v>
          </cell>
          <cell r="AJ397">
            <v>0</v>
          </cell>
          <cell r="AK397">
            <v>0</v>
          </cell>
          <cell r="AN397">
            <v>4</v>
          </cell>
          <cell r="AO397">
            <v>0</v>
          </cell>
          <cell r="AP397">
            <v>1</v>
          </cell>
          <cell r="AQ397">
            <v>0</v>
          </cell>
          <cell r="AR397">
            <v>0</v>
          </cell>
          <cell r="AS397">
            <v>0</v>
          </cell>
          <cell r="BA397" t="str">
            <v>MADISON</v>
          </cell>
          <cell r="BU397">
            <v>20</v>
          </cell>
          <cell r="BV397">
            <v>6</v>
          </cell>
          <cell r="CB397">
            <v>0</v>
          </cell>
          <cell r="CC397">
            <v>0</v>
          </cell>
          <cell r="CF397">
            <v>5</v>
          </cell>
          <cell r="CG397">
            <v>0</v>
          </cell>
          <cell r="CH397">
            <v>1</v>
          </cell>
          <cell r="CI397">
            <v>0</v>
          </cell>
          <cell r="CJ397">
            <v>0</v>
          </cell>
          <cell r="CK397">
            <v>0</v>
          </cell>
        </row>
        <row r="398">
          <cell r="A398">
            <v>43525</v>
          </cell>
          <cell r="B398">
            <v>0.83680555555555547</v>
          </cell>
          <cell r="C398">
            <v>0.79513888888888884</v>
          </cell>
          <cell r="D398" t="str">
            <v>Standard</v>
          </cell>
          <cell r="G398" t="str">
            <v>TC @ SF</v>
          </cell>
          <cell r="H398" t="str">
            <v>Vs. Conference</v>
          </cell>
          <cell r="I398" t="str">
            <v>TRI-CITY</v>
          </cell>
          <cell r="AC398">
            <v>31</v>
          </cell>
          <cell r="AD398">
            <v>6</v>
          </cell>
          <cell r="AJ398">
            <v>0</v>
          </cell>
          <cell r="AK398">
            <v>0</v>
          </cell>
          <cell r="AN398">
            <v>3</v>
          </cell>
          <cell r="AO398">
            <v>1</v>
          </cell>
          <cell r="AP398">
            <v>1</v>
          </cell>
          <cell r="AQ398">
            <v>1</v>
          </cell>
          <cell r="AR398">
            <v>0</v>
          </cell>
          <cell r="AS398">
            <v>0</v>
          </cell>
          <cell r="BA398" t="str">
            <v>SIOUX FALLS</v>
          </cell>
          <cell r="BU398">
            <v>25</v>
          </cell>
          <cell r="BV398">
            <v>7</v>
          </cell>
          <cell r="CB398">
            <v>0</v>
          </cell>
          <cell r="CC398">
            <v>0</v>
          </cell>
          <cell r="CF398">
            <v>5</v>
          </cell>
          <cell r="CG398">
            <v>1</v>
          </cell>
          <cell r="CH398">
            <v>1</v>
          </cell>
          <cell r="CI398">
            <v>0</v>
          </cell>
          <cell r="CJ398">
            <v>0</v>
          </cell>
          <cell r="CK398">
            <v>0</v>
          </cell>
        </row>
        <row r="399">
          <cell r="A399">
            <v>43525</v>
          </cell>
          <cell r="B399">
            <v>0.83680555555555547</v>
          </cell>
          <cell r="C399">
            <v>0.79513888888888884</v>
          </cell>
          <cell r="D399" t="str">
            <v>Standard</v>
          </cell>
          <cell r="G399" t="str">
            <v>USA @ SC</v>
          </cell>
          <cell r="H399" t="str">
            <v>Vs. Non-Conference</v>
          </cell>
          <cell r="I399" t="str">
            <v>TEAM USA</v>
          </cell>
          <cell r="AC399">
            <v>20</v>
          </cell>
          <cell r="AD399">
            <v>6</v>
          </cell>
          <cell r="AJ399">
            <v>0</v>
          </cell>
          <cell r="AK399">
            <v>0</v>
          </cell>
          <cell r="AN399">
            <v>5</v>
          </cell>
          <cell r="AO399">
            <v>0</v>
          </cell>
          <cell r="AP399">
            <v>1</v>
          </cell>
          <cell r="AQ399">
            <v>0</v>
          </cell>
          <cell r="AR399">
            <v>0</v>
          </cell>
          <cell r="AS399">
            <v>0</v>
          </cell>
          <cell r="BA399" t="str">
            <v>SIOUX CITY</v>
          </cell>
          <cell r="BU399">
            <v>8</v>
          </cell>
          <cell r="BV399">
            <v>4</v>
          </cell>
          <cell r="CB399">
            <v>0</v>
          </cell>
          <cell r="CC399">
            <v>0</v>
          </cell>
          <cell r="CF399">
            <v>4</v>
          </cell>
          <cell r="CG399">
            <v>0</v>
          </cell>
          <cell r="CH399">
            <v>0</v>
          </cell>
          <cell r="CI399">
            <v>0</v>
          </cell>
          <cell r="CJ399">
            <v>0</v>
          </cell>
          <cell r="CK399">
            <v>0</v>
          </cell>
        </row>
        <row r="400">
          <cell r="A400">
            <v>43525</v>
          </cell>
          <cell r="B400">
            <v>0.83819444444444446</v>
          </cell>
          <cell r="C400">
            <v>0.79652777777777783</v>
          </cell>
          <cell r="D400" t="str">
            <v>Standard</v>
          </cell>
          <cell r="G400" t="str">
            <v>CR @ CIL</v>
          </cell>
          <cell r="H400" t="str">
            <v>Vs. Conference</v>
          </cell>
          <cell r="I400" t="str">
            <v>CEDAR RAPIDS</v>
          </cell>
          <cell r="AC400">
            <v>8</v>
          </cell>
          <cell r="AD400">
            <v>4</v>
          </cell>
          <cell r="AJ400">
            <v>0</v>
          </cell>
          <cell r="AK400">
            <v>0</v>
          </cell>
          <cell r="AN400">
            <v>4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BA400" t="str">
            <v>CENTRAL ILLINOIS</v>
          </cell>
          <cell r="BU400">
            <v>10</v>
          </cell>
          <cell r="BV400">
            <v>5</v>
          </cell>
          <cell r="CB400">
            <v>0</v>
          </cell>
          <cell r="CC400">
            <v>0</v>
          </cell>
          <cell r="CF400">
            <v>5</v>
          </cell>
          <cell r="CG400">
            <v>0</v>
          </cell>
          <cell r="CH400">
            <v>0</v>
          </cell>
          <cell r="CI400">
            <v>0</v>
          </cell>
          <cell r="CJ400">
            <v>0</v>
          </cell>
          <cell r="CK400">
            <v>0</v>
          </cell>
        </row>
        <row r="401">
          <cell r="A401">
            <v>43525</v>
          </cell>
          <cell r="B401">
            <v>0.85763888888888884</v>
          </cell>
          <cell r="C401">
            <v>0.81597222222222221</v>
          </cell>
          <cell r="D401" t="str">
            <v>Standard</v>
          </cell>
          <cell r="G401" t="str">
            <v>LIN @ OMA</v>
          </cell>
          <cell r="H401" t="str">
            <v>Vs. Conference</v>
          </cell>
          <cell r="I401" t="str">
            <v>LINCOLN</v>
          </cell>
          <cell r="AC401">
            <v>6</v>
          </cell>
          <cell r="AD401">
            <v>3</v>
          </cell>
          <cell r="AJ401">
            <v>0</v>
          </cell>
          <cell r="AK401">
            <v>0</v>
          </cell>
          <cell r="AN401">
            <v>3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BA401" t="str">
            <v>OMAHA</v>
          </cell>
          <cell r="BU401">
            <v>8</v>
          </cell>
          <cell r="BV401">
            <v>4</v>
          </cell>
          <cell r="CB401">
            <v>0</v>
          </cell>
          <cell r="CC401">
            <v>0</v>
          </cell>
          <cell r="CF401">
            <v>4</v>
          </cell>
          <cell r="CG401">
            <v>0</v>
          </cell>
          <cell r="CH401">
            <v>0</v>
          </cell>
          <cell r="CI401">
            <v>0</v>
          </cell>
          <cell r="CJ401">
            <v>0</v>
          </cell>
          <cell r="CK401">
            <v>0</v>
          </cell>
        </row>
        <row r="402">
          <cell r="A402">
            <v>43526</v>
          </cell>
          <cell r="B402">
            <v>0.79513888888888884</v>
          </cell>
          <cell r="C402">
            <v>0.75347222222222221</v>
          </cell>
          <cell r="D402" t="str">
            <v>Standard</v>
          </cell>
          <cell r="G402" t="str">
            <v>MUS @ YNG</v>
          </cell>
          <cell r="H402" t="str">
            <v>Vs. Conference</v>
          </cell>
          <cell r="I402" t="str">
            <v>MUSKEGON</v>
          </cell>
          <cell r="AC402">
            <v>10</v>
          </cell>
          <cell r="AD402">
            <v>5</v>
          </cell>
          <cell r="AJ402">
            <v>0</v>
          </cell>
          <cell r="AK402">
            <v>0</v>
          </cell>
          <cell r="AN402">
            <v>5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BA402" t="str">
            <v>YOUNGSTOWN</v>
          </cell>
          <cell r="BU402">
            <v>8</v>
          </cell>
          <cell r="BV402">
            <v>4</v>
          </cell>
          <cell r="CB402">
            <v>0</v>
          </cell>
          <cell r="CC402">
            <v>0</v>
          </cell>
          <cell r="CF402">
            <v>4</v>
          </cell>
          <cell r="CG402">
            <v>0</v>
          </cell>
          <cell r="CH402">
            <v>0</v>
          </cell>
          <cell r="CI402">
            <v>0</v>
          </cell>
          <cell r="CJ402">
            <v>0</v>
          </cell>
          <cell r="CK402">
            <v>0</v>
          </cell>
        </row>
        <row r="403">
          <cell r="A403">
            <v>43526</v>
          </cell>
          <cell r="B403">
            <v>0.83680555555555547</v>
          </cell>
          <cell r="C403">
            <v>0.79513888888888884</v>
          </cell>
          <cell r="D403" t="str">
            <v>Standard</v>
          </cell>
          <cell r="G403" t="str">
            <v>DUB @ CHI</v>
          </cell>
          <cell r="H403" t="str">
            <v>Vs. Conference</v>
          </cell>
          <cell r="I403" t="str">
            <v>DUBUQUE</v>
          </cell>
          <cell r="AC403">
            <v>12</v>
          </cell>
          <cell r="AD403">
            <v>6</v>
          </cell>
          <cell r="AJ403">
            <v>0</v>
          </cell>
          <cell r="AK403">
            <v>0</v>
          </cell>
          <cell r="AN403">
            <v>6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BA403" t="str">
            <v>CHICAGO</v>
          </cell>
          <cell r="BU403">
            <v>8</v>
          </cell>
          <cell r="BV403">
            <v>4</v>
          </cell>
          <cell r="CB403">
            <v>0</v>
          </cell>
          <cell r="CC403">
            <v>0</v>
          </cell>
          <cell r="CF403">
            <v>4</v>
          </cell>
          <cell r="CG403">
            <v>0</v>
          </cell>
          <cell r="CH403">
            <v>0</v>
          </cell>
          <cell r="CI403">
            <v>0</v>
          </cell>
          <cell r="CJ403">
            <v>0</v>
          </cell>
          <cell r="CK403">
            <v>0</v>
          </cell>
        </row>
        <row r="404">
          <cell r="A404">
            <v>43526</v>
          </cell>
          <cell r="B404">
            <v>0.83680555555555547</v>
          </cell>
          <cell r="C404">
            <v>0.79513888888888884</v>
          </cell>
          <cell r="D404" t="str">
            <v>Standard</v>
          </cell>
          <cell r="G404" t="str">
            <v>WAT @ FGO</v>
          </cell>
          <cell r="H404" t="str">
            <v>Vs. Conference</v>
          </cell>
          <cell r="I404" t="str">
            <v>WATERLOO</v>
          </cell>
          <cell r="AC404">
            <v>41</v>
          </cell>
          <cell r="AD404">
            <v>11</v>
          </cell>
          <cell r="AJ404">
            <v>0</v>
          </cell>
          <cell r="AK404">
            <v>1</v>
          </cell>
          <cell r="AN404">
            <v>8</v>
          </cell>
          <cell r="AO404">
            <v>1</v>
          </cell>
          <cell r="AP404">
            <v>2</v>
          </cell>
          <cell r="AQ404">
            <v>0</v>
          </cell>
          <cell r="AR404">
            <v>0</v>
          </cell>
          <cell r="AS404">
            <v>1</v>
          </cell>
          <cell r="BA404" t="str">
            <v>FARGO</v>
          </cell>
          <cell r="BU404">
            <v>39</v>
          </cell>
          <cell r="BV404">
            <v>11</v>
          </cell>
          <cell r="CB404">
            <v>0</v>
          </cell>
          <cell r="CC404">
            <v>0</v>
          </cell>
          <cell r="CF404">
            <v>7</v>
          </cell>
          <cell r="CG404">
            <v>1</v>
          </cell>
          <cell r="CH404">
            <v>2</v>
          </cell>
          <cell r="CI404">
            <v>0</v>
          </cell>
          <cell r="CJ404">
            <v>0</v>
          </cell>
          <cell r="CK404">
            <v>0</v>
          </cell>
        </row>
        <row r="405">
          <cell r="A405">
            <v>43526</v>
          </cell>
          <cell r="B405">
            <v>0.83680555555555547</v>
          </cell>
          <cell r="C405">
            <v>0.79513888888888884</v>
          </cell>
          <cell r="D405" t="str">
            <v>Standard</v>
          </cell>
          <cell r="G405" t="str">
            <v>CIL @ GB</v>
          </cell>
          <cell r="H405" t="str">
            <v>Vs. Conference</v>
          </cell>
          <cell r="I405" t="str">
            <v>CENTRAL ILLINOIS</v>
          </cell>
          <cell r="AC405">
            <v>6</v>
          </cell>
          <cell r="AD405">
            <v>3</v>
          </cell>
          <cell r="AJ405">
            <v>0</v>
          </cell>
          <cell r="AK405">
            <v>0</v>
          </cell>
          <cell r="AN405">
            <v>3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BA405" t="str">
            <v>GREEN BAY</v>
          </cell>
          <cell r="BU405">
            <v>12</v>
          </cell>
          <cell r="BV405">
            <v>6</v>
          </cell>
          <cell r="CB405">
            <v>0</v>
          </cell>
          <cell r="CC405">
            <v>0</v>
          </cell>
          <cell r="CF405">
            <v>6</v>
          </cell>
          <cell r="CG405">
            <v>0</v>
          </cell>
          <cell r="CH405">
            <v>0</v>
          </cell>
          <cell r="CI405">
            <v>0</v>
          </cell>
          <cell r="CJ405">
            <v>0</v>
          </cell>
          <cell r="CK405">
            <v>0</v>
          </cell>
        </row>
        <row r="406">
          <cell r="A406">
            <v>43526</v>
          </cell>
          <cell r="B406">
            <v>0.83680555555555547</v>
          </cell>
          <cell r="C406">
            <v>0.79513888888888884</v>
          </cell>
          <cell r="D406" t="str">
            <v>Standard</v>
          </cell>
          <cell r="G406" t="str">
            <v>OMA @ LIN</v>
          </cell>
          <cell r="H406" t="str">
            <v>Vs. Conference</v>
          </cell>
          <cell r="I406" t="str">
            <v>OMAHA</v>
          </cell>
          <cell r="AC406">
            <v>8</v>
          </cell>
          <cell r="AD406">
            <v>4</v>
          </cell>
          <cell r="AJ406">
            <v>0</v>
          </cell>
          <cell r="AK406">
            <v>0</v>
          </cell>
          <cell r="AN406">
            <v>4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BA406" t="str">
            <v>LINCOLN</v>
          </cell>
          <cell r="BU406">
            <v>4</v>
          </cell>
          <cell r="BV406">
            <v>2</v>
          </cell>
          <cell r="CB406">
            <v>0</v>
          </cell>
          <cell r="CC406">
            <v>0</v>
          </cell>
          <cell r="CF406">
            <v>2</v>
          </cell>
          <cell r="CG406">
            <v>0</v>
          </cell>
          <cell r="CH406">
            <v>0</v>
          </cell>
          <cell r="CI406">
            <v>0</v>
          </cell>
          <cell r="CJ406">
            <v>0</v>
          </cell>
          <cell r="CK406">
            <v>0</v>
          </cell>
        </row>
        <row r="407">
          <cell r="A407">
            <v>43526</v>
          </cell>
          <cell r="B407">
            <v>0.83680555555555547</v>
          </cell>
          <cell r="C407">
            <v>0.79513888888888884</v>
          </cell>
          <cell r="D407" t="str">
            <v>Standard</v>
          </cell>
          <cell r="G407" t="str">
            <v>USA @ MAD</v>
          </cell>
          <cell r="H407" t="str">
            <v>Vs. Conference</v>
          </cell>
          <cell r="I407" t="str">
            <v>TEAM USA</v>
          </cell>
          <cell r="AC407">
            <v>0</v>
          </cell>
          <cell r="AD407">
            <v>0</v>
          </cell>
          <cell r="AJ407">
            <v>0</v>
          </cell>
          <cell r="AK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BA407" t="str">
            <v>MADISON</v>
          </cell>
          <cell r="BU407">
            <v>8</v>
          </cell>
          <cell r="BV407">
            <v>4</v>
          </cell>
          <cell r="CB407">
            <v>0</v>
          </cell>
          <cell r="CC407">
            <v>0</v>
          </cell>
          <cell r="CF407">
            <v>4</v>
          </cell>
          <cell r="CG407">
            <v>0</v>
          </cell>
          <cell r="CH407">
            <v>0</v>
          </cell>
          <cell r="CI407">
            <v>0</v>
          </cell>
          <cell r="CJ407">
            <v>0</v>
          </cell>
          <cell r="CK407">
            <v>0</v>
          </cell>
        </row>
        <row r="408">
          <cell r="A408">
            <v>43526</v>
          </cell>
          <cell r="B408">
            <v>0.83680555555555547</v>
          </cell>
          <cell r="C408">
            <v>0.79513888888888884</v>
          </cell>
          <cell r="D408" t="str">
            <v>Standard</v>
          </cell>
          <cell r="G408" t="str">
            <v>TC @ SF</v>
          </cell>
          <cell r="H408" t="str">
            <v>Vs. Conference</v>
          </cell>
          <cell r="I408" t="str">
            <v>TRI-CITY</v>
          </cell>
          <cell r="AC408">
            <v>6</v>
          </cell>
          <cell r="AD408">
            <v>3</v>
          </cell>
          <cell r="AJ408">
            <v>0</v>
          </cell>
          <cell r="AK408">
            <v>0</v>
          </cell>
          <cell r="AN408">
            <v>3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BA408" t="str">
            <v>SIOUX FALLS</v>
          </cell>
          <cell r="BU408">
            <v>8</v>
          </cell>
          <cell r="BV408">
            <v>4</v>
          </cell>
          <cell r="CB408">
            <v>0</v>
          </cell>
          <cell r="CC408">
            <v>0</v>
          </cell>
          <cell r="CF408">
            <v>4</v>
          </cell>
          <cell r="CG408">
            <v>0</v>
          </cell>
          <cell r="CH408">
            <v>0</v>
          </cell>
          <cell r="CI408">
            <v>0</v>
          </cell>
          <cell r="CJ408">
            <v>0</v>
          </cell>
          <cell r="CK408">
            <v>0</v>
          </cell>
        </row>
        <row r="409">
          <cell r="A409">
            <v>43526</v>
          </cell>
          <cell r="B409">
            <v>0.83680555555555547</v>
          </cell>
          <cell r="C409">
            <v>0.79513888888888884</v>
          </cell>
          <cell r="D409" t="str">
            <v>Standard</v>
          </cell>
          <cell r="G409" t="str">
            <v>DM @ CR</v>
          </cell>
          <cell r="H409" t="str">
            <v>Vs. Non-Conference</v>
          </cell>
          <cell r="I409" t="str">
            <v>DES MOINES</v>
          </cell>
          <cell r="AC409">
            <v>4</v>
          </cell>
          <cell r="AD409">
            <v>2</v>
          </cell>
          <cell r="AJ409">
            <v>0</v>
          </cell>
          <cell r="AK409">
            <v>0</v>
          </cell>
          <cell r="AN409">
            <v>2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BA409" t="str">
            <v>CEDAR RAPIDS</v>
          </cell>
          <cell r="BU409">
            <v>4</v>
          </cell>
          <cell r="BV409">
            <v>2</v>
          </cell>
          <cell r="CB409">
            <v>0</v>
          </cell>
          <cell r="CC409">
            <v>0</v>
          </cell>
          <cell r="CF409">
            <v>2</v>
          </cell>
          <cell r="CG409">
            <v>0</v>
          </cell>
          <cell r="CH409">
            <v>0</v>
          </cell>
          <cell r="CI409">
            <v>0</v>
          </cell>
          <cell r="CJ409">
            <v>0</v>
          </cell>
          <cell r="CK409">
            <v>0</v>
          </cell>
        </row>
        <row r="410">
          <cell r="A410">
            <v>43526</v>
          </cell>
          <cell r="B410">
            <v>0.83680555555555547</v>
          </cell>
          <cell r="C410">
            <v>0.79513888888888884</v>
          </cell>
          <cell r="D410" t="str">
            <v>Standard</v>
          </cell>
          <cell r="G410" t="str">
            <v>USA @ SC</v>
          </cell>
          <cell r="H410" t="str">
            <v>Vs. Non-Conference</v>
          </cell>
          <cell r="I410" t="str">
            <v>TEAM USA</v>
          </cell>
          <cell r="AC410">
            <v>23</v>
          </cell>
          <cell r="AD410">
            <v>6</v>
          </cell>
          <cell r="AJ410">
            <v>0</v>
          </cell>
          <cell r="AK410">
            <v>0</v>
          </cell>
          <cell r="AN410">
            <v>4</v>
          </cell>
          <cell r="AO410">
            <v>1</v>
          </cell>
          <cell r="AP410">
            <v>0</v>
          </cell>
          <cell r="AQ410">
            <v>1</v>
          </cell>
          <cell r="AR410">
            <v>0</v>
          </cell>
          <cell r="AS410">
            <v>0</v>
          </cell>
          <cell r="BA410" t="str">
            <v>SIOUX CITY</v>
          </cell>
          <cell r="BU410">
            <v>4</v>
          </cell>
          <cell r="BV410">
            <v>2</v>
          </cell>
          <cell r="CB410">
            <v>0</v>
          </cell>
          <cell r="CC410">
            <v>0</v>
          </cell>
          <cell r="CF410">
            <v>2</v>
          </cell>
          <cell r="CG410">
            <v>0</v>
          </cell>
          <cell r="CH410">
            <v>0</v>
          </cell>
          <cell r="CI410">
            <v>0</v>
          </cell>
          <cell r="CJ410">
            <v>0</v>
          </cell>
          <cell r="CK410">
            <v>0</v>
          </cell>
        </row>
        <row r="411">
          <cell r="A411">
            <v>43527</v>
          </cell>
          <cell r="B411">
            <v>0.66666666666666663</v>
          </cell>
          <cell r="C411">
            <v>0.625</v>
          </cell>
          <cell r="D411" t="str">
            <v>Standard</v>
          </cell>
          <cell r="G411" t="str">
            <v>SF @ SC</v>
          </cell>
          <cell r="H411" t="str">
            <v>Vs. Conference</v>
          </cell>
          <cell r="I411" t="str">
            <v>SIOUX FALLS</v>
          </cell>
          <cell r="AC411">
            <v>6</v>
          </cell>
          <cell r="AD411">
            <v>3</v>
          </cell>
          <cell r="AJ411">
            <v>0</v>
          </cell>
          <cell r="AK411">
            <v>0</v>
          </cell>
          <cell r="AN411">
            <v>3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BA411" t="str">
            <v>SIOUX CITY</v>
          </cell>
          <cell r="BU411">
            <v>12</v>
          </cell>
          <cell r="BV411">
            <v>6</v>
          </cell>
          <cell r="CB411">
            <v>0</v>
          </cell>
          <cell r="CC411">
            <v>0</v>
          </cell>
          <cell r="CF411">
            <v>6</v>
          </cell>
          <cell r="CG411">
            <v>0</v>
          </cell>
          <cell r="CH411">
            <v>0</v>
          </cell>
          <cell r="CI411">
            <v>0</v>
          </cell>
          <cell r="CJ411">
            <v>0</v>
          </cell>
          <cell r="CK411">
            <v>0</v>
          </cell>
        </row>
        <row r="412">
          <cell r="A412">
            <v>43527</v>
          </cell>
          <cell r="B412">
            <v>0.67013888888888884</v>
          </cell>
          <cell r="C412">
            <v>0.62847222222222221</v>
          </cell>
          <cell r="D412" t="str">
            <v>Standard</v>
          </cell>
          <cell r="G412" t="str">
            <v>CIL @ GB</v>
          </cell>
          <cell r="H412" t="str">
            <v>Vs. Conference</v>
          </cell>
          <cell r="I412" t="str">
            <v>CENTRAL ILLINOIS</v>
          </cell>
          <cell r="AC412">
            <v>4</v>
          </cell>
          <cell r="AD412">
            <v>2</v>
          </cell>
          <cell r="AJ412">
            <v>0</v>
          </cell>
          <cell r="AK412">
            <v>0</v>
          </cell>
          <cell r="AN412">
            <v>2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BA412" t="str">
            <v>GREEN BAY</v>
          </cell>
          <cell r="BU412">
            <v>2</v>
          </cell>
          <cell r="BV412">
            <v>1</v>
          </cell>
          <cell r="CB412">
            <v>0</v>
          </cell>
          <cell r="CC412">
            <v>0</v>
          </cell>
          <cell r="CF412">
            <v>1</v>
          </cell>
          <cell r="CG412">
            <v>0</v>
          </cell>
          <cell r="CH412">
            <v>0</v>
          </cell>
          <cell r="CI412">
            <v>0</v>
          </cell>
          <cell r="CJ412">
            <v>0</v>
          </cell>
          <cell r="CK412">
            <v>0</v>
          </cell>
        </row>
        <row r="413">
          <cell r="A413">
            <v>43527</v>
          </cell>
          <cell r="B413">
            <v>0.70833333333333337</v>
          </cell>
          <cell r="C413">
            <v>0.66666666666666674</v>
          </cell>
          <cell r="D413" t="str">
            <v>Standard</v>
          </cell>
          <cell r="G413" t="str">
            <v>MUS @ YNG</v>
          </cell>
          <cell r="H413" t="str">
            <v>Vs. Conference</v>
          </cell>
          <cell r="I413" t="str">
            <v>MUSKEGON</v>
          </cell>
          <cell r="AC413">
            <v>24</v>
          </cell>
          <cell r="AD413">
            <v>8</v>
          </cell>
          <cell r="AJ413">
            <v>0</v>
          </cell>
          <cell r="AK413">
            <v>0</v>
          </cell>
          <cell r="AN413">
            <v>7</v>
          </cell>
          <cell r="AO413">
            <v>0</v>
          </cell>
          <cell r="AP413">
            <v>1</v>
          </cell>
          <cell r="AQ413">
            <v>0</v>
          </cell>
          <cell r="AR413">
            <v>0</v>
          </cell>
          <cell r="AS413">
            <v>0</v>
          </cell>
          <cell r="BA413" t="str">
            <v>YOUNGSTOWN</v>
          </cell>
          <cell r="BU413">
            <v>12</v>
          </cell>
          <cell r="BV413">
            <v>6</v>
          </cell>
          <cell r="CB413">
            <v>0</v>
          </cell>
          <cell r="CC413">
            <v>0</v>
          </cell>
          <cell r="CF413">
            <v>6</v>
          </cell>
          <cell r="CG413">
            <v>0</v>
          </cell>
          <cell r="CH413">
            <v>0</v>
          </cell>
          <cell r="CI413">
            <v>0</v>
          </cell>
          <cell r="CJ413">
            <v>0</v>
          </cell>
          <cell r="CK413">
            <v>0</v>
          </cell>
        </row>
        <row r="414">
          <cell r="A414">
            <v>43529</v>
          </cell>
          <cell r="B414">
            <v>0.81597222222222221</v>
          </cell>
          <cell r="C414">
            <v>0.77430555555555547</v>
          </cell>
          <cell r="D414" t="str">
            <v>Standard</v>
          </cell>
          <cell r="G414" t="str">
            <v>FGO @ DM</v>
          </cell>
          <cell r="H414" t="str">
            <v>Vs. Conference</v>
          </cell>
          <cell r="I414" t="str">
            <v>FARGO</v>
          </cell>
          <cell r="AC414">
            <v>12</v>
          </cell>
          <cell r="AD414">
            <v>6</v>
          </cell>
          <cell r="AJ414">
            <v>0</v>
          </cell>
          <cell r="AK414">
            <v>0</v>
          </cell>
          <cell r="AN414">
            <v>6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BA414" t="str">
            <v>DES MOINES</v>
          </cell>
          <cell r="BU414">
            <v>14</v>
          </cell>
          <cell r="BV414">
            <v>7</v>
          </cell>
          <cell r="CB414">
            <v>0</v>
          </cell>
          <cell r="CC414">
            <v>0</v>
          </cell>
          <cell r="CF414">
            <v>7</v>
          </cell>
          <cell r="CG414">
            <v>0</v>
          </cell>
          <cell r="CH414">
            <v>0</v>
          </cell>
          <cell r="CI414">
            <v>0</v>
          </cell>
          <cell r="CJ414">
            <v>0</v>
          </cell>
          <cell r="CK414">
            <v>0</v>
          </cell>
        </row>
        <row r="415">
          <cell r="A415">
            <v>43530</v>
          </cell>
          <cell r="B415">
            <v>0.83680555555555547</v>
          </cell>
          <cell r="C415">
            <v>0.79513888888888884</v>
          </cell>
          <cell r="D415" t="str">
            <v>Standard</v>
          </cell>
          <cell r="G415" t="str">
            <v>MAD @ CR</v>
          </cell>
          <cell r="H415" t="str">
            <v>Vs. Conference</v>
          </cell>
          <cell r="I415" t="str">
            <v>MADISON</v>
          </cell>
          <cell r="AC415">
            <v>4</v>
          </cell>
          <cell r="AD415">
            <v>2</v>
          </cell>
          <cell r="AJ415">
            <v>0</v>
          </cell>
          <cell r="AK415">
            <v>0</v>
          </cell>
          <cell r="AN415">
            <v>2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BA415" t="str">
            <v>CEDAR RAPIDS</v>
          </cell>
          <cell r="BU415">
            <v>4</v>
          </cell>
          <cell r="BV415">
            <v>2</v>
          </cell>
          <cell r="CB415">
            <v>0</v>
          </cell>
          <cell r="CC415">
            <v>0</v>
          </cell>
          <cell r="CF415">
            <v>2</v>
          </cell>
          <cell r="CG415">
            <v>0</v>
          </cell>
          <cell r="CH415">
            <v>0</v>
          </cell>
          <cell r="CI415">
            <v>0</v>
          </cell>
          <cell r="CJ415">
            <v>0</v>
          </cell>
          <cell r="CK415">
            <v>0</v>
          </cell>
        </row>
        <row r="416">
          <cell r="A416">
            <v>43532</v>
          </cell>
          <cell r="B416">
            <v>0.83680555555555547</v>
          </cell>
          <cell r="C416">
            <v>0.79513888888888884</v>
          </cell>
          <cell r="D416" t="str">
            <v>Standard</v>
          </cell>
          <cell r="G416" t="str">
            <v>MUS @ DUB</v>
          </cell>
          <cell r="H416" t="str">
            <v>Vs. Conference</v>
          </cell>
          <cell r="I416" t="str">
            <v>MUSKEGON</v>
          </cell>
          <cell r="AC416">
            <v>24</v>
          </cell>
          <cell r="AD416">
            <v>8</v>
          </cell>
          <cell r="AJ416">
            <v>0</v>
          </cell>
          <cell r="AK416">
            <v>0</v>
          </cell>
          <cell r="AN416">
            <v>7</v>
          </cell>
          <cell r="AO416">
            <v>0</v>
          </cell>
          <cell r="AP416">
            <v>1</v>
          </cell>
          <cell r="AQ416">
            <v>0</v>
          </cell>
          <cell r="AR416">
            <v>0</v>
          </cell>
          <cell r="AS416">
            <v>0</v>
          </cell>
          <cell r="BA416" t="str">
            <v>DUBUQUE</v>
          </cell>
          <cell r="BU416">
            <v>10</v>
          </cell>
          <cell r="BV416">
            <v>5</v>
          </cell>
          <cell r="CB416">
            <v>0</v>
          </cell>
          <cell r="CC416">
            <v>0</v>
          </cell>
          <cell r="CF416">
            <v>5</v>
          </cell>
          <cell r="CG416">
            <v>0</v>
          </cell>
          <cell r="CH416">
            <v>0</v>
          </cell>
          <cell r="CI416">
            <v>0</v>
          </cell>
          <cell r="CJ416">
            <v>0</v>
          </cell>
          <cell r="CK416">
            <v>0</v>
          </cell>
        </row>
        <row r="417">
          <cell r="A417">
            <v>43532</v>
          </cell>
          <cell r="B417">
            <v>0.83680555555555547</v>
          </cell>
          <cell r="C417">
            <v>0.79513888888888884</v>
          </cell>
          <cell r="D417" t="str">
            <v>Standard</v>
          </cell>
          <cell r="G417" t="str">
            <v>OMA @ FGO</v>
          </cell>
          <cell r="H417" t="str">
            <v>Vs. Conference</v>
          </cell>
          <cell r="I417" t="str">
            <v>OMAHA</v>
          </cell>
          <cell r="AC417">
            <v>6</v>
          </cell>
          <cell r="AD417">
            <v>3</v>
          </cell>
          <cell r="AJ417">
            <v>0</v>
          </cell>
          <cell r="AK417">
            <v>0</v>
          </cell>
          <cell r="AN417">
            <v>3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BA417" t="str">
            <v>FARGO</v>
          </cell>
          <cell r="BU417">
            <v>6</v>
          </cell>
          <cell r="BV417">
            <v>3</v>
          </cell>
          <cell r="CB417">
            <v>0</v>
          </cell>
          <cell r="CC417">
            <v>0</v>
          </cell>
          <cell r="CF417">
            <v>3</v>
          </cell>
          <cell r="CG417">
            <v>0</v>
          </cell>
          <cell r="CH417">
            <v>0</v>
          </cell>
          <cell r="CI417">
            <v>0</v>
          </cell>
          <cell r="CJ417">
            <v>0</v>
          </cell>
          <cell r="CK417">
            <v>0</v>
          </cell>
        </row>
        <row r="418">
          <cell r="A418">
            <v>43532</v>
          </cell>
          <cell r="B418">
            <v>0.83680555555555547</v>
          </cell>
          <cell r="C418">
            <v>0.79513888888888884</v>
          </cell>
          <cell r="D418" t="str">
            <v>Standard</v>
          </cell>
          <cell r="G418" t="str">
            <v>CIL @ MAD</v>
          </cell>
          <cell r="H418" t="str">
            <v>Vs. Conference</v>
          </cell>
          <cell r="I418" t="str">
            <v>CENTRAL ILLINOIS</v>
          </cell>
          <cell r="AC418">
            <v>21</v>
          </cell>
          <cell r="AD418">
            <v>5</v>
          </cell>
          <cell r="AJ418">
            <v>0</v>
          </cell>
          <cell r="AK418">
            <v>0</v>
          </cell>
          <cell r="AN418">
            <v>3</v>
          </cell>
          <cell r="AO418">
            <v>1</v>
          </cell>
          <cell r="AP418">
            <v>1</v>
          </cell>
          <cell r="AQ418">
            <v>0</v>
          </cell>
          <cell r="AR418">
            <v>0</v>
          </cell>
          <cell r="AS418">
            <v>0</v>
          </cell>
          <cell r="BA418" t="str">
            <v>MADISON</v>
          </cell>
          <cell r="BU418">
            <v>21</v>
          </cell>
          <cell r="BV418">
            <v>5</v>
          </cell>
          <cell r="CB418">
            <v>0</v>
          </cell>
          <cell r="CC418">
            <v>0</v>
          </cell>
          <cell r="CF418">
            <v>3</v>
          </cell>
          <cell r="CG418">
            <v>1</v>
          </cell>
          <cell r="CH418">
            <v>1</v>
          </cell>
          <cell r="CI418">
            <v>0</v>
          </cell>
          <cell r="CJ418">
            <v>0</v>
          </cell>
          <cell r="CK418">
            <v>0</v>
          </cell>
        </row>
        <row r="419">
          <cell r="A419">
            <v>43532</v>
          </cell>
          <cell r="B419">
            <v>0.83680555555555547</v>
          </cell>
          <cell r="C419">
            <v>0.79513888888888884</v>
          </cell>
          <cell r="D419" t="str">
            <v>Standard</v>
          </cell>
          <cell r="G419" t="str">
            <v>SC @ TC</v>
          </cell>
          <cell r="H419" t="str">
            <v>Vs. Conference</v>
          </cell>
          <cell r="I419" t="str">
            <v>SIOUX CITY</v>
          </cell>
          <cell r="AC419">
            <v>10</v>
          </cell>
          <cell r="AD419">
            <v>5</v>
          </cell>
          <cell r="AJ419">
            <v>0</v>
          </cell>
          <cell r="AK419">
            <v>0</v>
          </cell>
          <cell r="AN419">
            <v>5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BA419" t="str">
            <v>TRI-CITY</v>
          </cell>
          <cell r="BU419">
            <v>10</v>
          </cell>
          <cell r="BV419">
            <v>5</v>
          </cell>
          <cell r="CB419">
            <v>0</v>
          </cell>
          <cell r="CC419">
            <v>0</v>
          </cell>
          <cell r="CF419">
            <v>5</v>
          </cell>
          <cell r="CG419">
            <v>0</v>
          </cell>
          <cell r="CH419">
            <v>0</v>
          </cell>
          <cell r="CI419">
            <v>0</v>
          </cell>
          <cell r="CJ419">
            <v>0</v>
          </cell>
          <cell r="CK419">
            <v>0</v>
          </cell>
        </row>
        <row r="420">
          <cell r="A420">
            <v>43532</v>
          </cell>
          <cell r="B420">
            <v>0.83680555555555547</v>
          </cell>
          <cell r="C420">
            <v>0.79513888888888884</v>
          </cell>
          <cell r="D420" t="str">
            <v>Standard</v>
          </cell>
          <cell r="G420" t="str">
            <v>DM @ WAT</v>
          </cell>
          <cell r="H420" t="str">
            <v>Vs. Conference</v>
          </cell>
          <cell r="I420" t="str">
            <v>DES MOINES</v>
          </cell>
          <cell r="AC420">
            <v>10</v>
          </cell>
          <cell r="AD420">
            <v>5</v>
          </cell>
          <cell r="AJ420">
            <v>0</v>
          </cell>
          <cell r="AK420">
            <v>0</v>
          </cell>
          <cell r="AN420">
            <v>5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BA420" t="str">
            <v>WATERLOO</v>
          </cell>
          <cell r="BU420">
            <v>12</v>
          </cell>
          <cell r="BV420">
            <v>6</v>
          </cell>
          <cell r="CB420">
            <v>0</v>
          </cell>
          <cell r="CC420">
            <v>0</v>
          </cell>
          <cell r="CF420">
            <v>6</v>
          </cell>
          <cell r="CG420">
            <v>0</v>
          </cell>
          <cell r="CH420">
            <v>0</v>
          </cell>
          <cell r="CI420">
            <v>0</v>
          </cell>
          <cell r="CJ420">
            <v>0</v>
          </cell>
          <cell r="CK420">
            <v>0</v>
          </cell>
        </row>
        <row r="421">
          <cell r="A421">
            <v>43532</v>
          </cell>
          <cell r="B421">
            <v>0.83680555555555547</v>
          </cell>
          <cell r="C421">
            <v>0.79513888888888884</v>
          </cell>
          <cell r="D421" t="str">
            <v>Standard</v>
          </cell>
          <cell r="G421" t="str">
            <v>SF @ CHI</v>
          </cell>
          <cell r="H421" t="str">
            <v>Vs. Non-Conference</v>
          </cell>
          <cell r="I421" t="str">
            <v>SIOUX FALLS</v>
          </cell>
          <cell r="AC421">
            <v>10</v>
          </cell>
          <cell r="AD421">
            <v>5</v>
          </cell>
          <cell r="AJ421">
            <v>0</v>
          </cell>
          <cell r="AK421">
            <v>0</v>
          </cell>
          <cell r="AN421">
            <v>5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BA421" t="str">
            <v>CHICAGO</v>
          </cell>
          <cell r="BU421">
            <v>8</v>
          </cell>
          <cell r="BV421">
            <v>4</v>
          </cell>
          <cell r="CB421">
            <v>0</v>
          </cell>
          <cell r="CC421">
            <v>0</v>
          </cell>
          <cell r="CF421">
            <v>4</v>
          </cell>
          <cell r="CG421">
            <v>0</v>
          </cell>
          <cell r="CH421">
            <v>0</v>
          </cell>
          <cell r="CI421">
            <v>0</v>
          </cell>
          <cell r="CJ421">
            <v>0</v>
          </cell>
          <cell r="CK421">
            <v>0</v>
          </cell>
        </row>
        <row r="422">
          <cell r="A422">
            <v>43532</v>
          </cell>
          <cell r="B422">
            <v>0.83680555555555547</v>
          </cell>
          <cell r="C422">
            <v>0.79513888888888884</v>
          </cell>
          <cell r="D422" t="str">
            <v>Standard</v>
          </cell>
          <cell r="G422" t="str">
            <v>USA @ LIN</v>
          </cell>
          <cell r="H422" t="str">
            <v>Vs. Non-Conference</v>
          </cell>
          <cell r="I422" t="str">
            <v>TEAM USA</v>
          </cell>
          <cell r="AC422">
            <v>12</v>
          </cell>
          <cell r="AD422">
            <v>6</v>
          </cell>
          <cell r="AJ422">
            <v>0</v>
          </cell>
          <cell r="AK422">
            <v>0</v>
          </cell>
          <cell r="AN422">
            <v>6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BA422" t="str">
            <v>LINCOLN</v>
          </cell>
          <cell r="BU422">
            <v>12</v>
          </cell>
          <cell r="BV422">
            <v>6</v>
          </cell>
          <cell r="CB422">
            <v>0</v>
          </cell>
          <cell r="CC422">
            <v>0</v>
          </cell>
          <cell r="CF422">
            <v>6</v>
          </cell>
          <cell r="CG422">
            <v>0</v>
          </cell>
          <cell r="CH422">
            <v>0</v>
          </cell>
          <cell r="CI422">
            <v>0</v>
          </cell>
          <cell r="CJ422">
            <v>0</v>
          </cell>
          <cell r="CK422">
            <v>0</v>
          </cell>
        </row>
        <row r="423">
          <cell r="A423">
            <v>43533</v>
          </cell>
          <cell r="B423">
            <v>0.79513888888888884</v>
          </cell>
          <cell r="C423">
            <v>0.75347222222222221</v>
          </cell>
          <cell r="D423" t="str">
            <v>Standard</v>
          </cell>
          <cell r="G423" t="str">
            <v>GB @ YNG</v>
          </cell>
          <cell r="H423" t="str">
            <v>Vs. Conference</v>
          </cell>
          <cell r="I423" t="str">
            <v>GREEN BAY</v>
          </cell>
          <cell r="AC423">
            <v>4</v>
          </cell>
          <cell r="AD423">
            <v>2</v>
          </cell>
          <cell r="AJ423">
            <v>0</v>
          </cell>
          <cell r="AK423">
            <v>0</v>
          </cell>
          <cell r="AN423">
            <v>2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BA423" t="str">
            <v>YOUNGSTOWN</v>
          </cell>
          <cell r="BU423">
            <v>6</v>
          </cell>
          <cell r="BV423">
            <v>3</v>
          </cell>
          <cell r="CB423">
            <v>0</v>
          </cell>
          <cell r="CC423">
            <v>0</v>
          </cell>
          <cell r="CF423">
            <v>3</v>
          </cell>
          <cell r="CG423">
            <v>0</v>
          </cell>
          <cell r="CH423">
            <v>0</v>
          </cell>
          <cell r="CI423">
            <v>0</v>
          </cell>
          <cell r="CJ423">
            <v>0</v>
          </cell>
          <cell r="CK423">
            <v>0</v>
          </cell>
        </row>
        <row r="424">
          <cell r="A424">
            <v>43533</v>
          </cell>
          <cell r="B424">
            <v>0.83680555555555547</v>
          </cell>
          <cell r="C424">
            <v>0.79513888888888884</v>
          </cell>
          <cell r="D424" t="str">
            <v>Standard</v>
          </cell>
          <cell r="G424" t="str">
            <v>USA @ CHI</v>
          </cell>
          <cell r="H424" t="str">
            <v>Vs. Conference</v>
          </cell>
          <cell r="I424" t="str">
            <v>TEAM USA</v>
          </cell>
          <cell r="AC424">
            <v>6</v>
          </cell>
          <cell r="AD424">
            <v>3</v>
          </cell>
          <cell r="AJ424">
            <v>0</v>
          </cell>
          <cell r="AK424">
            <v>1</v>
          </cell>
          <cell r="AN424">
            <v>3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1</v>
          </cell>
          <cell r="BA424" t="str">
            <v>CHICAGO</v>
          </cell>
          <cell r="BU424">
            <v>6</v>
          </cell>
          <cell r="BV424">
            <v>4</v>
          </cell>
          <cell r="CB424">
            <v>0</v>
          </cell>
          <cell r="CC424">
            <v>0</v>
          </cell>
          <cell r="CF424">
            <v>3</v>
          </cell>
          <cell r="CG424">
            <v>0</v>
          </cell>
          <cell r="CH424">
            <v>0</v>
          </cell>
          <cell r="CI424">
            <v>0</v>
          </cell>
          <cell r="CJ424">
            <v>0</v>
          </cell>
          <cell r="CK424">
            <v>0</v>
          </cell>
        </row>
        <row r="425">
          <cell r="A425">
            <v>43533</v>
          </cell>
          <cell r="B425">
            <v>0.83680555555555547</v>
          </cell>
          <cell r="C425">
            <v>0.79513888888888884</v>
          </cell>
          <cell r="D425" t="str">
            <v>Standard</v>
          </cell>
          <cell r="G425" t="str">
            <v>OMA @ FGO</v>
          </cell>
          <cell r="H425" t="str">
            <v>Vs. Conference</v>
          </cell>
          <cell r="I425" t="str">
            <v>OMAHA</v>
          </cell>
          <cell r="AC425">
            <v>6</v>
          </cell>
          <cell r="AD425">
            <v>3</v>
          </cell>
          <cell r="AJ425">
            <v>0</v>
          </cell>
          <cell r="AK425">
            <v>0</v>
          </cell>
          <cell r="AN425">
            <v>3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BA425" t="str">
            <v>FARGO</v>
          </cell>
          <cell r="BU425">
            <v>16</v>
          </cell>
          <cell r="BV425">
            <v>8</v>
          </cell>
          <cell r="CB425">
            <v>0</v>
          </cell>
          <cell r="CC425">
            <v>0</v>
          </cell>
          <cell r="CF425">
            <v>8</v>
          </cell>
          <cell r="CG425">
            <v>0</v>
          </cell>
          <cell r="CH425">
            <v>0</v>
          </cell>
          <cell r="CI425">
            <v>0</v>
          </cell>
          <cell r="CJ425">
            <v>0</v>
          </cell>
          <cell r="CK425">
            <v>0</v>
          </cell>
        </row>
        <row r="426">
          <cell r="A426">
            <v>43533</v>
          </cell>
          <cell r="B426">
            <v>0.83680555555555547</v>
          </cell>
          <cell r="C426">
            <v>0.79513888888888884</v>
          </cell>
          <cell r="D426" t="str">
            <v>Standard</v>
          </cell>
          <cell r="G426" t="str">
            <v>CR @ MAD</v>
          </cell>
          <cell r="H426" t="str">
            <v>Vs. Conference</v>
          </cell>
          <cell r="I426" t="str">
            <v>CEDAR RAPIDS</v>
          </cell>
          <cell r="AC426">
            <v>10</v>
          </cell>
          <cell r="AD426">
            <v>5</v>
          </cell>
          <cell r="AJ426">
            <v>0</v>
          </cell>
          <cell r="AK426">
            <v>0</v>
          </cell>
          <cell r="AN426">
            <v>5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BA426" t="str">
            <v>MADISON</v>
          </cell>
          <cell r="BU426">
            <v>14</v>
          </cell>
          <cell r="BV426">
            <v>7</v>
          </cell>
          <cell r="CB426">
            <v>0</v>
          </cell>
          <cell r="CC426">
            <v>0</v>
          </cell>
          <cell r="CF426">
            <v>7</v>
          </cell>
          <cell r="CG426">
            <v>0</v>
          </cell>
          <cell r="CH426">
            <v>0</v>
          </cell>
          <cell r="CI426">
            <v>0</v>
          </cell>
          <cell r="CJ426">
            <v>0</v>
          </cell>
          <cell r="CK426">
            <v>0</v>
          </cell>
        </row>
        <row r="427">
          <cell r="A427">
            <v>43533</v>
          </cell>
          <cell r="B427">
            <v>0.83680555555555547</v>
          </cell>
          <cell r="C427">
            <v>0.79513888888888884</v>
          </cell>
          <cell r="D427" t="str">
            <v>Standard</v>
          </cell>
          <cell r="G427" t="str">
            <v>SC @ TC</v>
          </cell>
          <cell r="H427" t="str">
            <v>Vs. Conference</v>
          </cell>
          <cell r="I427" t="str">
            <v>SIOUX CITY</v>
          </cell>
          <cell r="AC427">
            <v>8</v>
          </cell>
          <cell r="AD427">
            <v>4</v>
          </cell>
          <cell r="AJ427">
            <v>0</v>
          </cell>
          <cell r="AK427">
            <v>0</v>
          </cell>
          <cell r="AN427">
            <v>4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BA427" t="str">
            <v>TRI-CITY</v>
          </cell>
          <cell r="BU427">
            <v>8</v>
          </cell>
          <cell r="BV427">
            <v>4</v>
          </cell>
          <cell r="CB427">
            <v>0</v>
          </cell>
          <cell r="CC427">
            <v>0</v>
          </cell>
          <cell r="CF427">
            <v>4</v>
          </cell>
          <cell r="CG427">
            <v>0</v>
          </cell>
          <cell r="CH427">
            <v>0</v>
          </cell>
          <cell r="CI427">
            <v>0</v>
          </cell>
          <cell r="CJ427">
            <v>0</v>
          </cell>
          <cell r="CK427">
            <v>0</v>
          </cell>
        </row>
        <row r="428">
          <cell r="A428">
            <v>43533</v>
          </cell>
          <cell r="B428">
            <v>0.83680555555555547</v>
          </cell>
          <cell r="C428">
            <v>0.79513888888888884</v>
          </cell>
          <cell r="D428" t="str">
            <v>Standard</v>
          </cell>
          <cell r="G428" t="str">
            <v>SF @ WAT</v>
          </cell>
          <cell r="H428" t="str">
            <v>Vs. Conference</v>
          </cell>
          <cell r="I428" t="str">
            <v>SIOUX FALLS</v>
          </cell>
          <cell r="AC428">
            <v>47</v>
          </cell>
          <cell r="AD428">
            <v>14</v>
          </cell>
          <cell r="AJ428">
            <v>0</v>
          </cell>
          <cell r="AK428">
            <v>0</v>
          </cell>
          <cell r="AN428">
            <v>11</v>
          </cell>
          <cell r="AO428">
            <v>1</v>
          </cell>
          <cell r="AP428">
            <v>2</v>
          </cell>
          <cell r="AQ428">
            <v>0</v>
          </cell>
          <cell r="AR428">
            <v>0</v>
          </cell>
          <cell r="AS428">
            <v>0</v>
          </cell>
          <cell r="BA428" t="str">
            <v>WATERLOO</v>
          </cell>
          <cell r="BU428">
            <v>35</v>
          </cell>
          <cell r="BV428">
            <v>12</v>
          </cell>
          <cell r="CB428">
            <v>0</v>
          </cell>
          <cell r="CC428">
            <v>0</v>
          </cell>
          <cell r="CF428">
            <v>10</v>
          </cell>
          <cell r="CG428">
            <v>1</v>
          </cell>
          <cell r="CH428">
            <v>1</v>
          </cell>
          <cell r="CI428">
            <v>0</v>
          </cell>
          <cell r="CJ428">
            <v>0</v>
          </cell>
          <cell r="CK428">
            <v>0</v>
          </cell>
        </row>
        <row r="429">
          <cell r="A429">
            <v>43533</v>
          </cell>
          <cell r="B429">
            <v>0.83680555555555547</v>
          </cell>
          <cell r="C429">
            <v>0.79513888888888884</v>
          </cell>
          <cell r="D429" t="str">
            <v>Standard</v>
          </cell>
          <cell r="G429" t="str">
            <v>DM @ DUB</v>
          </cell>
          <cell r="H429" t="str">
            <v>Vs. Non-Conference</v>
          </cell>
          <cell r="I429" t="str">
            <v>DES MOINES</v>
          </cell>
          <cell r="AC429">
            <v>6</v>
          </cell>
          <cell r="AD429">
            <v>3</v>
          </cell>
          <cell r="AJ429">
            <v>1</v>
          </cell>
          <cell r="AK429">
            <v>1</v>
          </cell>
          <cell r="AN429">
            <v>3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1</v>
          </cell>
          <cell r="BA429" t="str">
            <v>DUBUQUE</v>
          </cell>
          <cell r="BU429">
            <v>6</v>
          </cell>
          <cell r="BV429">
            <v>4</v>
          </cell>
          <cell r="CB429">
            <v>0</v>
          </cell>
          <cell r="CC429">
            <v>0</v>
          </cell>
          <cell r="CF429">
            <v>3</v>
          </cell>
          <cell r="CG429">
            <v>0</v>
          </cell>
          <cell r="CH429">
            <v>0</v>
          </cell>
          <cell r="CI429">
            <v>0</v>
          </cell>
          <cell r="CJ429">
            <v>0</v>
          </cell>
          <cell r="CK429">
            <v>0</v>
          </cell>
        </row>
        <row r="430">
          <cell r="A430">
            <v>43533</v>
          </cell>
          <cell r="B430">
            <v>0.83680555555555547</v>
          </cell>
          <cell r="C430">
            <v>0.79513888888888884</v>
          </cell>
          <cell r="D430" t="str">
            <v>Standard</v>
          </cell>
          <cell r="G430" t="str">
            <v>USA @ LIN</v>
          </cell>
          <cell r="H430" t="str">
            <v>Vs. Non-Conference</v>
          </cell>
          <cell r="I430" t="str">
            <v>TEAM USA</v>
          </cell>
          <cell r="AC430">
            <v>8</v>
          </cell>
          <cell r="AD430">
            <v>4</v>
          </cell>
          <cell r="AJ430">
            <v>0</v>
          </cell>
          <cell r="AK430">
            <v>0</v>
          </cell>
          <cell r="AN430">
            <v>4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BA430" t="str">
            <v>LINCOLN</v>
          </cell>
          <cell r="BU430">
            <v>6</v>
          </cell>
          <cell r="BV430">
            <v>3</v>
          </cell>
          <cell r="CB430">
            <v>0</v>
          </cell>
          <cell r="CC430">
            <v>0</v>
          </cell>
          <cell r="CF430">
            <v>3</v>
          </cell>
          <cell r="CG430">
            <v>0</v>
          </cell>
          <cell r="CH430">
            <v>0</v>
          </cell>
          <cell r="CI430">
            <v>0</v>
          </cell>
          <cell r="CJ430">
            <v>0</v>
          </cell>
          <cell r="CK430">
            <v>0</v>
          </cell>
        </row>
        <row r="431">
          <cell r="A431">
            <v>43533</v>
          </cell>
          <cell r="B431">
            <v>0.83819444444444446</v>
          </cell>
          <cell r="C431">
            <v>0.79652777777777783</v>
          </cell>
          <cell r="D431" t="str">
            <v>Standard</v>
          </cell>
          <cell r="G431" t="str">
            <v>MUS @ CIL</v>
          </cell>
          <cell r="H431" t="str">
            <v>Vs. Conference</v>
          </cell>
          <cell r="I431" t="str">
            <v>MUSKEGON</v>
          </cell>
          <cell r="AC431">
            <v>8</v>
          </cell>
          <cell r="AD431">
            <v>4</v>
          </cell>
          <cell r="AJ431">
            <v>0</v>
          </cell>
          <cell r="AK431">
            <v>0</v>
          </cell>
          <cell r="AN431">
            <v>4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BA431" t="str">
            <v>CENTRAL ILLINOIS</v>
          </cell>
          <cell r="BU431">
            <v>10</v>
          </cell>
          <cell r="BV431">
            <v>5</v>
          </cell>
          <cell r="CB431">
            <v>0</v>
          </cell>
          <cell r="CC431">
            <v>0</v>
          </cell>
          <cell r="CF431">
            <v>5</v>
          </cell>
          <cell r="CG431">
            <v>0</v>
          </cell>
          <cell r="CH431">
            <v>0</v>
          </cell>
          <cell r="CI431">
            <v>0</v>
          </cell>
          <cell r="CJ431">
            <v>0</v>
          </cell>
          <cell r="CK431">
            <v>0</v>
          </cell>
        </row>
        <row r="432">
          <cell r="A432">
            <v>43534</v>
          </cell>
          <cell r="B432">
            <v>0.70833333333333337</v>
          </cell>
          <cell r="C432">
            <v>0.66666666666666674</v>
          </cell>
          <cell r="D432" t="str">
            <v>Daylight</v>
          </cell>
          <cell r="G432" t="str">
            <v>GB @ YNG</v>
          </cell>
          <cell r="H432" t="str">
            <v>Vs. Conference</v>
          </cell>
          <cell r="I432" t="str">
            <v>GREEN BAY</v>
          </cell>
          <cell r="AC432">
            <v>10</v>
          </cell>
          <cell r="AD432">
            <v>5</v>
          </cell>
          <cell r="AJ432">
            <v>0</v>
          </cell>
          <cell r="AK432">
            <v>0</v>
          </cell>
          <cell r="AN432">
            <v>5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BA432" t="str">
            <v>YOUNGSTOWN</v>
          </cell>
          <cell r="BU432">
            <v>8</v>
          </cell>
          <cell r="BV432">
            <v>4</v>
          </cell>
          <cell r="CB432">
            <v>0</v>
          </cell>
          <cell r="CC432">
            <v>0</v>
          </cell>
          <cell r="CF432">
            <v>4</v>
          </cell>
          <cell r="CG432">
            <v>0</v>
          </cell>
          <cell r="CH432">
            <v>0</v>
          </cell>
          <cell r="CI432">
            <v>0</v>
          </cell>
          <cell r="CJ432">
            <v>0</v>
          </cell>
          <cell r="CK432">
            <v>0</v>
          </cell>
        </row>
        <row r="433">
          <cell r="A433">
            <v>43539</v>
          </cell>
          <cell r="B433">
            <v>0.79166666666666663</v>
          </cell>
          <cell r="C433">
            <v>0.75</v>
          </cell>
          <cell r="D433" t="str">
            <v>Daylight</v>
          </cell>
          <cell r="G433" t="str">
            <v>GB @ USA</v>
          </cell>
          <cell r="H433" t="str">
            <v>Vs. Conference</v>
          </cell>
          <cell r="I433" t="str">
            <v>GREEN BAY</v>
          </cell>
          <cell r="AC433">
            <v>6</v>
          </cell>
          <cell r="AD433">
            <v>3</v>
          </cell>
          <cell r="AJ433">
            <v>0</v>
          </cell>
          <cell r="AK433">
            <v>0</v>
          </cell>
          <cell r="AN433">
            <v>3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BA433" t="str">
            <v>TEAM USA</v>
          </cell>
          <cell r="BU433">
            <v>2</v>
          </cell>
          <cell r="BV433">
            <v>1</v>
          </cell>
          <cell r="CB433">
            <v>0</v>
          </cell>
          <cell r="CC433">
            <v>0</v>
          </cell>
          <cell r="CF433">
            <v>1</v>
          </cell>
          <cell r="CG433">
            <v>0</v>
          </cell>
          <cell r="CH433">
            <v>0</v>
          </cell>
          <cell r="CI433">
            <v>0</v>
          </cell>
          <cell r="CJ433">
            <v>0</v>
          </cell>
          <cell r="CK433">
            <v>0</v>
          </cell>
        </row>
        <row r="434">
          <cell r="A434">
            <v>43539</v>
          </cell>
          <cell r="B434">
            <v>0.80208333333333337</v>
          </cell>
          <cell r="C434">
            <v>0.76041666666666674</v>
          </cell>
          <cell r="D434" t="str">
            <v>Daylight</v>
          </cell>
          <cell r="G434" t="str">
            <v>DM @ MUS</v>
          </cell>
          <cell r="H434" t="str">
            <v>Vs. Non-Conference</v>
          </cell>
          <cell r="I434" t="str">
            <v>DES MOINES</v>
          </cell>
          <cell r="AC434">
            <v>8</v>
          </cell>
          <cell r="AD434">
            <v>4</v>
          </cell>
          <cell r="AJ434">
            <v>0</v>
          </cell>
          <cell r="AK434">
            <v>0</v>
          </cell>
          <cell r="AN434">
            <v>4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BA434" t="str">
            <v>MUSKEGON</v>
          </cell>
          <cell r="BU434">
            <v>4</v>
          </cell>
          <cell r="BV434">
            <v>2</v>
          </cell>
          <cell r="CB434">
            <v>0</v>
          </cell>
          <cell r="CC434">
            <v>0</v>
          </cell>
          <cell r="CF434">
            <v>2</v>
          </cell>
          <cell r="CG434">
            <v>0</v>
          </cell>
          <cell r="CH434">
            <v>0</v>
          </cell>
          <cell r="CI434">
            <v>0</v>
          </cell>
          <cell r="CJ434">
            <v>0</v>
          </cell>
          <cell r="CK434">
            <v>0</v>
          </cell>
        </row>
        <row r="435">
          <cell r="A435">
            <v>43539</v>
          </cell>
          <cell r="B435">
            <v>0.83680555555555547</v>
          </cell>
          <cell r="C435">
            <v>0.79513888888888884</v>
          </cell>
          <cell r="D435" t="str">
            <v>Daylight</v>
          </cell>
          <cell r="G435" t="str">
            <v>USA @ CR</v>
          </cell>
          <cell r="H435" t="str">
            <v>Vs. Conference</v>
          </cell>
          <cell r="I435" t="str">
            <v>TEAM USA</v>
          </cell>
          <cell r="AC435">
            <v>10</v>
          </cell>
          <cell r="AD435">
            <v>5</v>
          </cell>
          <cell r="AJ435">
            <v>0</v>
          </cell>
          <cell r="AK435">
            <v>0</v>
          </cell>
          <cell r="AN435">
            <v>5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BA435" t="str">
            <v>CEDAR RAPIDS</v>
          </cell>
          <cell r="BU435">
            <v>18</v>
          </cell>
          <cell r="BV435">
            <v>5</v>
          </cell>
          <cell r="CB435">
            <v>0</v>
          </cell>
          <cell r="CC435">
            <v>0</v>
          </cell>
          <cell r="CF435">
            <v>4</v>
          </cell>
          <cell r="CG435">
            <v>0</v>
          </cell>
          <cell r="CH435">
            <v>1</v>
          </cell>
          <cell r="CI435">
            <v>0</v>
          </cell>
          <cell r="CJ435">
            <v>0</v>
          </cell>
          <cell r="CK435">
            <v>0</v>
          </cell>
        </row>
        <row r="436">
          <cell r="A436">
            <v>43539</v>
          </cell>
          <cell r="B436">
            <v>0.83680555555555547</v>
          </cell>
          <cell r="C436">
            <v>0.79513888888888884</v>
          </cell>
          <cell r="D436" t="str">
            <v>Daylight</v>
          </cell>
          <cell r="G436" t="str">
            <v>YNG @ CHI</v>
          </cell>
          <cell r="H436" t="str">
            <v>Vs. Conference</v>
          </cell>
          <cell r="I436" t="str">
            <v>YOUNGSTOWN</v>
          </cell>
          <cell r="AC436">
            <v>6</v>
          </cell>
          <cell r="AD436">
            <v>3</v>
          </cell>
          <cell r="AJ436">
            <v>0</v>
          </cell>
          <cell r="AK436">
            <v>0</v>
          </cell>
          <cell r="AN436">
            <v>3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BA436" t="str">
            <v>CHICAGO</v>
          </cell>
          <cell r="BU436">
            <v>10</v>
          </cell>
          <cell r="BV436">
            <v>5</v>
          </cell>
          <cell r="CB436">
            <v>0</v>
          </cell>
          <cell r="CC436">
            <v>0</v>
          </cell>
          <cell r="CF436">
            <v>5</v>
          </cell>
          <cell r="CG436">
            <v>0</v>
          </cell>
          <cell r="CH436">
            <v>0</v>
          </cell>
          <cell r="CI436">
            <v>0</v>
          </cell>
          <cell r="CJ436">
            <v>0</v>
          </cell>
          <cell r="CK436">
            <v>0</v>
          </cell>
        </row>
        <row r="437">
          <cell r="A437">
            <v>43539</v>
          </cell>
          <cell r="B437">
            <v>0.83680555555555547</v>
          </cell>
          <cell r="C437">
            <v>0.79513888888888884</v>
          </cell>
          <cell r="D437" t="str">
            <v>Daylight</v>
          </cell>
          <cell r="G437" t="str">
            <v>MAD @ DUB</v>
          </cell>
          <cell r="H437" t="str">
            <v>Vs. Conference</v>
          </cell>
          <cell r="I437" t="str">
            <v>MADISON</v>
          </cell>
          <cell r="AC437">
            <v>12</v>
          </cell>
          <cell r="AD437">
            <v>2</v>
          </cell>
          <cell r="AJ437">
            <v>0</v>
          </cell>
          <cell r="AK437">
            <v>0</v>
          </cell>
          <cell r="AN437">
            <v>1</v>
          </cell>
          <cell r="AO437">
            <v>0</v>
          </cell>
          <cell r="AP437">
            <v>1</v>
          </cell>
          <cell r="AQ437">
            <v>0</v>
          </cell>
          <cell r="AR437">
            <v>0</v>
          </cell>
          <cell r="AS437">
            <v>0</v>
          </cell>
          <cell r="BA437" t="str">
            <v>DUBUQUE</v>
          </cell>
          <cell r="BU437">
            <v>8</v>
          </cell>
          <cell r="BV437">
            <v>4</v>
          </cell>
          <cell r="CB437">
            <v>0</v>
          </cell>
          <cell r="CC437">
            <v>0</v>
          </cell>
          <cell r="CF437">
            <v>4</v>
          </cell>
          <cell r="CG437">
            <v>0</v>
          </cell>
          <cell r="CH437">
            <v>0</v>
          </cell>
          <cell r="CI437">
            <v>0</v>
          </cell>
          <cell r="CJ437">
            <v>0</v>
          </cell>
          <cell r="CK437">
            <v>0</v>
          </cell>
        </row>
        <row r="438">
          <cell r="A438">
            <v>43539</v>
          </cell>
          <cell r="B438">
            <v>0.83680555555555547</v>
          </cell>
          <cell r="C438">
            <v>0.79513888888888884</v>
          </cell>
          <cell r="D438" t="str">
            <v>Daylight</v>
          </cell>
          <cell r="G438" t="str">
            <v>LIN @ TC</v>
          </cell>
          <cell r="H438" t="str">
            <v>Vs. Conference</v>
          </cell>
          <cell r="I438" t="str">
            <v>LINCOLN</v>
          </cell>
          <cell r="AC438">
            <v>35</v>
          </cell>
          <cell r="AD438">
            <v>12</v>
          </cell>
          <cell r="AJ438">
            <v>0</v>
          </cell>
          <cell r="AK438">
            <v>0</v>
          </cell>
          <cell r="AN438">
            <v>10</v>
          </cell>
          <cell r="AO438">
            <v>1</v>
          </cell>
          <cell r="AP438">
            <v>1</v>
          </cell>
          <cell r="AQ438">
            <v>0</v>
          </cell>
          <cell r="AR438">
            <v>0</v>
          </cell>
          <cell r="AS438">
            <v>0</v>
          </cell>
          <cell r="BA438" t="str">
            <v>TRI-CITY</v>
          </cell>
          <cell r="BU438">
            <v>39</v>
          </cell>
          <cell r="BV438">
            <v>10</v>
          </cell>
          <cell r="CB438">
            <v>0</v>
          </cell>
          <cell r="CC438">
            <v>0</v>
          </cell>
          <cell r="CF438">
            <v>7</v>
          </cell>
          <cell r="CG438">
            <v>1</v>
          </cell>
          <cell r="CH438">
            <v>2</v>
          </cell>
          <cell r="CI438">
            <v>0</v>
          </cell>
          <cell r="CJ438">
            <v>0</v>
          </cell>
          <cell r="CK438">
            <v>0</v>
          </cell>
        </row>
        <row r="439">
          <cell r="A439">
            <v>43539</v>
          </cell>
          <cell r="B439">
            <v>0.85763888888888884</v>
          </cell>
          <cell r="C439">
            <v>0.81597222222222221</v>
          </cell>
          <cell r="D439" t="str">
            <v>Daylight</v>
          </cell>
          <cell r="G439" t="str">
            <v>SF @ OMA</v>
          </cell>
          <cell r="H439" t="str">
            <v>Vs. Conference</v>
          </cell>
          <cell r="I439" t="str">
            <v>SIOUX FALLS</v>
          </cell>
          <cell r="AC439">
            <v>10</v>
          </cell>
          <cell r="AD439">
            <v>5</v>
          </cell>
          <cell r="AJ439">
            <v>0</v>
          </cell>
          <cell r="AK439">
            <v>0</v>
          </cell>
          <cell r="AN439">
            <v>5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BA439" t="str">
            <v>OMAHA</v>
          </cell>
          <cell r="BU439">
            <v>6</v>
          </cell>
          <cell r="BV439">
            <v>3</v>
          </cell>
          <cell r="CB439">
            <v>0</v>
          </cell>
          <cell r="CC439">
            <v>0</v>
          </cell>
          <cell r="CF439">
            <v>3</v>
          </cell>
          <cell r="CG439">
            <v>0</v>
          </cell>
          <cell r="CH439">
            <v>0</v>
          </cell>
          <cell r="CI439">
            <v>0</v>
          </cell>
          <cell r="CJ439">
            <v>0</v>
          </cell>
          <cell r="CK439">
            <v>0</v>
          </cell>
        </row>
        <row r="440">
          <cell r="A440">
            <v>43540</v>
          </cell>
          <cell r="B440">
            <v>0.71875</v>
          </cell>
          <cell r="C440">
            <v>0.67708333333333337</v>
          </cell>
          <cell r="D440" t="str">
            <v>Daylight</v>
          </cell>
          <cell r="G440" t="str">
            <v>DM @ MUS</v>
          </cell>
          <cell r="H440" t="str">
            <v>Vs. Non-Conference</v>
          </cell>
          <cell r="I440" t="str">
            <v>DES MOINES</v>
          </cell>
          <cell r="AC440">
            <v>8</v>
          </cell>
          <cell r="AD440">
            <v>4</v>
          </cell>
          <cell r="AJ440">
            <v>0</v>
          </cell>
          <cell r="AK440">
            <v>0</v>
          </cell>
          <cell r="AN440">
            <v>4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BA440" t="str">
            <v>MUSKEGON</v>
          </cell>
          <cell r="BU440">
            <v>4</v>
          </cell>
          <cell r="BV440">
            <v>2</v>
          </cell>
          <cell r="CB440">
            <v>0</v>
          </cell>
          <cell r="CC440">
            <v>0</v>
          </cell>
          <cell r="CF440">
            <v>2</v>
          </cell>
          <cell r="CG440">
            <v>0</v>
          </cell>
          <cell r="CH440">
            <v>0</v>
          </cell>
          <cell r="CI440">
            <v>0</v>
          </cell>
          <cell r="CJ440">
            <v>0</v>
          </cell>
          <cell r="CK440">
            <v>0</v>
          </cell>
        </row>
        <row r="441">
          <cell r="A441">
            <v>43540</v>
          </cell>
          <cell r="B441">
            <v>0.79166666666666663</v>
          </cell>
          <cell r="C441">
            <v>0.75</v>
          </cell>
          <cell r="D441" t="str">
            <v>Daylight</v>
          </cell>
          <cell r="G441" t="str">
            <v>GB @ USA</v>
          </cell>
          <cell r="H441" t="str">
            <v>Vs. Conference</v>
          </cell>
          <cell r="I441" t="str">
            <v>GREEN BAY</v>
          </cell>
          <cell r="AC441">
            <v>10</v>
          </cell>
          <cell r="AD441">
            <v>5</v>
          </cell>
          <cell r="AJ441">
            <v>0</v>
          </cell>
          <cell r="AK441">
            <v>0</v>
          </cell>
          <cell r="AN441">
            <v>5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BA441" t="str">
            <v>TEAM USA</v>
          </cell>
          <cell r="BU441">
            <v>8</v>
          </cell>
          <cell r="BV441">
            <v>4</v>
          </cell>
          <cell r="CB441">
            <v>0</v>
          </cell>
          <cell r="CC441">
            <v>0</v>
          </cell>
          <cell r="CF441">
            <v>4</v>
          </cell>
          <cell r="CG441">
            <v>0</v>
          </cell>
          <cell r="CH441">
            <v>0</v>
          </cell>
          <cell r="CI441">
            <v>0</v>
          </cell>
          <cell r="CJ441">
            <v>0</v>
          </cell>
          <cell r="CK441">
            <v>0</v>
          </cell>
        </row>
        <row r="442">
          <cell r="A442">
            <v>43540</v>
          </cell>
          <cell r="B442">
            <v>0.83680555555555547</v>
          </cell>
          <cell r="C442">
            <v>0.79513888888888884</v>
          </cell>
          <cell r="D442" t="str">
            <v>Daylight</v>
          </cell>
          <cell r="G442" t="str">
            <v>USA @ CR</v>
          </cell>
          <cell r="H442" t="str">
            <v>Vs. Conference</v>
          </cell>
          <cell r="I442" t="str">
            <v>TEAM USA</v>
          </cell>
          <cell r="AC442">
            <v>8</v>
          </cell>
          <cell r="AD442">
            <v>4</v>
          </cell>
          <cell r="AJ442">
            <v>0</v>
          </cell>
          <cell r="AK442">
            <v>0</v>
          </cell>
          <cell r="AN442">
            <v>4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BA442" t="str">
            <v>CEDAR RAPIDS</v>
          </cell>
          <cell r="BU442">
            <v>8</v>
          </cell>
          <cell r="BV442">
            <v>4</v>
          </cell>
          <cell r="CB442">
            <v>0</v>
          </cell>
          <cell r="CC442">
            <v>0</v>
          </cell>
          <cell r="CF442">
            <v>4</v>
          </cell>
          <cell r="CG442">
            <v>0</v>
          </cell>
          <cell r="CH442">
            <v>0</v>
          </cell>
          <cell r="CI442">
            <v>0</v>
          </cell>
          <cell r="CJ442">
            <v>0</v>
          </cell>
          <cell r="CK442">
            <v>0</v>
          </cell>
        </row>
        <row r="443">
          <cell r="A443">
            <v>43540</v>
          </cell>
          <cell r="B443">
            <v>0.83680555555555547</v>
          </cell>
          <cell r="C443">
            <v>0.79513888888888884</v>
          </cell>
          <cell r="D443" t="str">
            <v>Daylight</v>
          </cell>
          <cell r="G443" t="str">
            <v>DUB @ CHI</v>
          </cell>
          <cell r="H443" t="str">
            <v>Vs. Conference</v>
          </cell>
          <cell r="I443" t="str">
            <v>DUBUQUE</v>
          </cell>
          <cell r="AC443">
            <v>0</v>
          </cell>
          <cell r="AD443">
            <v>0</v>
          </cell>
          <cell r="AJ443">
            <v>0</v>
          </cell>
          <cell r="AK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BA443" t="str">
            <v>CHICAGO</v>
          </cell>
          <cell r="BU443">
            <v>2</v>
          </cell>
          <cell r="BV443">
            <v>1</v>
          </cell>
          <cell r="CB443">
            <v>0</v>
          </cell>
          <cell r="CC443">
            <v>0</v>
          </cell>
          <cell r="CF443">
            <v>1</v>
          </cell>
          <cell r="CG443">
            <v>0</v>
          </cell>
          <cell r="CH443">
            <v>0</v>
          </cell>
          <cell r="CI443">
            <v>0</v>
          </cell>
          <cell r="CJ443">
            <v>0</v>
          </cell>
          <cell r="CK443">
            <v>0</v>
          </cell>
        </row>
        <row r="444">
          <cell r="A444">
            <v>43540</v>
          </cell>
          <cell r="B444">
            <v>0.83680555555555547</v>
          </cell>
          <cell r="C444">
            <v>0.79513888888888884</v>
          </cell>
          <cell r="D444" t="str">
            <v>Daylight</v>
          </cell>
          <cell r="G444" t="str">
            <v>WAT @ FGO</v>
          </cell>
          <cell r="H444" t="str">
            <v>Vs. Conference</v>
          </cell>
          <cell r="I444" t="str">
            <v>WATERLOO</v>
          </cell>
          <cell r="AC444">
            <v>25</v>
          </cell>
          <cell r="AD444">
            <v>7</v>
          </cell>
          <cell r="AJ444">
            <v>0</v>
          </cell>
          <cell r="AK444">
            <v>0</v>
          </cell>
          <cell r="AN444">
            <v>5</v>
          </cell>
          <cell r="AO444">
            <v>1</v>
          </cell>
          <cell r="AP444">
            <v>1</v>
          </cell>
          <cell r="AQ444">
            <v>0</v>
          </cell>
          <cell r="AR444">
            <v>0</v>
          </cell>
          <cell r="AS444">
            <v>0</v>
          </cell>
          <cell r="BA444" t="str">
            <v>FARGO</v>
          </cell>
          <cell r="BU444">
            <v>21</v>
          </cell>
          <cell r="BV444">
            <v>5</v>
          </cell>
          <cell r="CB444">
            <v>0</v>
          </cell>
          <cell r="CC444">
            <v>0</v>
          </cell>
          <cell r="CF444">
            <v>3</v>
          </cell>
          <cell r="CG444">
            <v>1</v>
          </cell>
          <cell r="CH444">
            <v>1</v>
          </cell>
          <cell r="CI444">
            <v>0</v>
          </cell>
          <cell r="CJ444">
            <v>0</v>
          </cell>
          <cell r="CK444">
            <v>0</v>
          </cell>
        </row>
        <row r="445">
          <cell r="A445">
            <v>43540</v>
          </cell>
          <cell r="B445">
            <v>0.83680555555555547</v>
          </cell>
          <cell r="C445">
            <v>0.79513888888888884</v>
          </cell>
          <cell r="D445" t="str">
            <v>Daylight</v>
          </cell>
          <cell r="G445" t="str">
            <v>YNG @ MAD</v>
          </cell>
          <cell r="H445" t="str">
            <v>Vs. Conference</v>
          </cell>
          <cell r="I445" t="str">
            <v>YOUNGSTOWN</v>
          </cell>
          <cell r="AC445">
            <v>8</v>
          </cell>
          <cell r="AD445">
            <v>4</v>
          </cell>
          <cell r="AJ445">
            <v>0</v>
          </cell>
          <cell r="AK445">
            <v>0</v>
          </cell>
          <cell r="AN445">
            <v>4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BA445" t="str">
            <v>MADISON</v>
          </cell>
          <cell r="BU445">
            <v>14</v>
          </cell>
          <cell r="BV445">
            <v>3</v>
          </cell>
          <cell r="CB445">
            <v>0</v>
          </cell>
          <cell r="CC445">
            <v>0</v>
          </cell>
          <cell r="CF445">
            <v>2</v>
          </cell>
          <cell r="CG445">
            <v>0</v>
          </cell>
          <cell r="CH445">
            <v>1</v>
          </cell>
          <cell r="CI445">
            <v>0</v>
          </cell>
          <cell r="CJ445">
            <v>0</v>
          </cell>
          <cell r="CK445">
            <v>0</v>
          </cell>
        </row>
        <row r="446">
          <cell r="A446">
            <v>43540</v>
          </cell>
          <cell r="B446">
            <v>0.83680555555555547</v>
          </cell>
          <cell r="C446">
            <v>0.79513888888888884</v>
          </cell>
          <cell r="D446" t="str">
            <v>Daylight</v>
          </cell>
          <cell r="G446" t="str">
            <v>OMA @ TC</v>
          </cell>
          <cell r="H446" t="str">
            <v>Vs. Conference</v>
          </cell>
          <cell r="I446" t="str">
            <v>OMAHA</v>
          </cell>
          <cell r="AC446">
            <v>20</v>
          </cell>
          <cell r="AD446">
            <v>10</v>
          </cell>
          <cell r="AJ446">
            <v>0</v>
          </cell>
          <cell r="AK446">
            <v>0</v>
          </cell>
          <cell r="AN446">
            <v>10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BA446" t="str">
            <v>TRI-CITY</v>
          </cell>
          <cell r="BU446">
            <v>20</v>
          </cell>
          <cell r="BV446">
            <v>6</v>
          </cell>
          <cell r="CB446">
            <v>0</v>
          </cell>
          <cell r="CC446">
            <v>0</v>
          </cell>
          <cell r="CF446">
            <v>5</v>
          </cell>
          <cell r="CG446">
            <v>0</v>
          </cell>
          <cell r="CH446">
            <v>1</v>
          </cell>
          <cell r="CI446">
            <v>0</v>
          </cell>
          <cell r="CJ446">
            <v>0</v>
          </cell>
          <cell r="CK446">
            <v>0</v>
          </cell>
        </row>
        <row r="447">
          <cell r="A447">
            <v>43540</v>
          </cell>
          <cell r="B447">
            <v>0.83819444444444446</v>
          </cell>
          <cell r="C447">
            <v>0.79652777777777783</v>
          </cell>
          <cell r="D447" t="str">
            <v>Daylight</v>
          </cell>
          <cell r="G447" t="str">
            <v>SC @ CIL</v>
          </cell>
          <cell r="H447" t="str">
            <v>Vs. Non-Conference</v>
          </cell>
          <cell r="I447" t="str">
            <v>SIOUX CITY</v>
          </cell>
          <cell r="AC447">
            <v>18</v>
          </cell>
          <cell r="AD447">
            <v>5</v>
          </cell>
          <cell r="AJ447">
            <v>0</v>
          </cell>
          <cell r="AK447">
            <v>0</v>
          </cell>
          <cell r="AN447">
            <v>4</v>
          </cell>
          <cell r="AO447">
            <v>0</v>
          </cell>
          <cell r="AP447">
            <v>1</v>
          </cell>
          <cell r="AQ447">
            <v>0</v>
          </cell>
          <cell r="AR447">
            <v>0</v>
          </cell>
          <cell r="AS447">
            <v>0</v>
          </cell>
          <cell r="BA447" t="str">
            <v>CENTRAL ILLINOIS</v>
          </cell>
          <cell r="BU447">
            <v>8</v>
          </cell>
          <cell r="BV447">
            <v>4</v>
          </cell>
          <cell r="CB447">
            <v>0</v>
          </cell>
          <cell r="CC447">
            <v>0</v>
          </cell>
          <cell r="CF447">
            <v>4</v>
          </cell>
          <cell r="CG447">
            <v>0</v>
          </cell>
          <cell r="CH447">
            <v>0</v>
          </cell>
          <cell r="CI447">
            <v>0</v>
          </cell>
          <cell r="CJ447">
            <v>0</v>
          </cell>
          <cell r="CK447">
            <v>0</v>
          </cell>
        </row>
        <row r="448">
          <cell r="A448">
            <v>43541</v>
          </cell>
          <cell r="B448">
            <v>0.62847222222222221</v>
          </cell>
          <cell r="C448">
            <v>0.58680555555555558</v>
          </cell>
          <cell r="D448" t="str">
            <v>Daylight</v>
          </cell>
          <cell r="G448" t="str">
            <v>YNG @ MAD</v>
          </cell>
          <cell r="H448" t="str">
            <v>Vs. Conference</v>
          </cell>
          <cell r="I448" t="str">
            <v>YOUNGSTOWN</v>
          </cell>
          <cell r="AC448">
            <v>14</v>
          </cell>
          <cell r="AD448">
            <v>7</v>
          </cell>
          <cell r="AJ448">
            <v>0</v>
          </cell>
          <cell r="AK448">
            <v>0</v>
          </cell>
          <cell r="AN448">
            <v>7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BA448" t="str">
            <v>MADISON</v>
          </cell>
          <cell r="BU448">
            <v>16</v>
          </cell>
          <cell r="BV448">
            <v>8</v>
          </cell>
          <cell r="CB448">
            <v>0</v>
          </cell>
          <cell r="CC448">
            <v>0</v>
          </cell>
          <cell r="CF448">
            <v>8</v>
          </cell>
          <cell r="CG448">
            <v>0</v>
          </cell>
          <cell r="CH448">
            <v>0</v>
          </cell>
          <cell r="CI448">
            <v>0</v>
          </cell>
          <cell r="CJ448">
            <v>0</v>
          </cell>
          <cell r="CK448">
            <v>0</v>
          </cell>
        </row>
        <row r="449">
          <cell r="A449">
            <v>43541</v>
          </cell>
          <cell r="B449">
            <v>0.71319444444444446</v>
          </cell>
          <cell r="C449">
            <v>0.67152777777777783</v>
          </cell>
          <cell r="D449" t="str">
            <v>Daylight</v>
          </cell>
          <cell r="G449" t="str">
            <v>SC @ CIL</v>
          </cell>
          <cell r="H449" t="str">
            <v>Vs. Non-Conference</v>
          </cell>
          <cell r="I449" t="str">
            <v>SIOUX CITY</v>
          </cell>
          <cell r="AC449">
            <v>8</v>
          </cell>
          <cell r="AD449">
            <v>4</v>
          </cell>
          <cell r="AJ449">
            <v>0</v>
          </cell>
          <cell r="AK449">
            <v>0</v>
          </cell>
          <cell r="AN449">
            <v>4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BA449" t="str">
            <v>CENTRAL ILLINOIS</v>
          </cell>
          <cell r="BU449">
            <v>26</v>
          </cell>
          <cell r="BV449">
            <v>9</v>
          </cell>
          <cell r="CB449">
            <v>0</v>
          </cell>
          <cell r="CC449">
            <v>0</v>
          </cell>
          <cell r="CF449">
            <v>8</v>
          </cell>
          <cell r="CG449">
            <v>0</v>
          </cell>
          <cell r="CH449">
            <v>1</v>
          </cell>
          <cell r="CI449">
            <v>0</v>
          </cell>
          <cell r="CJ449">
            <v>0</v>
          </cell>
          <cell r="CK449">
            <v>0</v>
          </cell>
        </row>
        <row r="450">
          <cell r="A450">
            <v>43541</v>
          </cell>
          <cell r="B450">
            <v>0.7534722222222221</v>
          </cell>
          <cell r="C450">
            <v>0.71180555555555547</v>
          </cell>
          <cell r="D450" t="str">
            <v>Daylight</v>
          </cell>
          <cell r="G450" t="str">
            <v>FGO @ SF</v>
          </cell>
          <cell r="H450" t="str">
            <v>Vs. Conference</v>
          </cell>
          <cell r="I450" t="str">
            <v>FARGO</v>
          </cell>
          <cell r="AC450">
            <v>16</v>
          </cell>
          <cell r="AD450">
            <v>8</v>
          </cell>
          <cell r="AJ450">
            <v>0</v>
          </cell>
          <cell r="AK450">
            <v>0</v>
          </cell>
          <cell r="AN450">
            <v>8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BA450" t="str">
            <v>SIOUX FALLS</v>
          </cell>
          <cell r="BU450">
            <v>14</v>
          </cell>
          <cell r="BV450">
            <v>7</v>
          </cell>
          <cell r="CB450">
            <v>0</v>
          </cell>
          <cell r="CC450">
            <v>0</v>
          </cell>
          <cell r="CF450">
            <v>7</v>
          </cell>
          <cell r="CG450">
            <v>0</v>
          </cell>
          <cell r="CH450">
            <v>0</v>
          </cell>
          <cell r="CI450">
            <v>0</v>
          </cell>
          <cell r="CJ450">
            <v>0</v>
          </cell>
          <cell r="CK450">
            <v>0</v>
          </cell>
        </row>
        <row r="451">
          <cell r="A451">
            <v>43543</v>
          </cell>
          <cell r="B451">
            <v>0.83680555555555547</v>
          </cell>
          <cell r="C451">
            <v>0.79513888888888884</v>
          </cell>
          <cell r="D451" t="str">
            <v>Daylight</v>
          </cell>
          <cell r="G451" t="str">
            <v>CHI @ GB</v>
          </cell>
          <cell r="H451" t="str">
            <v>Vs. Conference</v>
          </cell>
          <cell r="I451" t="str">
            <v>CHICAGO</v>
          </cell>
          <cell r="AC451">
            <v>6</v>
          </cell>
          <cell r="AD451">
            <v>3</v>
          </cell>
          <cell r="AJ451">
            <v>0</v>
          </cell>
          <cell r="AK451">
            <v>0</v>
          </cell>
          <cell r="AN451">
            <v>3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BA451" t="str">
            <v>GREEN BAY</v>
          </cell>
          <cell r="BU451">
            <v>10</v>
          </cell>
          <cell r="BV451">
            <v>5</v>
          </cell>
          <cell r="CB451">
            <v>0</v>
          </cell>
          <cell r="CC451">
            <v>0</v>
          </cell>
          <cell r="CF451">
            <v>5</v>
          </cell>
          <cell r="CG451">
            <v>0</v>
          </cell>
          <cell r="CH451">
            <v>0</v>
          </cell>
          <cell r="CI451">
            <v>0</v>
          </cell>
          <cell r="CJ451">
            <v>0</v>
          </cell>
          <cell r="CK451">
            <v>0</v>
          </cell>
        </row>
        <row r="452">
          <cell r="A452">
            <v>43543</v>
          </cell>
          <cell r="B452">
            <v>0.83680555555555547</v>
          </cell>
          <cell r="C452">
            <v>0.79513888888888884</v>
          </cell>
          <cell r="D452" t="str">
            <v>Daylight</v>
          </cell>
          <cell r="G452" t="str">
            <v>LIN @ TC</v>
          </cell>
          <cell r="H452" t="str">
            <v>Vs. Conference</v>
          </cell>
          <cell r="I452" t="str">
            <v>LINCOLN</v>
          </cell>
          <cell r="AC452">
            <v>40</v>
          </cell>
          <cell r="AD452">
            <v>12</v>
          </cell>
          <cell r="AJ452">
            <v>0</v>
          </cell>
          <cell r="AK452">
            <v>0</v>
          </cell>
          <cell r="AN452">
            <v>10</v>
          </cell>
          <cell r="AO452">
            <v>0</v>
          </cell>
          <cell r="AP452">
            <v>2</v>
          </cell>
          <cell r="AQ452">
            <v>0</v>
          </cell>
          <cell r="AR452">
            <v>0</v>
          </cell>
          <cell r="AS452">
            <v>0</v>
          </cell>
          <cell r="BA452" t="str">
            <v>TRI-CITY</v>
          </cell>
          <cell r="BU452">
            <v>33</v>
          </cell>
          <cell r="BV452">
            <v>7</v>
          </cell>
          <cell r="CB452">
            <v>0</v>
          </cell>
          <cell r="CC452">
            <v>0</v>
          </cell>
          <cell r="CF452">
            <v>4</v>
          </cell>
          <cell r="CG452">
            <v>1</v>
          </cell>
          <cell r="CH452">
            <v>1</v>
          </cell>
          <cell r="CI452">
            <v>1</v>
          </cell>
          <cell r="CJ452">
            <v>0</v>
          </cell>
          <cell r="CK452">
            <v>0</v>
          </cell>
        </row>
        <row r="453">
          <cell r="A453">
            <v>43544</v>
          </cell>
          <cell r="B453">
            <v>0.83680555555555547</v>
          </cell>
          <cell r="C453">
            <v>0.79513888888888884</v>
          </cell>
          <cell r="D453" t="str">
            <v>Daylight</v>
          </cell>
          <cell r="G453" t="str">
            <v>DUB @ MAD</v>
          </cell>
          <cell r="H453" t="str">
            <v>Vs. Conference</v>
          </cell>
          <cell r="I453" t="str">
            <v>DUBUQUE</v>
          </cell>
          <cell r="AC453">
            <v>6</v>
          </cell>
          <cell r="AD453">
            <v>3</v>
          </cell>
          <cell r="AJ453">
            <v>0</v>
          </cell>
          <cell r="AK453">
            <v>0</v>
          </cell>
          <cell r="AN453">
            <v>3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BA453" t="str">
            <v>MADISON</v>
          </cell>
          <cell r="BU453">
            <v>6</v>
          </cell>
          <cell r="BV453">
            <v>3</v>
          </cell>
          <cell r="CB453">
            <v>0</v>
          </cell>
          <cell r="CC453">
            <v>0</v>
          </cell>
          <cell r="CF453">
            <v>3</v>
          </cell>
          <cell r="CG453">
            <v>0</v>
          </cell>
          <cell r="CH453">
            <v>0</v>
          </cell>
          <cell r="CI453">
            <v>0</v>
          </cell>
          <cell r="CJ453">
            <v>0</v>
          </cell>
          <cell r="CK453">
            <v>0</v>
          </cell>
        </row>
        <row r="454">
          <cell r="A454">
            <v>43546</v>
          </cell>
          <cell r="B454">
            <v>0.79166666666666663</v>
          </cell>
          <cell r="C454">
            <v>0.75</v>
          </cell>
          <cell r="D454" t="str">
            <v>Daylight</v>
          </cell>
          <cell r="G454" t="str">
            <v>DM @ USA</v>
          </cell>
          <cell r="H454" t="str">
            <v>Vs. Non-Conference</v>
          </cell>
          <cell r="I454" t="str">
            <v>DES MOINES</v>
          </cell>
          <cell r="AC454">
            <v>8</v>
          </cell>
          <cell r="AD454">
            <v>4</v>
          </cell>
          <cell r="AJ454">
            <v>0</v>
          </cell>
          <cell r="AK454">
            <v>0</v>
          </cell>
          <cell r="AN454">
            <v>4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BA454" t="str">
            <v>TEAM USA</v>
          </cell>
          <cell r="BU454">
            <v>8</v>
          </cell>
          <cell r="BV454">
            <v>4</v>
          </cell>
          <cell r="CB454">
            <v>0</v>
          </cell>
          <cell r="CC454">
            <v>0</v>
          </cell>
          <cell r="CF454">
            <v>4</v>
          </cell>
          <cell r="CG454">
            <v>0</v>
          </cell>
          <cell r="CH454">
            <v>0</v>
          </cell>
          <cell r="CI454">
            <v>0</v>
          </cell>
          <cell r="CJ454">
            <v>0</v>
          </cell>
          <cell r="CK454">
            <v>0</v>
          </cell>
        </row>
        <row r="455">
          <cell r="A455">
            <v>43546</v>
          </cell>
          <cell r="B455">
            <v>0.80208333333333337</v>
          </cell>
          <cell r="C455">
            <v>0.76041666666666674</v>
          </cell>
          <cell r="D455" t="str">
            <v>Daylight</v>
          </cell>
          <cell r="G455" t="str">
            <v>YNG @ MUS</v>
          </cell>
          <cell r="H455" t="str">
            <v>Vs. Conference</v>
          </cell>
          <cell r="I455" t="str">
            <v>YOUNGSTOWN</v>
          </cell>
          <cell r="AC455">
            <v>10</v>
          </cell>
          <cell r="AD455">
            <v>5</v>
          </cell>
          <cell r="AJ455">
            <v>0</v>
          </cell>
          <cell r="AK455">
            <v>0</v>
          </cell>
          <cell r="AN455">
            <v>5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BA455" t="str">
            <v>MUSKEGON</v>
          </cell>
          <cell r="BU455">
            <v>12</v>
          </cell>
          <cell r="BV455">
            <v>6</v>
          </cell>
          <cell r="CB455">
            <v>0</v>
          </cell>
          <cell r="CC455">
            <v>0</v>
          </cell>
          <cell r="CF455">
            <v>6</v>
          </cell>
          <cell r="CG455">
            <v>0</v>
          </cell>
          <cell r="CH455">
            <v>0</v>
          </cell>
          <cell r="CI455">
            <v>0</v>
          </cell>
          <cell r="CJ455">
            <v>0</v>
          </cell>
          <cell r="CK455">
            <v>0</v>
          </cell>
        </row>
        <row r="456">
          <cell r="A456">
            <v>43546</v>
          </cell>
          <cell r="B456">
            <v>0.83680555555555547</v>
          </cell>
          <cell r="C456">
            <v>0.79513888888888884</v>
          </cell>
          <cell r="D456" t="str">
            <v>Daylight</v>
          </cell>
          <cell r="G456" t="str">
            <v>CHI @ GB</v>
          </cell>
          <cell r="H456" t="str">
            <v>Vs. Conference</v>
          </cell>
          <cell r="I456" t="str">
            <v>CHICAGO</v>
          </cell>
          <cell r="AC456">
            <v>6</v>
          </cell>
          <cell r="AD456">
            <v>3</v>
          </cell>
          <cell r="AJ456">
            <v>0</v>
          </cell>
          <cell r="AK456">
            <v>0</v>
          </cell>
          <cell r="AN456">
            <v>3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BA456" t="str">
            <v>GREEN BAY</v>
          </cell>
          <cell r="BU456">
            <v>10</v>
          </cell>
          <cell r="BV456">
            <v>5</v>
          </cell>
          <cell r="CB456">
            <v>0</v>
          </cell>
          <cell r="CC456">
            <v>0</v>
          </cell>
          <cell r="CF456">
            <v>5</v>
          </cell>
          <cell r="CG456">
            <v>0</v>
          </cell>
          <cell r="CH456">
            <v>0</v>
          </cell>
          <cell r="CI456">
            <v>0</v>
          </cell>
          <cell r="CJ456">
            <v>0</v>
          </cell>
          <cell r="CK456">
            <v>0</v>
          </cell>
        </row>
        <row r="457">
          <cell r="A457">
            <v>43546</v>
          </cell>
          <cell r="B457">
            <v>0.83680555555555547</v>
          </cell>
          <cell r="C457">
            <v>0.79513888888888884</v>
          </cell>
          <cell r="D457" t="str">
            <v>Daylight</v>
          </cell>
          <cell r="G457" t="str">
            <v>WAT @ CR</v>
          </cell>
          <cell r="H457" t="str">
            <v>Vs. Non-Conference</v>
          </cell>
          <cell r="I457" t="str">
            <v>WATERLOO</v>
          </cell>
          <cell r="AC457">
            <v>8</v>
          </cell>
          <cell r="AD457">
            <v>4</v>
          </cell>
          <cell r="AJ457">
            <v>0</v>
          </cell>
          <cell r="AK457">
            <v>0</v>
          </cell>
          <cell r="AN457">
            <v>4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BA457" t="str">
            <v>CEDAR RAPIDS</v>
          </cell>
          <cell r="BU457">
            <v>4</v>
          </cell>
          <cell r="BV457">
            <v>2</v>
          </cell>
          <cell r="CB457">
            <v>0</v>
          </cell>
          <cell r="CC457">
            <v>0</v>
          </cell>
          <cell r="CF457">
            <v>2</v>
          </cell>
          <cell r="CG457">
            <v>0</v>
          </cell>
          <cell r="CH457">
            <v>0</v>
          </cell>
          <cell r="CI457">
            <v>0</v>
          </cell>
          <cell r="CJ457">
            <v>0</v>
          </cell>
          <cell r="CK457">
            <v>0</v>
          </cell>
        </row>
        <row r="458">
          <cell r="A458">
            <v>43546</v>
          </cell>
          <cell r="B458">
            <v>0.83680555555555547</v>
          </cell>
          <cell r="C458">
            <v>0.79513888888888884</v>
          </cell>
          <cell r="D458" t="str">
            <v>Daylight</v>
          </cell>
          <cell r="G458" t="str">
            <v>TC @ DUB</v>
          </cell>
          <cell r="H458" t="str">
            <v>Vs. Non-Conference</v>
          </cell>
          <cell r="I458" t="str">
            <v>TRI-CITY</v>
          </cell>
          <cell r="AC458">
            <v>8</v>
          </cell>
          <cell r="AD458">
            <v>4</v>
          </cell>
          <cell r="AJ458">
            <v>0</v>
          </cell>
          <cell r="AK458">
            <v>0</v>
          </cell>
          <cell r="AN458">
            <v>4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BA458" t="str">
            <v>DUBUQUE</v>
          </cell>
          <cell r="BU458">
            <v>13</v>
          </cell>
          <cell r="BV458">
            <v>5</v>
          </cell>
          <cell r="CB458">
            <v>0</v>
          </cell>
          <cell r="CC458">
            <v>0</v>
          </cell>
          <cell r="CF458">
            <v>4</v>
          </cell>
          <cell r="CG458">
            <v>1</v>
          </cell>
          <cell r="CH458">
            <v>0</v>
          </cell>
          <cell r="CI458">
            <v>0</v>
          </cell>
          <cell r="CJ458">
            <v>0</v>
          </cell>
          <cell r="CK458">
            <v>0</v>
          </cell>
        </row>
        <row r="459">
          <cell r="A459">
            <v>43546</v>
          </cell>
          <cell r="B459">
            <v>0.83680555555555547</v>
          </cell>
          <cell r="C459">
            <v>0.79513888888888884</v>
          </cell>
          <cell r="D459" t="str">
            <v>Daylight</v>
          </cell>
          <cell r="G459" t="str">
            <v>CIL @ FGO</v>
          </cell>
          <cell r="H459" t="str">
            <v>Vs. Non-Conference</v>
          </cell>
          <cell r="I459" t="str">
            <v>CENTRAL ILLINOIS</v>
          </cell>
          <cell r="AC459">
            <v>23</v>
          </cell>
          <cell r="AD459">
            <v>6</v>
          </cell>
          <cell r="AJ459">
            <v>0</v>
          </cell>
          <cell r="AK459">
            <v>0</v>
          </cell>
          <cell r="AN459">
            <v>4</v>
          </cell>
          <cell r="AO459">
            <v>1</v>
          </cell>
          <cell r="AP459">
            <v>0</v>
          </cell>
          <cell r="AQ459">
            <v>1</v>
          </cell>
          <cell r="AR459">
            <v>0</v>
          </cell>
          <cell r="AS459">
            <v>0</v>
          </cell>
          <cell r="BA459" t="str">
            <v>FARGO</v>
          </cell>
          <cell r="BU459">
            <v>10</v>
          </cell>
          <cell r="BV459">
            <v>5</v>
          </cell>
          <cell r="CB459">
            <v>0</v>
          </cell>
          <cell r="CC459">
            <v>0</v>
          </cell>
          <cell r="CF459">
            <v>5</v>
          </cell>
          <cell r="CG459">
            <v>0</v>
          </cell>
          <cell r="CH459">
            <v>0</v>
          </cell>
          <cell r="CI459">
            <v>0</v>
          </cell>
          <cell r="CJ459">
            <v>0</v>
          </cell>
          <cell r="CK459">
            <v>0</v>
          </cell>
        </row>
        <row r="460">
          <cell r="A460">
            <v>43546</v>
          </cell>
          <cell r="B460">
            <v>0.85763888888888884</v>
          </cell>
          <cell r="C460">
            <v>0.81597222222222221</v>
          </cell>
          <cell r="D460" t="str">
            <v>Daylight</v>
          </cell>
          <cell r="G460" t="str">
            <v>SC @ OMA</v>
          </cell>
          <cell r="H460" t="str">
            <v>Vs. Conference</v>
          </cell>
          <cell r="I460" t="str">
            <v>SIOUX CITY</v>
          </cell>
          <cell r="AC460">
            <v>8</v>
          </cell>
          <cell r="AD460">
            <v>4</v>
          </cell>
          <cell r="AJ460">
            <v>0</v>
          </cell>
          <cell r="AK460">
            <v>0</v>
          </cell>
          <cell r="AN460">
            <v>4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BA460" t="str">
            <v>OMAHA</v>
          </cell>
          <cell r="BU460">
            <v>12</v>
          </cell>
          <cell r="BV460">
            <v>6</v>
          </cell>
          <cell r="CB460">
            <v>0</v>
          </cell>
          <cell r="CC460">
            <v>0</v>
          </cell>
          <cell r="CF460">
            <v>6</v>
          </cell>
          <cell r="CG460">
            <v>0</v>
          </cell>
          <cell r="CH460">
            <v>0</v>
          </cell>
          <cell r="CI460">
            <v>0</v>
          </cell>
          <cell r="CJ460">
            <v>0</v>
          </cell>
          <cell r="CK460">
            <v>0</v>
          </cell>
        </row>
        <row r="461">
          <cell r="A461">
            <v>43547</v>
          </cell>
          <cell r="B461">
            <v>0.79166666666666663</v>
          </cell>
          <cell r="C461">
            <v>0.75</v>
          </cell>
          <cell r="D461" t="str">
            <v>Daylight</v>
          </cell>
          <cell r="G461" t="str">
            <v>DM @ USA</v>
          </cell>
          <cell r="H461" t="str">
            <v>Vs. Non-Conference</v>
          </cell>
          <cell r="I461" t="str">
            <v>DES MOINES</v>
          </cell>
          <cell r="AC461">
            <v>12</v>
          </cell>
          <cell r="AD461">
            <v>6</v>
          </cell>
          <cell r="AJ461">
            <v>0</v>
          </cell>
          <cell r="AK461">
            <v>0</v>
          </cell>
          <cell r="AN461">
            <v>6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BA461" t="str">
            <v>TEAM USA</v>
          </cell>
          <cell r="BU461">
            <v>16</v>
          </cell>
          <cell r="BV461">
            <v>8</v>
          </cell>
          <cell r="CB461">
            <v>0</v>
          </cell>
          <cell r="CC461">
            <v>0</v>
          </cell>
          <cell r="CF461">
            <v>8</v>
          </cell>
          <cell r="CG461">
            <v>0</v>
          </cell>
          <cell r="CH461">
            <v>0</v>
          </cell>
          <cell r="CI461">
            <v>0</v>
          </cell>
          <cell r="CJ461">
            <v>0</v>
          </cell>
          <cell r="CK461">
            <v>0</v>
          </cell>
        </row>
        <row r="462">
          <cell r="A462">
            <v>43547</v>
          </cell>
          <cell r="B462">
            <v>0.80208333333333337</v>
          </cell>
          <cell r="C462">
            <v>0.76041666666666674</v>
          </cell>
          <cell r="D462" t="str">
            <v>Daylight</v>
          </cell>
          <cell r="G462" t="str">
            <v>LIN @ MUS</v>
          </cell>
          <cell r="H462" t="str">
            <v>Vs. Non-Conference</v>
          </cell>
          <cell r="I462" t="str">
            <v>LINCOLN</v>
          </cell>
          <cell r="AC462">
            <v>6</v>
          </cell>
          <cell r="AD462">
            <v>3</v>
          </cell>
          <cell r="AJ462">
            <v>0</v>
          </cell>
          <cell r="AK462">
            <v>0</v>
          </cell>
          <cell r="AN462">
            <v>3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BA462" t="str">
            <v>MUSKEGON</v>
          </cell>
          <cell r="BU462">
            <v>8</v>
          </cell>
          <cell r="BV462">
            <v>4</v>
          </cell>
          <cell r="CB462">
            <v>0</v>
          </cell>
          <cell r="CC462">
            <v>0</v>
          </cell>
          <cell r="CF462">
            <v>4</v>
          </cell>
          <cell r="CG462">
            <v>0</v>
          </cell>
          <cell r="CH462">
            <v>0</v>
          </cell>
          <cell r="CI462">
            <v>0</v>
          </cell>
          <cell r="CJ462">
            <v>0</v>
          </cell>
          <cell r="CK462">
            <v>0</v>
          </cell>
        </row>
        <row r="463">
          <cell r="A463">
            <v>43547</v>
          </cell>
          <cell r="B463">
            <v>0.83680555555555547</v>
          </cell>
          <cell r="C463">
            <v>0.79513888888888884</v>
          </cell>
          <cell r="D463" t="str">
            <v>Daylight</v>
          </cell>
          <cell r="G463" t="str">
            <v>MAD @ GB</v>
          </cell>
          <cell r="H463" t="str">
            <v>Vs. Conference</v>
          </cell>
          <cell r="I463" t="str">
            <v>MADISON</v>
          </cell>
          <cell r="AC463">
            <v>4</v>
          </cell>
          <cell r="AD463">
            <v>2</v>
          </cell>
          <cell r="AJ463">
            <v>0</v>
          </cell>
          <cell r="AK463">
            <v>0</v>
          </cell>
          <cell r="AN463">
            <v>2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BA463" t="str">
            <v>GREEN BAY</v>
          </cell>
          <cell r="BU463">
            <v>6</v>
          </cell>
          <cell r="BV463">
            <v>3</v>
          </cell>
          <cell r="CB463">
            <v>0</v>
          </cell>
          <cell r="CC463">
            <v>0</v>
          </cell>
          <cell r="CF463">
            <v>3</v>
          </cell>
          <cell r="CG463">
            <v>0</v>
          </cell>
          <cell r="CH463">
            <v>0</v>
          </cell>
          <cell r="CI463">
            <v>0</v>
          </cell>
          <cell r="CJ463">
            <v>0</v>
          </cell>
          <cell r="CK463">
            <v>0</v>
          </cell>
        </row>
        <row r="464">
          <cell r="A464">
            <v>43547</v>
          </cell>
          <cell r="B464">
            <v>0.83680555555555547</v>
          </cell>
          <cell r="C464">
            <v>0.79513888888888884</v>
          </cell>
          <cell r="D464" t="str">
            <v>Daylight</v>
          </cell>
          <cell r="G464" t="str">
            <v>SC @ SF</v>
          </cell>
          <cell r="H464" t="str">
            <v>Vs. Conference</v>
          </cell>
          <cell r="I464" t="str">
            <v>SIOUX CITY</v>
          </cell>
          <cell r="AC464">
            <v>14</v>
          </cell>
          <cell r="AD464">
            <v>7</v>
          </cell>
          <cell r="AJ464">
            <v>0</v>
          </cell>
          <cell r="AK464">
            <v>0</v>
          </cell>
          <cell r="AN464">
            <v>7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BA464" t="str">
            <v>SIOUX FALLS</v>
          </cell>
          <cell r="BU464">
            <v>8</v>
          </cell>
          <cell r="BV464">
            <v>4</v>
          </cell>
          <cell r="CB464">
            <v>0</v>
          </cell>
          <cell r="CC464">
            <v>0</v>
          </cell>
          <cell r="CF464">
            <v>4</v>
          </cell>
          <cell r="CG464">
            <v>0</v>
          </cell>
          <cell r="CH464">
            <v>0</v>
          </cell>
          <cell r="CI464">
            <v>0</v>
          </cell>
          <cell r="CJ464">
            <v>0</v>
          </cell>
          <cell r="CK464">
            <v>0</v>
          </cell>
        </row>
        <row r="465">
          <cell r="A465">
            <v>43547</v>
          </cell>
          <cell r="B465">
            <v>0.83680555555555547</v>
          </cell>
          <cell r="C465">
            <v>0.79513888888888884</v>
          </cell>
          <cell r="D465" t="str">
            <v>Daylight</v>
          </cell>
          <cell r="G465" t="str">
            <v>TC @ DUB</v>
          </cell>
          <cell r="H465" t="str">
            <v>Vs. Non-Conference</v>
          </cell>
          <cell r="I465" t="str">
            <v>TRI-CITY</v>
          </cell>
          <cell r="AC465">
            <v>6</v>
          </cell>
          <cell r="AD465">
            <v>3</v>
          </cell>
          <cell r="AJ465">
            <v>0</v>
          </cell>
          <cell r="AK465">
            <v>0</v>
          </cell>
          <cell r="AN465">
            <v>3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BA465" t="str">
            <v>DUBUQUE</v>
          </cell>
          <cell r="BU465">
            <v>10</v>
          </cell>
          <cell r="BV465">
            <v>5</v>
          </cell>
          <cell r="CB465">
            <v>0</v>
          </cell>
          <cell r="CC465">
            <v>0</v>
          </cell>
          <cell r="CF465">
            <v>5</v>
          </cell>
          <cell r="CG465">
            <v>0</v>
          </cell>
          <cell r="CH465">
            <v>0</v>
          </cell>
          <cell r="CI465">
            <v>0</v>
          </cell>
          <cell r="CJ465">
            <v>0</v>
          </cell>
          <cell r="CK465">
            <v>0</v>
          </cell>
        </row>
        <row r="466">
          <cell r="A466">
            <v>43547</v>
          </cell>
          <cell r="B466">
            <v>0.83680555555555547</v>
          </cell>
          <cell r="C466">
            <v>0.79513888888888884</v>
          </cell>
          <cell r="D466" t="str">
            <v>Daylight</v>
          </cell>
          <cell r="G466" t="str">
            <v>CIL @ FGO</v>
          </cell>
          <cell r="H466" t="str">
            <v>Vs. Non-Conference</v>
          </cell>
          <cell r="I466" t="str">
            <v>CENTRAL ILLINOIS</v>
          </cell>
          <cell r="AC466">
            <v>34</v>
          </cell>
          <cell r="AD466">
            <v>9</v>
          </cell>
          <cell r="AJ466">
            <v>0</v>
          </cell>
          <cell r="AK466">
            <v>1</v>
          </cell>
          <cell r="AN466">
            <v>7</v>
          </cell>
          <cell r="AO466">
            <v>0</v>
          </cell>
          <cell r="AP466">
            <v>1</v>
          </cell>
          <cell r="AQ466">
            <v>1</v>
          </cell>
          <cell r="AR466">
            <v>0</v>
          </cell>
          <cell r="AS466">
            <v>1</v>
          </cell>
          <cell r="BA466" t="str">
            <v>FARGO</v>
          </cell>
          <cell r="BU466">
            <v>10</v>
          </cell>
          <cell r="BV466">
            <v>6</v>
          </cell>
          <cell r="CB466">
            <v>0</v>
          </cell>
          <cell r="CC466">
            <v>0</v>
          </cell>
          <cell r="CF466">
            <v>5</v>
          </cell>
          <cell r="CG466">
            <v>0</v>
          </cell>
          <cell r="CH466">
            <v>0</v>
          </cell>
          <cell r="CI466">
            <v>0</v>
          </cell>
          <cell r="CJ466">
            <v>0</v>
          </cell>
          <cell r="CK466">
            <v>0</v>
          </cell>
        </row>
        <row r="467">
          <cell r="A467">
            <v>43547</v>
          </cell>
          <cell r="B467">
            <v>0.83680555555555547</v>
          </cell>
          <cell r="C467">
            <v>0.79513888888888884</v>
          </cell>
          <cell r="D467" t="str">
            <v>Daylight</v>
          </cell>
          <cell r="G467" t="str">
            <v>CR @ WAT</v>
          </cell>
          <cell r="H467" t="str">
            <v>Vs. Non-Conference</v>
          </cell>
          <cell r="I467" t="str">
            <v>CEDAR RAPIDS</v>
          </cell>
          <cell r="AC467">
            <v>39</v>
          </cell>
          <cell r="AD467">
            <v>10</v>
          </cell>
          <cell r="AJ467">
            <v>0</v>
          </cell>
          <cell r="AK467">
            <v>0</v>
          </cell>
          <cell r="AN467">
            <v>7</v>
          </cell>
          <cell r="AO467">
            <v>1</v>
          </cell>
          <cell r="AP467">
            <v>2</v>
          </cell>
          <cell r="AQ467">
            <v>0</v>
          </cell>
          <cell r="AR467">
            <v>0</v>
          </cell>
          <cell r="AS467">
            <v>0</v>
          </cell>
          <cell r="BA467" t="str">
            <v>WATERLOO</v>
          </cell>
          <cell r="BU467">
            <v>63</v>
          </cell>
          <cell r="BV467">
            <v>14</v>
          </cell>
          <cell r="CB467">
            <v>0</v>
          </cell>
          <cell r="CC467">
            <v>0</v>
          </cell>
          <cell r="CF467">
            <v>9</v>
          </cell>
          <cell r="CG467">
            <v>1</v>
          </cell>
          <cell r="CH467">
            <v>3</v>
          </cell>
          <cell r="CI467">
            <v>1</v>
          </cell>
          <cell r="CJ467">
            <v>0</v>
          </cell>
          <cell r="CK467">
            <v>0</v>
          </cell>
        </row>
        <row r="468">
          <cell r="A468">
            <v>43548</v>
          </cell>
          <cell r="B468">
            <v>0.67013888888888884</v>
          </cell>
          <cell r="C468">
            <v>0.62847222222222221</v>
          </cell>
          <cell r="D468" t="str">
            <v>Daylight</v>
          </cell>
          <cell r="G468" t="str">
            <v>MAD @ GB</v>
          </cell>
          <cell r="H468" t="str">
            <v>Vs. Conference</v>
          </cell>
          <cell r="I468" t="str">
            <v>MADISON</v>
          </cell>
          <cell r="AC468">
            <v>4</v>
          </cell>
          <cell r="AD468">
            <v>2</v>
          </cell>
          <cell r="AJ468">
            <v>0</v>
          </cell>
          <cell r="AK468">
            <v>0</v>
          </cell>
          <cell r="AN468">
            <v>2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BA468" t="str">
            <v>GREEN BAY</v>
          </cell>
          <cell r="BU468">
            <v>0</v>
          </cell>
          <cell r="BV468">
            <v>0</v>
          </cell>
          <cell r="CB468">
            <v>0</v>
          </cell>
          <cell r="CC468">
            <v>0</v>
          </cell>
          <cell r="CF468">
            <v>0</v>
          </cell>
          <cell r="CG468">
            <v>0</v>
          </cell>
          <cell r="CH468">
            <v>0</v>
          </cell>
          <cell r="CI468">
            <v>0</v>
          </cell>
          <cell r="CJ468">
            <v>0</v>
          </cell>
          <cell r="CK468">
            <v>0</v>
          </cell>
        </row>
        <row r="469">
          <cell r="A469">
            <v>43548</v>
          </cell>
          <cell r="B469">
            <v>0.67013888888888884</v>
          </cell>
          <cell r="C469">
            <v>0.62847222222222221</v>
          </cell>
          <cell r="D469" t="str">
            <v>Daylight</v>
          </cell>
          <cell r="G469" t="str">
            <v>LIN @ CHI</v>
          </cell>
          <cell r="H469" t="str">
            <v>Vs. Non-Conference</v>
          </cell>
          <cell r="I469" t="str">
            <v>LINCOLN</v>
          </cell>
          <cell r="AC469">
            <v>8</v>
          </cell>
          <cell r="AD469">
            <v>4</v>
          </cell>
          <cell r="AJ469">
            <v>0</v>
          </cell>
          <cell r="AK469">
            <v>0</v>
          </cell>
          <cell r="AN469">
            <v>4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BA469" t="str">
            <v>CHICAGO</v>
          </cell>
          <cell r="BU469">
            <v>4</v>
          </cell>
          <cell r="BV469">
            <v>2</v>
          </cell>
          <cell r="CB469">
            <v>0</v>
          </cell>
          <cell r="CC469">
            <v>0</v>
          </cell>
          <cell r="CF469">
            <v>2</v>
          </cell>
          <cell r="CG469">
            <v>0</v>
          </cell>
          <cell r="CH469">
            <v>0</v>
          </cell>
          <cell r="CI469">
            <v>0</v>
          </cell>
          <cell r="CJ469">
            <v>0</v>
          </cell>
          <cell r="CK469">
            <v>0</v>
          </cell>
        </row>
        <row r="470">
          <cell r="A470">
            <v>43548</v>
          </cell>
          <cell r="B470">
            <v>0.71180555555555547</v>
          </cell>
          <cell r="C470">
            <v>0.67013888888888884</v>
          </cell>
          <cell r="D470" t="str">
            <v>Daylight</v>
          </cell>
          <cell r="G470" t="str">
            <v>SF @ OMA</v>
          </cell>
          <cell r="H470" t="str">
            <v>Vs. Conference</v>
          </cell>
          <cell r="I470" t="str">
            <v>SIOUX FALLS</v>
          </cell>
          <cell r="AC470">
            <v>8</v>
          </cell>
          <cell r="AD470">
            <v>4</v>
          </cell>
          <cell r="AJ470">
            <v>0</v>
          </cell>
          <cell r="AK470">
            <v>0</v>
          </cell>
          <cell r="AN470">
            <v>4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BA470" t="str">
            <v>OMAHA</v>
          </cell>
          <cell r="BU470">
            <v>8</v>
          </cell>
          <cell r="BV470">
            <v>4</v>
          </cell>
          <cell r="CB470">
            <v>0</v>
          </cell>
          <cell r="CC470">
            <v>0</v>
          </cell>
          <cell r="CF470">
            <v>4</v>
          </cell>
          <cell r="CG470">
            <v>0</v>
          </cell>
          <cell r="CH470">
            <v>0</v>
          </cell>
          <cell r="CI470">
            <v>0</v>
          </cell>
          <cell r="CJ470">
            <v>0</v>
          </cell>
          <cell r="CK470">
            <v>0</v>
          </cell>
        </row>
        <row r="471">
          <cell r="A471">
            <v>43548</v>
          </cell>
          <cell r="B471">
            <v>0.7534722222222221</v>
          </cell>
          <cell r="C471">
            <v>0.71180555555555547</v>
          </cell>
          <cell r="D471" t="str">
            <v>Daylight</v>
          </cell>
          <cell r="G471" t="str">
            <v>FGO @ SC</v>
          </cell>
          <cell r="H471" t="str">
            <v>Vs. Conference</v>
          </cell>
          <cell r="I471" t="str">
            <v>FARGO</v>
          </cell>
          <cell r="AC471">
            <v>10</v>
          </cell>
          <cell r="AD471">
            <v>5</v>
          </cell>
          <cell r="AJ471">
            <v>0</v>
          </cell>
          <cell r="AK471">
            <v>0</v>
          </cell>
          <cell r="AN471">
            <v>5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BA471" t="str">
            <v>SIOUX CITY</v>
          </cell>
          <cell r="BU471">
            <v>16</v>
          </cell>
          <cell r="BV471">
            <v>8</v>
          </cell>
          <cell r="CB471">
            <v>0</v>
          </cell>
          <cell r="CC471">
            <v>0</v>
          </cell>
          <cell r="CF471">
            <v>8</v>
          </cell>
          <cell r="CG471">
            <v>0</v>
          </cell>
          <cell r="CH471">
            <v>0</v>
          </cell>
          <cell r="CI471">
            <v>0</v>
          </cell>
          <cell r="CJ471">
            <v>0</v>
          </cell>
          <cell r="CK471">
            <v>0</v>
          </cell>
        </row>
        <row r="472">
          <cell r="A472">
            <v>43550</v>
          </cell>
          <cell r="B472">
            <v>0.83680555555555547</v>
          </cell>
          <cell r="C472">
            <v>0.79513888888888884</v>
          </cell>
          <cell r="D472" t="str">
            <v>Daylight</v>
          </cell>
          <cell r="G472" t="str">
            <v>SF @ WAT</v>
          </cell>
          <cell r="H472" t="str">
            <v>Vs. Conference</v>
          </cell>
          <cell r="I472" t="str">
            <v>SIOUX FALLS</v>
          </cell>
          <cell r="AC472">
            <v>10</v>
          </cell>
          <cell r="AD472">
            <v>5</v>
          </cell>
          <cell r="AJ472">
            <v>0</v>
          </cell>
          <cell r="AK472">
            <v>0</v>
          </cell>
          <cell r="AN472">
            <v>5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BA472" t="str">
            <v>WATERLOO</v>
          </cell>
          <cell r="BU472">
            <v>14</v>
          </cell>
          <cell r="BV472">
            <v>7</v>
          </cell>
          <cell r="CB472">
            <v>0</v>
          </cell>
          <cell r="CC472">
            <v>0</v>
          </cell>
          <cell r="CF472">
            <v>7</v>
          </cell>
          <cell r="CG472">
            <v>0</v>
          </cell>
          <cell r="CH472">
            <v>0</v>
          </cell>
          <cell r="CI472">
            <v>0</v>
          </cell>
          <cell r="CJ472">
            <v>0</v>
          </cell>
          <cell r="CK472">
            <v>0</v>
          </cell>
        </row>
        <row r="473">
          <cell r="A473">
            <v>43551</v>
          </cell>
          <cell r="B473">
            <v>0.41666666666666669</v>
          </cell>
          <cell r="C473">
            <v>0.37500000000000006</v>
          </cell>
          <cell r="D473" t="str">
            <v>Daylight</v>
          </cell>
          <cell r="G473" t="str">
            <v>USA @ YNG</v>
          </cell>
          <cell r="H473" t="str">
            <v>Vs. Conference</v>
          </cell>
          <cell r="I473" t="str">
            <v>TEAM USA</v>
          </cell>
          <cell r="AC473">
            <v>10</v>
          </cell>
          <cell r="AD473">
            <v>5</v>
          </cell>
          <cell r="AJ473">
            <v>0</v>
          </cell>
          <cell r="AK473">
            <v>0</v>
          </cell>
          <cell r="AN473">
            <v>5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BA473" t="str">
            <v>YOUNGSTOWN</v>
          </cell>
          <cell r="BU473">
            <v>8</v>
          </cell>
          <cell r="BV473">
            <v>4</v>
          </cell>
          <cell r="CB473">
            <v>0</v>
          </cell>
          <cell r="CC473">
            <v>0</v>
          </cell>
          <cell r="CF473">
            <v>4</v>
          </cell>
          <cell r="CG473">
            <v>0</v>
          </cell>
          <cell r="CH473">
            <v>0</v>
          </cell>
          <cell r="CI473">
            <v>0</v>
          </cell>
          <cell r="CJ473">
            <v>0</v>
          </cell>
          <cell r="CK473">
            <v>0</v>
          </cell>
        </row>
        <row r="474">
          <cell r="A474">
            <v>43551</v>
          </cell>
          <cell r="B474">
            <v>0.83680555555555547</v>
          </cell>
          <cell r="C474">
            <v>0.79513888888888884</v>
          </cell>
          <cell r="D474" t="str">
            <v>Daylight</v>
          </cell>
          <cell r="G474" t="str">
            <v>CHI @ CR</v>
          </cell>
          <cell r="H474" t="str">
            <v>Vs. Conference</v>
          </cell>
          <cell r="I474" t="str">
            <v>CHICAGO</v>
          </cell>
          <cell r="AC474">
            <v>2</v>
          </cell>
          <cell r="AD474">
            <v>1</v>
          </cell>
          <cell r="AJ474">
            <v>0</v>
          </cell>
          <cell r="AK474">
            <v>0</v>
          </cell>
          <cell r="AN474">
            <v>1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BA474" t="str">
            <v>CEDAR RAPIDS</v>
          </cell>
          <cell r="BU474">
            <v>0</v>
          </cell>
          <cell r="BV474">
            <v>0</v>
          </cell>
          <cell r="CB474">
            <v>0</v>
          </cell>
          <cell r="CC474">
            <v>0</v>
          </cell>
          <cell r="CF474">
            <v>0</v>
          </cell>
          <cell r="CG474">
            <v>0</v>
          </cell>
          <cell r="CH474">
            <v>0</v>
          </cell>
          <cell r="CI474">
            <v>0</v>
          </cell>
          <cell r="CJ474">
            <v>0</v>
          </cell>
          <cell r="CK474">
            <v>0</v>
          </cell>
        </row>
        <row r="475">
          <cell r="A475">
            <v>43553</v>
          </cell>
          <cell r="B475">
            <v>0.79166666666666663</v>
          </cell>
          <cell r="C475">
            <v>0.75</v>
          </cell>
          <cell r="D475" t="str">
            <v>Daylight</v>
          </cell>
          <cell r="G475" t="str">
            <v>YNG @ USA</v>
          </cell>
          <cell r="H475" t="str">
            <v>Vs. Conference</v>
          </cell>
          <cell r="I475" t="str">
            <v>YOUNGSTOWN</v>
          </cell>
          <cell r="AC475">
            <v>4</v>
          </cell>
          <cell r="AD475">
            <v>2</v>
          </cell>
          <cell r="AJ475">
            <v>0</v>
          </cell>
          <cell r="AK475">
            <v>0</v>
          </cell>
          <cell r="AN475">
            <v>2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BA475" t="str">
            <v>TEAM USA</v>
          </cell>
          <cell r="BU475">
            <v>10</v>
          </cell>
          <cell r="BV475">
            <v>5</v>
          </cell>
          <cell r="CB475">
            <v>0</v>
          </cell>
          <cell r="CC475">
            <v>0</v>
          </cell>
          <cell r="CF475">
            <v>5</v>
          </cell>
          <cell r="CG475">
            <v>0</v>
          </cell>
          <cell r="CH475">
            <v>0</v>
          </cell>
          <cell r="CI475">
            <v>0</v>
          </cell>
          <cell r="CJ475">
            <v>0</v>
          </cell>
          <cell r="CK475">
            <v>0</v>
          </cell>
        </row>
        <row r="476">
          <cell r="A476">
            <v>43553</v>
          </cell>
          <cell r="B476">
            <v>0.80208333333333337</v>
          </cell>
          <cell r="C476">
            <v>0.76041666666666674</v>
          </cell>
          <cell r="D476" t="str">
            <v>Daylight</v>
          </cell>
          <cell r="G476" t="str">
            <v>WAT @ MUS</v>
          </cell>
          <cell r="H476" t="str">
            <v>Vs. Non-Conference</v>
          </cell>
          <cell r="I476" t="str">
            <v>WATERLOO</v>
          </cell>
          <cell r="AC476">
            <v>16</v>
          </cell>
          <cell r="AD476">
            <v>8</v>
          </cell>
          <cell r="AJ476">
            <v>0</v>
          </cell>
          <cell r="AK476">
            <v>0</v>
          </cell>
          <cell r="AN476">
            <v>8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BA476" t="str">
            <v>MUSKEGON</v>
          </cell>
          <cell r="BU476">
            <v>29</v>
          </cell>
          <cell r="BV476">
            <v>9</v>
          </cell>
          <cell r="CB476">
            <v>0</v>
          </cell>
          <cell r="CC476">
            <v>0</v>
          </cell>
          <cell r="CF476">
            <v>7</v>
          </cell>
          <cell r="CG476">
            <v>1</v>
          </cell>
          <cell r="CH476">
            <v>0</v>
          </cell>
          <cell r="CI476">
            <v>1</v>
          </cell>
          <cell r="CJ476">
            <v>0</v>
          </cell>
          <cell r="CK476">
            <v>0</v>
          </cell>
        </row>
        <row r="477">
          <cell r="A477">
            <v>43553</v>
          </cell>
          <cell r="B477">
            <v>0.83680555555555547</v>
          </cell>
          <cell r="C477">
            <v>0.79513888888888884</v>
          </cell>
          <cell r="D477" t="str">
            <v>Daylight</v>
          </cell>
          <cell r="G477" t="str">
            <v>DUB @ CR</v>
          </cell>
          <cell r="H477" t="str">
            <v>Vs. Conference</v>
          </cell>
          <cell r="I477" t="str">
            <v>DUBUQUE</v>
          </cell>
          <cell r="AC477">
            <v>2</v>
          </cell>
          <cell r="AD477">
            <v>1</v>
          </cell>
          <cell r="AJ477">
            <v>0</v>
          </cell>
          <cell r="AK477">
            <v>0</v>
          </cell>
          <cell r="AN477">
            <v>1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BA477" t="str">
            <v>CEDAR RAPIDS</v>
          </cell>
          <cell r="BU477">
            <v>4</v>
          </cell>
          <cell r="BV477">
            <v>2</v>
          </cell>
          <cell r="CB477">
            <v>0</v>
          </cell>
          <cell r="CC477">
            <v>0</v>
          </cell>
          <cell r="CF477">
            <v>2</v>
          </cell>
          <cell r="CG477">
            <v>0</v>
          </cell>
          <cell r="CH477">
            <v>0</v>
          </cell>
          <cell r="CI477">
            <v>0</v>
          </cell>
          <cell r="CJ477">
            <v>0</v>
          </cell>
          <cell r="CK477">
            <v>0</v>
          </cell>
        </row>
        <row r="478">
          <cell r="A478">
            <v>43553</v>
          </cell>
          <cell r="B478">
            <v>0.83680555555555547</v>
          </cell>
          <cell r="C478">
            <v>0.79513888888888884</v>
          </cell>
          <cell r="D478" t="str">
            <v>Daylight</v>
          </cell>
          <cell r="G478" t="str">
            <v>MAD @ CHI</v>
          </cell>
          <cell r="H478" t="str">
            <v>Vs. Conference</v>
          </cell>
          <cell r="I478" t="str">
            <v>MADISON</v>
          </cell>
          <cell r="AC478">
            <v>8</v>
          </cell>
          <cell r="AD478">
            <v>4</v>
          </cell>
          <cell r="AJ478">
            <v>0</v>
          </cell>
          <cell r="AK478">
            <v>0</v>
          </cell>
          <cell r="AN478">
            <v>4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BA478" t="str">
            <v>CHICAGO</v>
          </cell>
          <cell r="BU478">
            <v>8</v>
          </cell>
          <cell r="BV478">
            <v>4</v>
          </cell>
          <cell r="CB478">
            <v>0</v>
          </cell>
          <cell r="CC478">
            <v>0</v>
          </cell>
          <cell r="CF478">
            <v>4</v>
          </cell>
          <cell r="CG478">
            <v>0</v>
          </cell>
          <cell r="CH478">
            <v>0</v>
          </cell>
          <cell r="CI478">
            <v>0</v>
          </cell>
          <cell r="CJ478">
            <v>0</v>
          </cell>
          <cell r="CK478">
            <v>0</v>
          </cell>
        </row>
        <row r="479">
          <cell r="A479">
            <v>43553</v>
          </cell>
          <cell r="B479">
            <v>0.83680555555555547</v>
          </cell>
          <cell r="C479">
            <v>0.79513888888888884</v>
          </cell>
          <cell r="D479" t="str">
            <v>Daylight</v>
          </cell>
          <cell r="G479" t="str">
            <v>LIN @ DM</v>
          </cell>
          <cell r="H479" t="str">
            <v>Vs. Conference</v>
          </cell>
          <cell r="I479" t="str">
            <v>LINCOLN</v>
          </cell>
          <cell r="AC479">
            <v>8</v>
          </cell>
          <cell r="AD479">
            <v>4</v>
          </cell>
          <cell r="AJ479">
            <v>0</v>
          </cell>
          <cell r="AK479">
            <v>0</v>
          </cell>
          <cell r="AN479">
            <v>4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BA479" t="str">
            <v>DES MOINES</v>
          </cell>
          <cell r="BU479">
            <v>10</v>
          </cell>
          <cell r="BV479">
            <v>5</v>
          </cell>
          <cell r="CB479">
            <v>0</v>
          </cell>
          <cell r="CC479">
            <v>0</v>
          </cell>
          <cell r="CF479">
            <v>5</v>
          </cell>
          <cell r="CG479">
            <v>0</v>
          </cell>
          <cell r="CH479">
            <v>0</v>
          </cell>
          <cell r="CI479">
            <v>0</v>
          </cell>
          <cell r="CJ479">
            <v>0</v>
          </cell>
          <cell r="CK479">
            <v>0</v>
          </cell>
        </row>
        <row r="480">
          <cell r="A480">
            <v>43553</v>
          </cell>
          <cell r="B480">
            <v>0.83680555555555547</v>
          </cell>
          <cell r="C480">
            <v>0.79513888888888884</v>
          </cell>
          <cell r="D480" t="str">
            <v>Daylight</v>
          </cell>
          <cell r="G480" t="str">
            <v>TC @ SC</v>
          </cell>
          <cell r="H480" t="str">
            <v>Vs. Conference</v>
          </cell>
          <cell r="I480" t="str">
            <v>TRI-CITY</v>
          </cell>
          <cell r="AC480">
            <v>2</v>
          </cell>
          <cell r="AD480">
            <v>1</v>
          </cell>
          <cell r="AJ480">
            <v>0</v>
          </cell>
          <cell r="AK480">
            <v>0</v>
          </cell>
          <cell r="AN480">
            <v>1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BA480" t="str">
            <v>SIOUX CITY</v>
          </cell>
          <cell r="BU480">
            <v>14</v>
          </cell>
          <cell r="BV480">
            <v>3</v>
          </cell>
          <cell r="CB480">
            <v>0</v>
          </cell>
          <cell r="CC480">
            <v>0</v>
          </cell>
          <cell r="CF480">
            <v>2</v>
          </cell>
          <cell r="CG480">
            <v>0</v>
          </cell>
          <cell r="CH480">
            <v>1</v>
          </cell>
          <cell r="CI480">
            <v>0</v>
          </cell>
          <cell r="CJ480">
            <v>0</v>
          </cell>
          <cell r="CK480">
            <v>0</v>
          </cell>
        </row>
        <row r="481">
          <cell r="A481">
            <v>43553</v>
          </cell>
          <cell r="B481">
            <v>0.83680555555555547</v>
          </cell>
          <cell r="C481">
            <v>0.79513888888888884</v>
          </cell>
          <cell r="D481" t="str">
            <v>Daylight</v>
          </cell>
          <cell r="G481" t="str">
            <v>FGO @ SF</v>
          </cell>
          <cell r="H481" t="str">
            <v>Vs. Conference</v>
          </cell>
          <cell r="I481" t="str">
            <v>FARGO</v>
          </cell>
          <cell r="AC481">
            <v>23</v>
          </cell>
          <cell r="AD481">
            <v>6</v>
          </cell>
          <cell r="AJ481">
            <v>0</v>
          </cell>
          <cell r="AK481">
            <v>0</v>
          </cell>
          <cell r="AN481">
            <v>4</v>
          </cell>
          <cell r="AO481">
            <v>1</v>
          </cell>
          <cell r="AP481">
            <v>1</v>
          </cell>
          <cell r="AQ481">
            <v>0</v>
          </cell>
          <cell r="AR481">
            <v>0</v>
          </cell>
          <cell r="AS481">
            <v>0</v>
          </cell>
          <cell r="BA481" t="str">
            <v>SIOUX FALLS</v>
          </cell>
          <cell r="BU481">
            <v>25</v>
          </cell>
          <cell r="BV481">
            <v>7</v>
          </cell>
          <cell r="CB481">
            <v>0</v>
          </cell>
          <cell r="CC481">
            <v>0</v>
          </cell>
          <cell r="CF481">
            <v>5</v>
          </cell>
          <cell r="CG481">
            <v>1</v>
          </cell>
          <cell r="CH481">
            <v>1</v>
          </cell>
          <cell r="CI481">
            <v>0</v>
          </cell>
          <cell r="CJ481">
            <v>0</v>
          </cell>
          <cell r="CK481">
            <v>0</v>
          </cell>
        </row>
        <row r="482">
          <cell r="A482">
            <v>43553</v>
          </cell>
          <cell r="B482">
            <v>0.83680555555555547</v>
          </cell>
          <cell r="C482">
            <v>0.79513888888888884</v>
          </cell>
          <cell r="D482" t="str">
            <v>Daylight</v>
          </cell>
          <cell r="G482" t="str">
            <v>OMA @ GB</v>
          </cell>
          <cell r="H482" t="str">
            <v>Vs. Non-Conference</v>
          </cell>
          <cell r="I482" t="str">
            <v>OMAHA</v>
          </cell>
          <cell r="AC482">
            <v>8</v>
          </cell>
          <cell r="AD482">
            <v>4</v>
          </cell>
          <cell r="AJ482">
            <v>0</v>
          </cell>
          <cell r="AK482">
            <v>0</v>
          </cell>
          <cell r="AN482">
            <v>4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BA482" t="str">
            <v>GREEN BAY</v>
          </cell>
          <cell r="BU482">
            <v>8</v>
          </cell>
          <cell r="BV482">
            <v>4</v>
          </cell>
          <cell r="CB482">
            <v>0</v>
          </cell>
          <cell r="CC482">
            <v>0</v>
          </cell>
          <cell r="CF482">
            <v>4</v>
          </cell>
          <cell r="CG482">
            <v>0</v>
          </cell>
          <cell r="CH482">
            <v>0</v>
          </cell>
          <cell r="CI482">
            <v>0</v>
          </cell>
          <cell r="CJ482">
            <v>0</v>
          </cell>
          <cell r="CK482">
            <v>0</v>
          </cell>
        </row>
        <row r="483">
          <cell r="A483">
            <v>43554</v>
          </cell>
          <cell r="B483">
            <v>0.79166666666666663</v>
          </cell>
          <cell r="C483">
            <v>0.75</v>
          </cell>
          <cell r="D483" t="str">
            <v>Daylight</v>
          </cell>
          <cell r="G483" t="str">
            <v>YNG @ USA</v>
          </cell>
          <cell r="H483" t="str">
            <v>Vs. Conference</v>
          </cell>
          <cell r="I483" t="str">
            <v>YOUNGSTOWN</v>
          </cell>
          <cell r="AC483">
            <v>86</v>
          </cell>
          <cell r="AD483">
            <v>19</v>
          </cell>
          <cell r="AJ483">
            <v>0</v>
          </cell>
          <cell r="AK483">
            <v>0</v>
          </cell>
          <cell r="AN483">
            <v>13</v>
          </cell>
          <cell r="AO483">
            <v>0</v>
          </cell>
          <cell r="AP483">
            <v>3</v>
          </cell>
          <cell r="AQ483">
            <v>3</v>
          </cell>
          <cell r="AR483">
            <v>0</v>
          </cell>
          <cell r="AS483">
            <v>0</v>
          </cell>
          <cell r="BA483" t="str">
            <v>TEAM USA</v>
          </cell>
          <cell r="BU483">
            <v>90</v>
          </cell>
          <cell r="BV483">
            <v>18</v>
          </cell>
          <cell r="CB483">
            <v>0</v>
          </cell>
          <cell r="CC483">
            <v>0</v>
          </cell>
          <cell r="CF483">
            <v>10</v>
          </cell>
          <cell r="CG483">
            <v>2</v>
          </cell>
          <cell r="CH483">
            <v>2</v>
          </cell>
          <cell r="CI483">
            <v>4</v>
          </cell>
          <cell r="CJ483">
            <v>0</v>
          </cell>
          <cell r="CK483">
            <v>0</v>
          </cell>
        </row>
        <row r="484">
          <cell r="A484">
            <v>43554</v>
          </cell>
          <cell r="B484">
            <v>0.83680555555555547</v>
          </cell>
          <cell r="C484">
            <v>0.79513888888888884</v>
          </cell>
          <cell r="D484" t="str">
            <v>Daylight</v>
          </cell>
          <cell r="G484" t="str">
            <v>FGO @ LIN</v>
          </cell>
          <cell r="H484" t="str">
            <v>Vs. Conference</v>
          </cell>
          <cell r="I484" t="str">
            <v>FARGO</v>
          </cell>
          <cell r="AC484">
            <v>8</v>
          </cell>
          <cell r="AD484">
            <v>4</v>
          </cell>
          <cell r="AJ484">
            <v>0</v>
          </cell>
          <cell r="AK484">
            <v>0</v>
          </cell>
          <cell r="AN484">
            <v>4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BA484" t="str">
            <v>LINCOLN</v>
          </cell>
          <cell r="BU484">
            <v>10</v>
          </cell>
          <cell r="BV484">
            <v>5</v>
          </cell>
          <cell r="CB484">
            <v>0</v>
          </cell>
          <cell r="CC484">
            <v>0</v>
          </cell>
          <cell r="CF484">
            <v>5</v>
          </cell>
          <cell r="CG484">
            <v>0</v>
          </cell>
          <cell r="CH484">
            <v>0</v>
          </cell>
          <cell r="CI484">
            <v>0</v>
          </cell>
          <cell r="CJ484">
            <v>0</v>
          </cell>
          <cell r="CK484">
            <v>0</v>
          </cell>
        </row>
        <row r="485">
          <cell r="A485">
            <v>43554</v>
          </cell>
          <cell r="B485">
            <v>0.83680555555555547</v>
          </cell>
          <cell r="C485">
            <v>0.79513888888888884</v>
          </cell>
          <cell r="D485" t="str">
            <v>Daylight</v>
          </cell>
          <cell r="G485" t="str">
            <v>TC @ SC</v>
          </cell>
          <cell r="H485" t="str">
            <v>Vs. Conference</v>
          </cell>
          <cell r="I485" t="str">
            <v>TRI-CITY</v>
          </cell>
          <cell r="AC485">
            <v>14</v>
          </cell>
          <cell r="AD485">
            <v>7</v>
          </cell>
          <cell r="AJ485">
            <v>0</v>
          </cell>
          <cell r="AK485">
            <v>0</v>
          </cell>
          <cell r="AN485">
            <v>7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BA485" t="str">
            <v>SIOUX CITY</v>
          </cell>
          <cell r="BU485">
            <v>16</v>
          </cell>
          <cell r="BV485">
            <v>8</v>
          </cell>
          <cell r="CB485">
            <v>0</v>
          </cell>
          <cell r="CC485">
            <v>0</v>
          </cell>
          <cell r="CF485">
            <v>8</v>
          </cell>
          <cell r="CG485">
            <v>0</v>
          </cell>
          <cell r="CH485">
            <v>0</v>
          </cell>
          <cell r="CI485">
            <v>0</v>
          </cell>
          <cell r="CJ485">
            <v>0</v>
          </cell>
          <cell r="CK485">
            <v>0</v>
          </cell>
        </row>
        <row r="486">
          <cell r="A486">
            <v>43554</v>
          </cell>
          <cell r="B486">
            <v>0.83680555555555547</v>
          </cell>
          <cell r="C486">
            <v>0.79513888888888884</v>
          </cell>
          <cell r="D486" t="str">
            <v>Daylight</v>
          </cell>
          <cell r="G486" t="str">
            <v>WAT @ CHI</v>
          </cell>
          <cell r="H486" t="str">
            <v>Vs. Non-Conference</v>
          </cell>
          <cell r="I486" t="str">
            <v>WATERLOO</v>
          </cell>
          <cell r="AC486">
            <v>12</v>
          </cell>
          <cell r="AD486">
            <v>6</v>
          </cell>
          <cell r="AJ486">
            <v>0</v>
          </cell>
          <cell r="AK486">
            <v>0</v>
          </cell>
          <cell r="AN486">
            <v>6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BA486" t="str">
            <v>CHICAGO</v>
          </cell>
          <cell r="BU486">
            <v>8</v>
          </cell>
          <cell r="BV486">
            <v>4</v>
          </cell>
          <cell r="CB486">
            <v>0</v>
          </cell>
          <cell r="CC486">
            <v>0</v>
          </cell>
          <cell r="CF486">
            <v>4</v>
          </cell>
          <cell r="CG486">
            <v>0</v>
          </cell>
          <cell r="CH486">
            <v>0</v>
          </cell>
          <cell r="CI486">
            <v>0</v>
          </cell>
          <cell r="CJ486">
            <v>0</v>
          </cell>
          <cell r="CK486">
            <v>0</v>
          </cell>
        </row>
        <row r="487">
          <cell r="A487">
            <v>43554</v>
          </cell>
          <cell r="B487">
            <v>0.83680555555555547</v>
          </cell>
          <cell r="C487">
            <v>0.79513888888888884</v>
          </cell>
          <cell r="D487" t="str">
            <v>Daylight</v>
          </cell>
          <cell r="G487" t="str">
            <v>DM @ DUB</v>
          </cell>
          <cell r="H487" t="str">
            <v>Vs. Non-Conference</v>
          </cell>
          <cell r="I487" t="str">
            <v>DES MOINES</v>
          </cell>
          <cell r="AC487">
            <v>4</v>
          </cell>
          <cell r="AD487">
            <v>2</v>
          </cell>
          <cell r="AJ487">
            <v>0</v>
          </cell>
          <cell r="AK487">
            <v>0</v>
          </cell>
          <cell r="AN487">
            <v>2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BA487" t="str">
            <v>DUBUQUE</v>
          </cell>
          <cell r="BU487">
            <v>16</v>
          </cell>
          <cell r="BV487">
            <v>4</v>
          </cell>
          <cell r="CB487">
            <v>0</v>
          </cell>
          <cell r="CC487">
            <v>0</v>
          </cell>
          <cell r="CF487">
            <v>3</v>
          </cell>
          <cell r="CG487">
            <v>0</v>
          </cell>
          <cell r="CH487">
            <v>1</v>
          </cell>
          <cell r="CI487">
            <v>0</v>
          </cell>
          <cell r="CJ487">
            <v>0</v>
          </cell>
          <cell r="CK487">
            <v>0</v>
          </cell>
        </row>
        <row r="488">
          <cell r="A488">
            <v>43554</v>
          </cell>
          <cell r="B488">
            <v>0.83680555555555547</v>
          </cell>
          <cell r="C488">
            <v>0.79513888888888884</v>
          </cell>
          <cell r="D488" t="str">
            <v>Daylight</v>
          </cell>
          <cell r="G488" t="str">
            <v>OMA @ GB</v>
          </cell>
          <cell r="H488" t="str">
            <v>Vs. Non-Conference</v>
          </cell>
          <cell r="I488" t="str">
            <v>OMAHA</v>
          </cell>
          <cell r="AC488">
            <v>6</v>
          </cell>
          <cell r="AD488">
            <v>3</v>
          </cell>
          <cell r="AJ488">
            <v>0</v>
          </cell>
          <cell r="AK488">
            <v>0</v>
          </cell>
          <cell r="AN488">
            <v>3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BA488" t="str">
            <v>GREEN BAY</v>
          </cell>
          <cell r="BU488">
            <v>6</v>
          </cell>
          <cell r="BV488">
            <v>3</v>
          </cell>
          <cell r="CB488">
            <v>0</v>
          </cell>
          <cell r="CC488">
            <v>0</v>
          </cell>
          <cell r="CF488">
            <v>3</v>
          </cell>
          <cell r="CG488">
            <v>0</v>
          </cell>
          <cell r="CH488">
            <v>0</v>
          </cell>
          <cell r="CI488">
            <v>0</v>
          </cell>
          <cell r="CJ488">
            <v>0</v>
          </cell>
          <cell r="CK488">
            <v>0</v>
          </cell>
        </row>
        <row r="489">
          <cell r="A489">
            <v>43554</v>
          </cell>
          <cell r="B489">
            <v>0.83680555555555547</v>
          </cell>
          <cell r="C489">
            <v>0.79513888888888884</v>
          </cell>
          <cell r="D489" t="str">
            <v>Daylight</v>
          </cell>
          <cell r="G489" t="str">
            <v>CR @ SF</v>
          </cell>
          <cell r="H489" t="str">
            <v>Vs. Non-Conference</v>
          </cell>
          <cell r="I489" t="str">
            <v>CEDAR RAPIDS</v>
          </cell>
          <cell r="AC489">
            <v>23</v>
          </cell>
          <cell r="AD489">
            <v>6</v>
          </cell>
          <cell r="AJ489">
            <v>0</v>
          </cell>
          <cell r="AK489">
            <v>0</v>
          </cell>
          <cell r="AN489">
            <v>4</v>
          </cell>
          <cell r="AO489">
            <v>1</v>
          </cell>
          <cell r="AP489">
            <v>0</v>
          </cell>
          <cell r="AQ489">
            <v>1</v>
          </cell>
          <cell r="AR489">
            <v>0</v>
          </cell>
          <cell r="AS489">
            <v>0</v>
          </cell>
          <cell r="BA489" t="str">
            <v>SIOUX FALLS</v>
          </cell>
          <cell r="BU489">
            <v>10</v>
          </cell>
          <cell r="BV489">
            <v>5</v>
          </cell>
          <cell r="CB489">
            <v>0</v>
          </cell>
          <cell r="CC489">
            <v>0</v>
          </cell>
          <cell r="CF489">
            <v>5</v>
          </cell>
          <cell r="CG489">
            <v>0</v>
          </cell>
          <cell r="CH489">
            <v>0</v>
          </cell>
          <cell r="CI489">
            <v>0</v>
          </cell>
          <cell r="CJ489">
            <v>0</v>
          </cell>
          <cell r="CK489">
            <v>0</v>
          </cell>
        </row>
        <row r="490">
          <cell r="A490">
            <v>43554</v>
          </cell>
          <cell r="B490">
            <v>0.83819444444444446</v>
          </cell>
          <cell r="C490">
            <v>0.79652777777777783</v>
          </cell>
          <cell r="D490" t="str">
            <v>Daylight</v>
          </cell>
          <cell r="G490" t="str">
            <v>MUS @ CIL</v>
          </cell>
          <cell r="H490" t="str">
            <v>Vs. Conference</v>
          </cell>
          <cell r="I490" t="str">
            <v>MUSKEGON</v>
          </cell>
          <cell r="AC490">
            <v>41</v>
          </cell>
          <cell r="AD490">
            <v>11</v>
          </cell>
          <cell r="AJ490">
            <v>0</v>
          </cell>
          <cell r="AK490">
            <v>0</v>
          </cell>
          <cell r="AN490">
            <v>8</v>
          </cell>
          <cell r="AO490">
            <v>1</v>
          </cell>
          <cell r="AP490">
            <v>1</v>
          </cell>
          <cell r="AQ490">
            <v>1</v>
          </cell>
          <cell r="AR490">
            <v>0</v>
          </cell>
          <cell r="AS490">
            <v>0</v>
          </cell>
          <cell r="BA490" t="str">
            <v>CENTRAL ILLINOIS</v>
          </cell>
          <cell r="BU490">
            <v>32</v>
          </cell>
          <cell r="BV490">
            <v>12</v>
          </cell>
          <cell r="CB490">
            <v>0</v>
          </cell>
          <cell r="CC490">
            <v>0</v>
          </cell>
          <cell r="CF490">
            <v>11</v>
          </cell>
          <cell r="CG490">
            <v>0</v>
          </cell>
          <cell r="CH490">
            <v>1</v>
          </cell>
          <cell r="CI490">
            <v>0</v>
          </cell>
          <cell r="CJ490">
            <v>0</v>
          </cell>
          <cell r="CK490">
            <v>0</v>
          </cell>
        </row>
        <row r="491">
          <cell r="A491">
            <v>43555</v>
          </cell>
          <cell r="B491">
            <v>0.67013888888888884</v>
          </cell>
          <cell r="C491">
            <v>0.62847222222222221</v>
          </cell>
          <cell r="D491" t="str">
            <v>Daylight</v>
          </cell>
          <cell r="G491" t="str">
            <v>CIL @ DUB</v>
          </cell>
          <cell r="H491" t="str">
            <v>Vs. Conference</v>
          </cell>
          <cell r="I491" t="str">
            <v>CENTRAL ILLINOIS</v>
          </cell>
          <cell r="AC491">
            <v>10</v>
          </cell>
          <cell r="AD491">
            <v>5</v>
          </cell>
          <cell r="AJ491">
            <v>0</v>
          </cell>
          <cell r="AK491">
            <v>0</v>
          </cell>
          <cell r="AN491">
            <v>5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BA491" t="str">
            <v>DUBUQUE</v>
          </cell>
          <cell r="BU491">
            <v>12</v>
          </cell>
          <cell r="BV491">
            <v>6</v>
          </cell>
          <cell r="CB491">
            <v>0</v>
          </cell>
          <cell r="CC491">
            <v>0</v>
          </cell>
          <cell r="CF491">
            <v>6</v>
          </cell>
          <cell r="CG491">
            <v>0</v>
          </cell>
          <cell r="CH491">
            <v>0</v>
          </cell>
          <cell r="CI491">
            <v>0</v>
          </cell>
          <cell r="CJ491">
            <v>0</v>
          </cell>
          <cell r="CK491">
            <v>0</v>
          </cell>
        </row>
        <row r="492">
          <cell r="A492">
            <v>43555</v>
          </cell>
          <cell r="B492">
            <v>0.67013888888888884</v>
          </cell>
          <cell r="C492">
            <v>0.62847222222222221</v>
          </cell>
          <cell r="D492" t="str">
            <v>Daylight</v>
          </cell>
          <cell r="G492" t="str">
            <v>FGO @ SC</v>
          </cell>
          <cell r="H492" t="str">
            <v>Vs. Conference</v>
          </cell>
          <cell r="I492" t="str">
            <v>FARGO</v>
          </cell>
          <cell r="AC492">
            <v>14</v>
          </cell>
          <cell r="AD492">
            <v>7</v>
          </cell>
          <cell r="AJ492">
            <v>0</v>
          </cell>
          <cell r="AK492">
            <v>0</v>
          </cell>
          <cell r="AN492">
            <v>7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BA492" t="str">
            <v>SIOUX CITY</v>
          </cell>
          <cell r="BU492">
            <v>4</v>
          </cell>
          <cell r="BV492">
            <v>2</v>
          </cell>
          <cell r="CB492">
            <v>0</v>
          </cell>
          <cell r="CC492">
            <v>0</v>
          </cell>
          <cell r="CF492">
            <v>2</v>
          </cell>
          <cell r="CG492">
            <v>0</v>
          </cell>
          <cell r="CH492">
            <v>0</v>
          </cell>
          <cell r="CI492">
            <v>0</v>
          </cell>
          <cell r="CJ492">
            <v>0</v>
          </cell>
          <cell r="CK492">
            <v>0</v>
          </cell>
        </row>
        <row r="493">
          <cell r="A493">
            <v>43555</v>
          </cell>
          <cell r="B493">
            <v>0.70833333333333337</v>
          </cell>
          <cell r="C493">
            <v>0.66666666666666674</v>
          </cell>
          <cell r="D493" t="str">
            <v>Daylight</v>
          </cell>
          <cell r="G493" t="str">
            <v>USA @ YNG</v>
          </cell>
          <cell r="H493" t="str">
            <v>Vs. Conference</v>
          </cell>
          <cell r="I493" t="str">
            <v>TEAM USA</v>
          </cell>
          <cell r="AC493">
            <v>28</v>
          </cell>
          <cell r="AD493">
            <v>10</v>
          </cell>
          <cell r="AJ493">
            <v>0</v>
          </cell>
          <cell r="AK493">
            <v>0</v>
          </cell>
          <cell r="AN493">
            <v>9</v>
          </cell>
          <cell r="AO493">
            <v>0</v>
          </cell>
          <cell r="AP493">
            <v>1</v>
          </cell>
          <cell r="AQ493">
            <v>0</v>
          </cell>
          <cell r="AR493">
            <v>0</v>
          </cell>
          <cell r="AS493">
            <v>0</v>
          </cell>
          <cell r="BA493" t="str">
            <v>YOUNGSTOWN</v>
          </cell>
          <cell r="BU493">
            <v>30</v>
          </cell>
          <cell r="BV493">
            <v>11</v>
          </cell>
          <cell r="CB493">
            <v>0</v>
          </cell>
          <cell r="CC493">
            <v>0</v>
          </cell>
          <cell r="CF493">
            <v>10</v>
          </cell>
          <cell r="CG493">
            <v>0</v>
          </cell>
          <cell r="CH493">
            <v>1</v>
          </cell>
          <cell r="CI493">
            <v>0</v>
          </cell>
          <cell r="CJ493">
            <v>0</v>
          </cell>
          <cell r="CK493">
            <v>0</v>
          </cell>
        </row>
        <row r="494">
          <cell r="A494">
            <v>43555</v>
          </cell>
          <cell r="B494">
            <v>0.83680555555555547</v>
          </cell>
          <cell r="C494">
            <v>0.79513888888888884</v>
          </cell>
          <cell r="D494" t="str">
            <v>Daylight</v>
          </cell>
          <cell r="G494" t="str">
            <v>OMA @ MAD</v>
          </cell>
          <cell r="H494" t="str">
            <v>Vs. Non-Conference</v>
          </cell>
          <cell r="I494" t="str">
            <v>OMAHA</v>
          </cell>
          <cell r="AC494">
            <v>18</v>
          </cell>
          <cell r="AD494">
            <v>5</v>
          </cell>
          <cell r="AJ494">
            <v>0</v>
          </cell>
          <cell r="AK494">
            <v>0</v>
          </cell>
          <cell r="AN494">
            <v>4</v>
          </cell>
          <cell r="AO494">
            <v>0</v>
          </cell>
          <cell r="AP494">
            <v>1</v>
          </cell>
          <cell r="AQ494">
            <v>0</v>
          </cell>
          <cell r="AR494">
            <v>0</v>
          </cell>
          <cell r="AS494">
            <v>0</v>
          </cell>
          <cell r="BA494" t="str">
            <v>MADISON</v>
          </cell>
          <cell r="BU494">
            <v>8</v>
          </cell>
          <cell r="BV494">
            <v>4</v>
          </cell>
          <cell r="CB494">
            <v>0</v>
          </cell>
          <cell r="CC494">
            <v>0</v>
          </cell>
          <cell r="CF494">
            <v>4</v>
          </cell>
          <cell r="CG494">
            <v>0</v>
          </cell>
          <cell r="CH494">
            <v>0</v>
          </cell>
          <cell r="CI494">
            <v>0</v>
          </cell>
          <cell r="CJ494">
            <v>0</v>
          </cell>
          <cell r="CK494">
            <v>0</v>
          </cell>
        </row>
        <row r="495">
          <cell r="A495">
            <v>43557</v>
          </cell>
          <cell r="B495">
            <v>0.83680555555555547</v>
          </cell>
          <cell r="C495">
            <v>0.79513888888888884</v>
          </cell>
          <cell r="D495" t="str">
            <v>Daylight</v>
          </cell>
          <cell r="G495" t="str">
            <v>LIN @ SF</v>
          </cell>
          <cell r="H495" t="str">
            <v>Vs. Conference</v>
          </cell>
          <cell r="I495" t="str">
            <v>LINCOLN</v>
          </cell>
          <cell r="AC495">
            <v>8</v>
          </cell>
          <cell r="AD495">
            <v>4</v>
          </cell>
          <cell r="AJ495">
            <v>0</v>
          </cell>
          <cell r="AK495">
            <v>0</v>
          </cell>
          <cell r="AN495">
            <v>4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BA495" t="str">
            <v>SIOUX FALLS</v>
          </cell>
          <cell r="BU495">
            <v>6</v>
          </cell>
          <cell r="BV495">
            <v>3</v>
          </cell>
          <cell r="CB495">
            <v>0</v>
          </cell>
          <cell r="CC495">
            <v>0</v>
          </cell>
          <cell r="CF495">
            <v>3</v>
          </cell>
          <cell r="CG495">
            <v>0</v>
          </cell>
          <cell r="CH495">
            <v>0</v>
          </cell>
          <cell r="CI495">
            <v>0</v>
          </cell>
          <cell r="CJ495">
            <v>0</v>
          </cell>
          <cell r="CK495">
            <v>0</v>
          </cell>
        </row>
        <row r="496">
          <cell r="A496">
            <v>43557</v>
          </cell>
          <cell r="B496">
            <v>0.83680555555555547</v>
          </cell>
          <cell r="C496">
            <v>0.79513888888888884</v>
          </cell>
          <cell r="D496" t="str">
            <v>Daylight</v>
          </cell>
          <cell r="G496" t="str">
            <v>SC @ WAT</v>
          </cell>
          <cell r="H496" t="str">
            <v>Vs. Conference</v>
          </cell>
          <cell r="I496" t="str">
            <v>SIOUX CITY</v>
          </cell>
          <cell r="AC496">
            <v>10</v>
          </cell>
          <cell r="AD496">
            <v>5</v>
          </cell>
          <cell r="AJ496">
            <v>0</v>
          </cell>
          <cell r="AK496">
            <v>0</v>
          </cell>
          <cell r="AN496">
            <v>5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BA496" t="str">
            <v>WATERLOO</v>
          </cell>
          <cell r="BU496">
            <v>8</v>
          </cell>
          <cell r="BV496">
            <v>4</v>
          </cell>
          <cell r="CB496">
            <v>0</v>
          </cell>
          <cell r="CC496">
            <v>0</v>
          </cell>
          <cell r="CF496">
            <v>4</v>
          </cell>
          <cell r="CG496">
            <v>0</v>
          </cell>
          <cell r="CH496">
            <v>0</v>
          </cell>
          <cell r="CI496">
            <v>0</v>
          </cell>
          <cell r="CJ496">
            <v>0</v>
          </cell>
          <cell r="CK496">
            <v>0</v>
          </cell>
        </row>
        <row r="497">
          <cell r="A497">
            <v>43560</v>
          </cell>
          <cell r="B497">
            <v>0.79513888888888884</v>
          </cell>
          <cell r="C497">
            <v>0.75347222222222221</v>
          </cell>
          <cell r="D497" t="str">
            <v>Daylight</v>
          </cell>
          <cell r="G497" t="str">
            <v>SF @ YNG</v>
          </cell>
          <cell r="H497" t="str">
            <v>Vs. Non-Conference</v>
          </cell>
          <cell r="I497" t="str">
            <v>SIOUX FALLS</v>
          </cell>
          <cell r="AC497">
            <v>14</v>
          </cell>
          <cell r="AD497">
            <v>7</v>
          </cell>
          <cell r="AJ497">
            <v>0</v>
          </cell>
          <cell r="AK497">
            <v>0</v>
          </cell>
          <cell r="AN497">
            <v>7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BA497" t="str">
            <v>YOUNGSTOWN</v>
          </cell>
          <cell r="BU497">
            <v>16</v>
          </cell>
          <cell r="BV497">
            <v>8</v>
          </cell>
          <cell r="CB497">
            <v>0</v>
          </cell>
          <cell r="CC497">
            <v>0</v>
          </cell>
          <cell r="CF497">
            <v>8</v>
          </cell>
          <cell r="CG497">
            <v>0</v>
          </cell>
          <cell r="CH497">
            <v>0</v>
          </cell>
          <cell r="CI497">
            <v>0</v>
          </cell>
          <cell r="CJ497">
            <v>0</v>
          </cell>
          <cell r="CK497">
            <v>0</v>
          </cell>
        </row>
        <row r="498">
          <cell r="A498">
            <v>43560</v>
          </cell>
          <cell r="B498">
            <v>0.83680555555555547</v>
          </cell>
          <cell r="C498">
            <v>0.79513888888888884</v>
          </cell>
          <cell r="D498" t="str">
            <v>Daylight</v>
          </cell>
          <cell r="G498" t="str">
            <v>OMA @ DM</v>
          </cell>
          <cell r="H498" t="str">
            <v>Vs. Conference</v>
          </cell>
          <cell r="I498" t="str">
            <v>OMAHA</v>
          </cell>
          <cell r="AC498">
            <v>10</v>
          </cell>
          <cell r="AD498">
            <v>5</v>
          </cell>
          <cell r="AJ498">
            <v>0</v>
          </cell>
          <cell r="AK498">
            <v>0</v>
          </cell>
          <cell r="AN498">
            <v>5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BA498" t="str">
            <v>DES MOINES</v>
          </cell>
          <cell r="BU498">
            <v>6</v>
          </cell>
          <cell r="BV498">
            <v>3</v>
          </cell>
          <cell r="CB498">
            <v>0</v>
          </cell>
          <cell r="CC498">
            <v>0</v>
          </cell>
          <cell r="CF498">
            <v>3</v>
          </cell>
          <cell r="CG498">
            <v>0</v>
          </cell>
          <cell r="CH498">
            <v>0</v>
          </cell>
          <cell r="CI498">
            <v>0</v>
          </cell>
          <cell r="CJ498">
            <v>0</v>
          </cell>
          <cell r="CK498">
            <v>0</v>
          </cell>
        </row>
        <row r="499">
          <cell r="A499">
            <v>43560</v>
          </cell>
          <cell r="B499">
            <v>0.83680555555555547</v>
          </cell>
          <cell r="C499">
            <v>0.79513888888888884</v>
          </cell>
          <cell r="D499" t="str">
            <v>Daylight</v>
          </cell>
          <cell r="G499" t="str">
            <v>CR @ DUB</v>
          </cell>
          <cell r="H499" t="str">
            <v>Vs. Conference</v>
          </cell>
          <cell r="I499" t="str">
            <v>CEDAR RAPIDS</v>
          </cell>
          <cell r="AC499">
            <v>6</v>
          </cell>
          <cell r="AD499">
            <v>3</v>
          </cell>
          <cell r="AJ499">
            <v>0</v>
          </cell>
          <cell r="AK499">
            <v>0</v>
          </cell>
          <cell r="AN499">
            <v>3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BA499" t="str">
            <v>DUBUQUE</v>
          </cell>
          <cell r="BU499">
            <v>8</v>
          </cell>
          <cell r="BV499">
            <v>4</v>
          </cell>
          <cell r="CB499">
            <v>0</v>
          </cell>
          <cell r="CC499">
            <v>0</v>
          </cell>
          <cell r="CF499">
            <v>4</v>
          </cell>
          <cell r="CG499">
            <v>0</v>
          </cell>
          <cell r="CH499">
            <v>0</v>
          </cell>
          <cell r="CI499">
            <v>0</v>
          </cell>
          <cell r="CJ499">
            <v>0</v>
          </cell>
          <cell r="CK499">
            <v>0</v>
          </cell>
        </row>
        <row r="500">
          <cell r="A500">
            <v>43560</v>
          </cell>
          <cell r="B500">
            <v>0.83680555555555547</v>
          </cell>
          <cell r="C500">
            <v>0.79513888888888884</v>
          </cell>
          <cell r="D500" t="str">
            <v>Daylight</v>
          </cell>
          <cell r="G500" t="str">
            <v>MUS @ MAD</v>
          </cell>
          <cell r="H500" t="str">
            <v>Vs. Conference</v>
          </cell>
          <cell r="I500" t="str">
            <v>MUSKEGON</v>
          </cell>
          <cell r="AC500">
            <v>14</v>
          </cell>
          <cell r="AD500">
            <v>7</v>
          </cell>
          <cell r="AJ500">
            <v>0</v>
          </cell>
          <cell r="AK500">
            <v>0</v>
          </cell>
          <cell r="AN500">
            <v>7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BA500" t="str">
            <v>MADISON</v>
          </cell>
          <cell r="BU500">
            <v>12</v>
          </cell>
          <cell r="BV500">
            <v>6</v>
          </cell>
          <cell r="CB500">
            <v>0</v>
          </cell>
          <cell r="CC500">
            <v>0</v>
          </cell>
          <cell r="CF500">
            <v>6</v>
          </cell>
          <cell r="CG500">
            <v>0</v>
          </cell>
          <cell r="CH500">
            <v>0</v>
          </cell>
          <cell r="CI500">
            <v>0</v>
          </cell>
          <cell r="CJ500">
            <v>0</v>
          </cell>
          <cell r="CK500">
            <v>0</v>
          </cell>
        </row>
        <row r="501">
          <cell r="A501">
            <v>43560</v>
          </cell>
          <cell r="B501">
            <v>0.83680555555555547</v>
          </cell>
          <cell r="C501">
            <v>0.79513888888888884</v>
          </cell>
          <cell r="D501" t="str">
            <v>Daylight</v>
          </cell>
          <cell r="G501" t="str">
            <v>TC @ SC</v>
          </cell>
          <cell r="H501" t="str">
            <v>Vs. Conference</v>
          </cell>
          <cell r="I501" t="str">
            <v>TRI-CITY</v>
          </cell>
          <cell r="AC501">
            <v>10</v>
          </cell>
          <cell r="AD501">
            <v>5</v>
          </cell>
          <cell r="AJ501">
            <v>0</v>
          </cell>
          <cell r="AK501">
            <v>0</v>
          </cell>
          <cell r="AN501">
            <v>5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BA501" t="str">
            <v>SIOUX CITY</v>
          </cell>
          <cell r="BU501">
            <v>8</v>
          </cell>
          <cell r="BV501">
            <v>4</v>
          </cell>
          <cell r="CB501">
            <v>0</v>
          </cell>
          <cell r="CC501">
            <v>0</v>
          </cell>
          <cell r="CF501">
            <v>4</v>
          </cell>
          <cell r="CG501">
            <v>0</v>
          </cell>
          <cell r="CH501">
            <v>0</v>
          </cell>
          <cell r="CI501">
            <v>0</v>
          </cell>
          <cell r="CJ501">
            <v>0</v>
          </cell>
          <cell r="CK501">
            <v>0</v>
          </cell>
        </row>
        <row r="502">
          <cell r="A502">
            <v>43560</v>
          </cell>
          <cell r="B502">
            <v>0.83680555555555547</v>
          </cell>
          <cell r="C502">
            <v>0.79513888888888884</v>
          </cell>
          <cell r="D502" t="str">
            <v>Daylight</v>
          </cell>
          <cell r="G502" t="str">
            <v>USA @ FGO</v>
          </cell>
          <cell r="H502" t="str">
            <v>Vs. Non-Conference</v>
          </cell>
          <cell r="I502" t="str">
            <v>TEAM USA</v>
          </cell>
          <cell r="AC502">
            <v>8</v>
          </cell>
          <cell r="AD502">
            <v>4</v>
          </cell>
          <cell r="AJ502">
            <v>0</v>
          </cell>
          <cell r="AK502">
            <v>0</v>
          </cell>
          <cell r="AN502">
            <v>4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BA502" t="str">
            <v>FARGO</v>
          </cell>
          <cell r="BU502">
            <v>10</v>
          </cell>
          <cell r="BV502">
            <v>5</v>
          </cell>
          <cell r="CB502">
            <v>0</v>
          </cell>
          <cell r="CC502">
            <v>0</v>
          </cell>
          <cell r="CF502">
            <v>5</v>
          </cell>
          <cell r="CG502">
            <v>0</v>
          </cell>
          <cell r="CH502">
            <v>0</v>
          </cell>
          <cell r="CI502">
            <v>0</v>
          </cell>
          <cell r="CJ502">
            <v>0</v>
          </cell>
          <cell r="CK502">
            <v>0</v>
          </cell>
        </row>
        <row r="503">
          <cell r="A503">
            <v>43560</v>
          </cell>
          <cell r="B503">
            <v>0.83680555555555547</v>
          </cell>
          <cell r="C503">
            <v>0.79513888888888884</v>
          </cell>
          <cell r="D503" t="str">
            <v>Daylight</v>
          </cell>
          <cell r="G503" t="str">
            <v>CIL @ LIN</v>
          </cell>
          <cell r="H503" t="str">
            <v>Vs. Non-Conference</v>
          </cell>
          <cell r="I503" t="str">
            <v>CENTRAL ILLINOIS</v>
          </cell>
          <cell r="AC503">
            <v>6</v>
          </cell>
          <cell r="AD503">
            <v>3</v>
          </cell>
          <cell r="AJ503">
            <v>0</v>
          </cell>
          <cell r="AK503">
            <v>0</v>
          </cell>
          <cell r="AN503">
            <v>3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BA503" t="str">
            <v>LINCOLN</v>
          </cell>
          <cell r="BU503">
            <v>4</v>
          </cell>
          <cell r="BV503">
            <v>2</v>
          </cell>
          <cell r="CB503">
            <v>0</v>
          </cell>
          <cell r="CC503">
            <v>0</v>
          </cell>
          <cell r="CF503">
            <v>2</v>
          </cell>
          <cell r="CG503">
            <v>0</v>
          </cell>
          <cell r="CH503">
            <v>0</v>
          </cell>
          <cell r="CI503">
            <v>0</v>
          </cell>
          <cell r="CJ503">
            <v>0</v>
          </cell>
          <cell r="CK503">
            <v>0</v>
          </cell>
        </row>
        <row r="504">
          <cell r="A504">
            <v>43560</v>
          </cell>
          <cell r="B504">
            <v>0.83680555555555547</v>
          </cell>
          <cell r="C504">
            <v>0.79513888888888884</v>
          </cell>
          <cell r="D504" t="str">
            <v>Daylight</v>
          </cell>
          <cell r="G504" t="str">
            <v>CHI @ WAT</v>
          </cell>
          <cell r="H504" t="str">
            <v>Vs. Non-Conference</v>
          </cell>
          <cell r="I504" t="str">
            <v>CHICAGO</v>
          </cell>
          <cell r="AC504">
            <v>6</v>
          </cell>
          <cell r="AD504">
            <v>3</v>
          </cell>
          <cell r="AJ504">
            <v>0</v>
          </cell>
          <cell r="AK504">
            <v>0</v>
          </cell>
          <cell r="AN504">
            <v>3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BA504" t="str">
            <v>WATERLOO</v>
          </cell>
          <cell r="BU504">
            <v>22</v>
          </cell>
          <cell r="BV504">
            <v>7</v>
          </cell>
          <cell r="CB504">
            <v>0</v>
          </cell>
          <cell r="CC504">
            <v>0</v>
          </cell>
          <cell r="CF504">
            <v>6</v>
          </cell>
          <cell r="CG504">
            <v>0</v>
          </cell>
          <cell r="CH504">
            <v>1</v>
          </cell>
          <cell r="CI504">
            <v>0</v>
          </cell>
          <cell r="CJ504">
            <v>0</v>
          </cell>
          <cell r="CK504">
            <v>0</v>
          </cell>
        </row>
        <row r="505">
          <cell r="A505">
            <v>43561</v>
          </cell>
          <cell r="B505">
            <v>0.79513888888888884</v>
          </cell>
          <cell r="C505">
            <v>0.75347222222222221</v>
          </cell>
          <cell r="D505" t="str">
            <v>Daylight</v>
          </cell>
          <cell r="G505" t="str">
            <v>SF @ YNG</v>
          </cell>
          <cell r="H505" t="str">
            <v>Vs. Non-Conference</v>
          </cell>
          <cell r="I505" t="str">
            <v>SIOUX FALLS</v>
          </cell>
          <cell r="AC505">
            <v>20</v>
          </cell>
          <cell r="AD505">
            <v>6</v>
          </cell>
          <cell r="AJ505">
            <v>0</v>
          </cell>
          <cell r="AK505">
            <v>0</v>
          </cell>
          <cell r="AN505">
            <v>5</v>
          </cell>
          <cell r="AO505">
            <v>0</v>
          </cell>
          <cell r="AP505">
            <v>1</v>
          </cell>
          <cell r="AQ505">
            <v>0</v>
          </cell>
          <cell r="AR505">
            <v>0</v>
          </cell>
          <cell r="AS505">
            <v>0</v>
          </cell>
          <cell r="BA505" t="str">
            <v>YOUNGSTOWN</v>
          </cell>
          <cell r="BU505">
            <v>18</v>
          </cell>
          <cell r="BV505">
            <v>9</v>
          </cell>
          <cell r="CB505">
            <v>0</v>
          </cell>
          <cell r="CC505">
            <v>0</v>
          </cell>
          <cell r="CF505">
            <v>9</v>
          </cell>
          <cell r="CG505">
            <v>0</v>
          </cell>
          <cell r="CH505">
            <v>0</v>
          </cell>
          <cell r="CI505">
            <v>0</v>
          </cell>
          <cell r="CJ505">
            <v>0</v>
          </cell>
          <cell r="CK505">
            <v>0</v>
          </cell>
        </row>
        <row r="506">
          <cell r="A506">
            <v>43561</v>
          </cell>
          <cell r="B506">
            <v>0.83680555555555547</v>
          </cell>
          <cell r="C506">
            <v>0.79513888888888884</v>
          </cell>
          <cell r="D506" t="str">
            <v>Daylight</v>
          </cell>
          <cell r="G506" t="str">
            <v>CHI @ DUB</v>
          </cell>
          <cell r="H506" t="str">
            <v>Vs. Conference</v>
          </cell>
          <cell r="I506" t="str">
            <v>CHICAGO</v>
          </cell>
          <cell r="AC506">
            <v>2</v>
          </cell>
          <cell r="AD506">
            <v>1</v>
          </cell>
          <cell r="AJ506">
            <v>0</v>
          </cell>
          <cell r="AK506">
            <v>0</v>
          </cell>
          <cell r="AN506">
            <v>1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BA506" t="str">
            <v>DUBUQUE</v>
          </cell>
          <cell r="BU506">
            <v>10</v>
          </cell>
          <cell r="BV506">
            <v>5</v>
          </cell>
          <cell r="CB506">
            <v>0</v>
          </cell>
          <cell r="CC506">
            <v>0</v>
          </cell>
          <cell r="CF506">
            <v>5</v>
          </cell>
          <cell r="CG506">
            <v>0</v>
          </cell>
          <cell r="CH506">
            <v>0</v>
          </cell>
          <cell r="CI506">
            <v>0</v>
          </cell>
          <cell r="CJ506">
            <v>0</v>
          </cell>
          <cell r="CK506">
            <v>0</v>
          </cell>
        </row>
        <row r="507">
          <cell r="A507">
            <v>43561</v>
          </cell>
          <cell r="B507">
            <v>0.83680555555555547</v>
          </cell>
          <cell r="C507">
            <v>0.79513888888888884</v>
          </cell>
          <cell r="D507" t="str">
            <v>Daylight</v>
          </cell>
          <cell r="G507" t="str">
            <v>MUS @ GB</v>
          </cell>
          <cell r="H507" t="str">
            <v>Vs. Conference</v>
          </cell>
          <cell r="I507" t="str">
            <v>MUSKEGON</v>
          </cell>
          <cell r="AC507">
            <v>8</v>
          </cell>
          <cell r="AD507">
            <v>4</v>
          </cell>
          <cell r="AJ507">
            <v>0</v>
          </cell>
          <cell r="AK507">
            <v>0</v>
          </cell>
          <cell r="AN507">
            <v>4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BA507" t="str">
            <v>GREEN BAY</v>
          </cell>
          <cell r="BU507">
            <v>14</v>
          </cell>
          <cell r="BV507">
            <v>7</v>
          </cell>
          <cell r="CB507">
            <v>0</v>
          </cell>
          <cell r="CC507">
            <v>0</v>
          </cell>
          <cell r="CF507">
            <v>7</v>
          </cell>
          <cell r="CG507">
            <v>0</v>
          </cell>
          <cell r="CH507">
            <v>0</v>
          </cell>
          <cell r="CI507">
            <v>0</v>
          </cell>
          <cell r="CJ507">
            <v>0</v>
          </cell>
          <cell r="CK507">
            <v>0</v>
          </cell>
        </row>
        <row r="508">
          <cell r="A508">
            <v>43561</v>
          </cell>
          <cell r="B508">
            <v>0.83680555555555547</v>
          </cell>
          <cell r="C508">
            <v>0.79513888888888884</v>
          </cell>
          <cell r="D508" t="str">
            <v>Daylight</v>
          </cell>
          <cell r="G508" t="str">
            <v>OMA @ WAT</v>
          </cell>
          <cell r="H508" t="str">
            <v>Vs. Conference</v>
          </cell>
          <cell r="I508" t="str">
            <v>OMAHA</v>
          </cell>
          <cell r="AC508">
            <v>27</v>
          </cell>
          <cell r="AD508">
            <v>8</v>
          </cell>
          <cell r="AJ508">
            <v>0</v>
          </cell>
          <cell r="AK508">
            <v>0</v>
          </cell>
          <cell r="AN508">
            <v>6</v>
          </cell>
          <cell r="AO508">
            <v>1</v>
          </cell>
          <cell r="AP508">
            <v>1</v>
          </cell>
          <cell r="AQ508">
            <v>0</v>
          </cell>
          <cell r="AR508">
            <v>0</v>
          </cell>
          <cell r="AS508">
            <v>0</v>
          </cell>
          <cell r="BA508" t="str">
            <v>WATERLOO</v>
          </cell>
          <cell r="BU508">
            <v>33</v>
          </cell>
          <cell r="BV508">
            <v>11</v>
          </cell>
          <cell r="CB508">
            <v>0</v>
          </cell>
          <cell r="CC508">
            <v>0</v>
          </cell>
          <cell r="CF508">
            <v>9</v>
          </cell>
          <cell r="CG508">
            <v>1</v>
          </cell>
          <cell r="CH508">
            <v>1</v>
          </cell>
          <cell r="CI508">
            <v>0</v>
          </cell>
          <cell r="CJ508">
            <v>0</v>
          </cell>
          <cell r="CK508">
            <v>0</v>
          </cell>
        </row>
        <row r="509">
          <cell r="A509">
            <v>43561</v>
          </cell>
          <cell r="B509">
            <v>0.83680555555555547</v>
          </cell>
          <cell r="C509">
            <v>0.79513888888888884</v>
          </cell>
          <cell r="D509" t="str">
            <v>Daylight</v>
          </cell>
          <cell r="G509" t="str">
            <v>TC @ CR</v>
          </cell>
          <cell r="H509" t="str">
            <v>Vs. Non-Conference</v>
          </cell>
          <cell r="I509" t="str">
            <v>TRI-CITY</v>
          </cell>
          <cell r="AC509">
            <v>26</v>
          </cell>
          <cell r="AD509">
            <v>9</v>
          </cell>
          <cell r="AJ509">
            <v>0</v>
          </cell>
          <cell r="AK509">
            <v>0</v>
          </cell>
          <cell r="AN509">
            <v>8</v>
          </cell>
          <cell r="AO509">
            <v>0</v>
          </cell>
          <cell r="AP509">
            <v>1</v>
          </cell>
          <cell r="AQ509">
            <v>0</v>
          </cell>
          <cell r="AR509">
            <v>0</v>
          </cell>
          <cell r="AS509">
            <v>0</v>
          </cell>
          <cell r="BA509" t="str">
            <v>CEDAR RAPIDS</v>
          </cell>
          <cell r="BU509">
            <v>30</v>
          </cell>
          <cell r="BV509">
            <v>11</v>
          </cell>
          <cell r="CB509">
            <v>0</v>
          </cell>
          <cell r="CC509">
            <v>0</v>
          </cell>
          <cell r="CF509">
            <v>10</v>
          </cell>
          <cell r="CG509">
            <v>0</v>
          </cell>
          <cell r="CH509">
            <v>1</v>
          </cell>
          <cell r="CI509">
            <v>0</v>
          </cell>
          <cell r="CJ509">
            <v>0</v>
          </cell>
          <cell r="CK509">
            <v>0</v>
          </cell>
        </row>
        <row r="510">
          <cell r="A510">
            <v>43561</v>
          </cell>
          <cell r="B510">
            <v>0.83680555555555547</v>
          </cell>
          <cell r="C510">
            <v>0.79513888888888884</v>
          </cell>
          <cell r="D510" t="str">
            <v>Daylight</v>
          </cell>
          <cell r="G510" t="str">
            <v>USA @ FGO</v>
          </cell>
          <cell r="H510" t="str">
            <v>Vs. Non-Conference</v>
          </cell>
          <cell r="I510" t="str">
            <v>TEAM USA</v>
          </cell>
          <cell r="AC510">
            <v>6</v>
          </cell>
          <cell r="AD510">
            <v>3</v>
          </cell>
          <cell r="AJ510">
            <v>0</v>
          </cell>
          <cell r="AK510">
            <v>0</v>
          </cell>
          <cell r="AN510">
            <v>3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BA510" t="str">
            <v>FARGO</v>
          </cell>
          <cell r="BU510">
            <v>10</v>
          </cell>
          <cell r="BV510">
            <v>5</v>
          </cell>
          <cell r="CB510">
            <v>0</v>
          </cell>
          <cell r="CC510">
            <v>0</v>
          </cell>
          <cell r="CF510">
            <v>5</v>
          </cell>
          <cell r="CG510">
            <v>0</v>
          </cell>
          <cell r="CH510">
            <v>0</v>
          </cell>
          <cell r="CI510">
            <v>0</v>
          </cell>
          <cell r="CJ510">
            <v>0</v>
          </cell>
          <cell r="CK510">
            <v>0</v>
          </cell>
        </row>
        <row r="511">
          <cell r="A511">
            <v>43561</v>
          </cell>
          <cell r="B511">
            <v>0.83680555555555547</v>
          </cell>
          <cell r="C511">
            <v>0.79513888888888884</v>
          </cell>
          <cell r="D511" t="str">
            <v>Daylight</v>
          </cell>
          <cell r="G511" t="str">
            <v>CIL @ LIN</v>
          </cell>
          <cell r="H511" t="str">
            <v>Vs. Non-Conference</v>
          </cell>
          <cell r="I511" t="str">
            <v>CENTRAL ILLINOIS</v>
          </cell>
          <cell r="AC511">
            <v>6</v>
          </cell>
          <cell r="AD511">
            <v>3</v>
          </cell>
          <cell r="AJ511">
            <v>0</v>
          </cell>
          <cell r="AK511">
            <v>0</v>
          </cell>
          <cell r="AN511">
            <v>3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BA511" t="str">
            <v>LINCOLN</v>
          </cell>
          <cell r="BU511">
            <v>6</v>
          </cell>
          <cell r="BV511">
            <v>3</v>
          </cell>
          <cell r="CB511">
            <v>0</v>
          </cell>
          <cell r="CC511">
            <v>0</v>
          </cell>
          <cell r="CF511">
            <v>3</v>
          </cell>
          <cell r="CG511">
            <v>0</v>
          </cell>
          <cell r="CH511">
            <v>0</v>
          </cell>
          <cell r="CI511">
            <v>0</v>
          </cell>
          <cell r="CJ511">
            <v>0</v>
          </cell>
          <cell r="CK511">
            <v>0</v>
          </cell>
        </row>
        <row r="512">
          <cell r="A512">
            <v>43561</v>
          </cell>
          <cell r="B512">
            <v>0.83680555555555547</v>
          </cell>
          <cell r="C512">
            <v>0.79513888888888884</v>
          </cell>
          <cell r="D512" t="str">
            <v>Daylight</v>
          </cell>
          <cell r="G512" t="str">
            <v>DM @ MAD</v>
          </cell>
          <cell r="H512" t="str">
            <v>Vs. Non-Conference</v>
          </cell>
          <cell r="I512" t="str">
            <v>DES MOINES</v>
          </cell>
          <cell r="AC512">
            <v>8</v>
          </cell>
          <cell r="AD512">
            <v>4</v>
          </cell>
          <cell r="AJ512">
            <v>0</v>
          </cell>
          <cell r="AK512">
            <v>0</v>
          </cell>
          <cell r="AN512">
            <v>4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BA512" t="str">
            <v>MADISON</v>
          </cell>
          <cell r="BU512">
            <v>14</v>
          </cell>
          <cell r="BV512">
            <v>7</v>
          </cell>
          <cell r="CB512">
            <v>0</v>
          </cell>
          <cell r="CC512">
            <v>0</v>
          </cell>
          <cell r="CF512">
            <v>7</v>
          </cell>
          <cell r="CG512">
            <v>0</v>
          </cell>
          <cell r="CH512">
            <v>0</v>
          </cell>
          <cell r="CI512">
            <v>0</v>
          </cell>
          <cell r="CJ512">
            <v>0</v>
          </cell>
          <cell r="CK512">
            <v>0</v>
          </cell>
        </row>
        <row r="513">
          <cell r="A513">
            <v>43562</v>
          </cell>
          <cell r="B513">
            <v>0.67013888888888884</v>
          </cell>
          <cell r="C513">
            <v>0.62847222222222221</v>
          </cell>
          <cell r="D513" t="str">
            <v>Daylight</v>
          </cell>
          <cell r="G513" t="str">
            <v>CR @ GB</v>
          </cell>
          <cell r="H513" t="str">
            <v>Vs. Conference</v>
          </cell>
          <cell r="I513" t="str">
            <v>CEDAR RAPIDS</v>
          </cell>
          <cell r="AC513">
            <v>6</v>
          </cell>
          <cell r="AD513">
            <v>3</v>
          </cell>
          <cell r="AJ513">
            <v>0</v>
          </cell>
          <cell r="AK513">
            <v>0</v>
          </cell>
          <cell r="AN513">
            <v>3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BA513" t="str">
            <v>GREEN BAY</v>
          </cell>
          <cell r="BU513">
            <v>8</v>
          </cell>
          <cell r="BV513">
            <v>4</v>
          </cell>
          <cell r="CB513">
            <v>0</v>
          </cell>
          <cell r="CC513">
            <v>0</v>
          </cell>
          <cell r="CF513">
            <v>4</v>
          </cell>
          <cell r="CG513">
            <v>0</v>
          </cell>
          <cell r="CH513">
            <v>0</v>
          </cell>
          <cell r="CI513">
            <v>0</v>
          </cell>
          <cell r="CJ513">
            <v>0</v>
          </cell>
          <cell r="CK513">
            <v>0</v>
          </cell>
        </row>
        <row r="514">
          <cell r="A514">
            <v>43566</v>
          </cell>
          <cell r="B514">
            <v>0.79166666666666663</v>
          </cell>
          <cell r="C514">
            <v>0.75</v>
          </cell>
          <cell r="D514" t="str">
            <v>Daylight</v>
          </cell>
          <cell r="G514" t="str">
            <v>MUS @ USA</v>
          </cell>
          <cell r="H514" t="str">
            <v>Vs. Conference</v>
          </cell>
          <cell r="I514" t="str">
            <v>MUSKEGON</v>
          </cell>
          <cell r="AC514">
            <v>12</v>
          </cell>
          <cell r="AD514">
            <v>6</v>
          </cell>
          <cell r="AJ514">
            <v>0</v>
          </cell>
          <cell r="AK514">
            <v>0</v>
          </cell>
          <cell r="AN514">
            <v>6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BA514" t="str">
            <v>TEAM USA</v>
          </cell>
          <cell r="BU514">
            <v>8</v>
          </cell>
          <cell r="BV514">
            <v>4</v>
          </cell>
          <cell r="CB514">
            <v>0</v>
          </cell>
          <cell r="CC514">
            <v>0</v>
          </cell>
          <cell r="CF514">
            <v>4</v>
          </cell>
          <cell r="CG514">
            <v>0</v>
          </cell>
          <cell r="CH514">
            <v>0</v>
          </cell>
          <cell r="CI514">
            <v>0</v>
          </cell>
          <cell r="CJ514">
            <v>0</v>
          </cell>
          <cell r="CK514">
            <v>0</v>
          </cell>
        </row>
        <row r="515">
          <cell r="A515">
            <v>43567</v>
          </cell>
          <cell r="B515">
            <v>0.79166666666666663</v>
          </cell>
          <cell r="C515">
            <v>0.75</v>
          </cell>
          <cell r="D515" t="str">
            <v>Daylight</v>
          </cell>
          <cell r="G515" t="str">
            <v>YNG @ USA</v>
          </cell>
          <cell r="H515" t="str">
            <v>Vs. Conference</v>
          </cell>
          <cell r="I515" t="str">
            <v>YOUNGSTOWN</v>
          </cell>
          <cell r="AC515">
            <v>12</v>
          </cell>
          <cell r="AD515">
            <v>6</v>
          </cell>
          <cell r="AJ515">
            <v>0</v>
          </cell>
          <cell r="AK515">
            <v>0</v>
          </cell>
          <cell r="AN515">
            <v>6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BA515" t="str">
            <v>TEAM USA</v>
          </cell>
          <cell r="BU515">
            <v>20</v>
          </cell>
          <cell r="BV515">
            <v>6</v>
          </cell>
          <cell r="CB515">
            <v>0</v>
          </cell>
          <cell r="CC515">
            <v>0</v>
          </cell>
          <cell r="CF515">
            <v>5</v>
          </cell>
          <cell r="CG515">
            <v>0</v>
          </cell>
          <cell r="CH515">
            <v>0</v>
          </cell>
          <cell r="CI515">
            <v>1</v>
          </cell>
          <cell r="CJ515">
            <v>0</v>
          </cell>
          <cell r="CK515">
            <v>0</v>
          </cell>
        </row>
        <row r="516">
          <cell r="A516">
            <v>43567</v>
          </cell>
          <cell r="B516">
            <v>0.83680555555555547</v>
          </cell>
          <cell r="C516">
            <v>0.79513888888888884</v>
          </cell>
          <cell r="D516" t="str">
            <v>Daylight</v>
          </cell>
          <cell r="G516" t="str">
            <v>CIL @ CHI</v>
          </cell>
          <cell r="H516" t="str">
            <v>Vs. Conference</v>
          </cell>
          <cell r="I516" t="str">
            <v>CENTRAL ILLINOIS</v>
          </cell>
          <cell r="AC516">
            <v>8</v>
          </cell>
          <cell r="AD516">
            <v>4</v>
          </cell>
          <cell r="AJ516">
            <v>0</v>
          </cell>
          <cell r="AK516">
            <v>0</v>
          </cell>
          <cell r="AN516">
            <v>4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BA516" t="str">
            <v>CHICAGO</v>
          </cell>
          <cell r="BU516">
            <v>8</v>
          </cell>
          <cell r="BV516">
            <v>4</v>
          </cell>
          <cell r="CB516">
            <v>0</v>
          </cell>
          <cell r="CC516">
            <v>0</v>
          </cell>
          <cell r="CF516">
            <v>4</v>
          </cell>
          <cell r="CG516">
            <v>0</v>
          </cell>
          <cell r="CH516">
            <v>0</v>
          </cell>
          <cell r="CI516">
            <v>0</v>
          </cell>
          <cell r="CJ516">
            <v>0</v>
          </cell>
          <cell r="CK516">
            <v>0</v>
          </cell>
        </row>
        <row r="517">
          <cell r="A517">
            <v>43567</v>
          </cell>
          <cell r="B517">
            <v>0.83680555555555547</v>
          </cell>
          <cell r="C517">
            <v>0.79513888888888884</v>
          </cell>
          <cell r="D517" t="str">
            <v>Daylight</v>
          </cell>
          <cell r="G517" t="str">
            <v>MAD @ GB</v>
          </cell>
          <cell r="H517" t="str">
            <v>Vs. Conference</v>
          </cell>
          <cell r="I517" t="str">
            <v>MADISON</v>
          </cell>
          <cell r="AC517">
            <v>8</v>
          </cell>
          <cell r="AD517">
            <v>4</v>
          </cell>
          <cell r="AJ517">
            <v>0</v>
          </cell>
          <cell r="AK517">
            <v>0</v>
          </cell>
          <cell r="AN517">
            <v>4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BA517" t="str">
            <v>GREEN BAY</v>
          </cell>
          <cell r="BU517">
            <v>24</v>
          </cell>
          <cell r="BV517">
            <v>8</v>
          </cell>
          <cell r="CB517">
            <v>0</v>
          </cell>
          <cell r="CC517">
            <v>0</v>
          </cell>
          <cell r="CF517">
            <v>7</v>
          </cell>
          <cell r="CG517">
            <v>0</v>
          </cell>
          <cell r="CH517">
            <v>1</v>
          </cell>
          <cell r="CI517">
            <v>0</v>
          </cell>
          <cell r="CJ517">
            <v>0</v>
          </cell>
          <cell r="CK517">
            <v>0</v>
          </cell>
        </row>
        <row r="518">
          <cell r="A518">
            <v>43567</v>
          </cell>
          <cell r="B518">
            <v>0.83680555555555547</v>
          </cell>
          <cell r="C518">
            <v>0.79513888888888884</v>
          </cell>
          <cell r="D518" t="str">
            <v>Daylight</v>
          </cell>
          <cell r="G518" t="str">
            <v>SC @ SF</v>
          </cell>
          <cell r="H518" t="str">
            <v>Vs. Conference</v>
          </cell>
          <cell r="I518" t="str">
            <v>SIOUX CITY</v>
          </cell>
          <cell r="AC518">
            <v>12</v>
          </cell>
          <cell r="AD518">
            <v>6</v>
          </cell>
          <cell r="AJ518">
            <v>0</v>
          </cell>
          <cell r="AK518">
            <v>0</v>
          </cell>
          <cell r="AN518">
            <v>6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BA518" t="str">
            <v>SIOUX FALLS</v>
          </cell>
          <cell r="BU518">
            <v>12</v>
          </cell>
          <cell r="BV518">
            <v>6</v>
          </cell>
          <cell r="CB518">
            <v>0</v>
          </cell>
          <cell r="CC518">
            <v>0</v>
          </cell>
          <cell r="CF518">
            <v>6</v>
          </cell>
          <cell r="CG518">
            <v>0</v>
          </cell>
          <cell r="CH518">
            <v>0</v>
          </cell>
          <cell r="CI518">
            <v>0</v>
          </cell>
          <cell r="CJ518">
            <v>0</v>
          </cell>
          <cell r="CK518">
            <v>0</v>
          </cell>
        </row>
        <row r="519">
          <cell r="A519">
            <v>43567</v>
          </cell>
          <cell r="B519">
            <v>0.83680555555555547</v>
          </cell>
          <cell r="C519">
            <v>0.79513888888888884</v>
          </cell>
          <cell r="D519" t="str">
            <v>Daylight</v>
          </cell>
          <cell r="G519" t="str">
            <v>DM @ TC</v>
          </cell>
          <cell r="H519" t="str">
            <v>Vs. Conference</v>
          </cell>
          <cell r="I519" t="str">
            <v>DES MOINES</v>
          </cell>
          <cell r="AC519">
            <v>8</v>
          </cell>
          <cell r="AD519">
            <v>4</v>
          </cell>
          <cell r="AJ519">
            <v>0</v>
          </cell>
          <cell r="AK519">
            <v>0</v>
          </cell>
          <cell r="AN519">
            <v>4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BA519" t="str">
            <v>TRI-CITY</v>
          </cell>
          <cell r="BU519">
            <v>6</v>
          </cell>
          <cell r="BV519">
            <v>3</v>
          </cell>
          <cell r="CB519">
            <v>0</v>
          </cell>
          <cell r="CC519">
            <v>0</v>
          </cell>
          <cell r="CF519">
            <v>3</v>
          </cell>
          <cell r="CG519">
            <v>0</v>
          </cell>
          <cell r="CH519">
            <v>0</v>
          </cell>
          <cell r="CI519">
            <v>0</v>
          </cell>
          <cell r="CJ519">
            <v>0</v>
          </cell>
          <cell r="CK519">
            <v>0</v>
          </cell>
        </row>
        <row r="520">
          <cell r="A520">
            <v>43567</v>
          </cell>
          <cell r="B520">
            <v>0.83680555555555547</v>
          </cell>
          <cell r="C520">
            <v>0.79513888888888884</v>
          </cell>
          <cell r="D520" t="str">
            <v>Daylight</v>
          </cell>
          <cell r="G520" t="str">
            <v>FGO @ CR</v>
          </cell>
          <cell r="H520" t="str">
            <v>Vs. Non-Conference</v>
          </cell>
          <cell r="I520" t="str">
            <v>FARGO</v>
          </cell>
          <cell r="AC520">
            <v>14</v>
          </cell>
          <cell r="AD520">
            <v>7</v>
          </cell>
          <cell r="AJ520">
            <v>0</v>
          </cell>
          <cell r="AK520">
            <v>0</v>
          </cell>
          <cell r="AN520">
            <v>7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BA520" t="str">
            <v>CEDAR RAPIDS</v>
          </cell>
          <cell r="BU520">
            <v>18</v>
          </cell>
          <cell r="BV520">
            <v>9</v>
          </cell>
          <cell r="CB520">
            <v>0</v>
          </cell>
          <cell r="CC520">
            <v>0</v>
          </cell>
          <cell r="CF520">
            <v>9</v>
          </cell>
          <cell r="CG520">
            <v>0</v>
          </cell>
          <cell r="CH520">
            <v>0</v>
          </cell>
          <cell r="CI520">
            <v>0</v>
          </cell>
          <cell r="CJ520">
            <v>0</v>
          </cell>
          <cell r="CK520">
            <v>0</v>
          </cell>
        </row>
        <row r="521">
          <cell r="A521">
            <v>43567</v>
          </cell>
          <cell r="B521">
            <v>0.83680555555555547</v>
          </cell>
          <cell r="C521">
            <v>0.79513888888888884</v>
          </cell>
          <cell r="D521" t="str">
            <v>Daylight</v>
          </cell>
          <cell r="G521" t="str">
            <v>DUB @ WAT</v>
          </cell>
          <cell r="H521" t="str">
            <v>Vs. Non-Conference</v>
          </cell>
          <cell r="I521" t="str">
            <v>DUBUQUE</v>
          </cell>
          <cell r="AC521">
            <v>10</v>
          </cell>
          <cell r="AD521">
            <v>5</v>
          </cell>
          <cell r="AJ521">
            <v>0</v>
          </cell>
          <cell r="AK521">
            <v>0</v>
          </cell>
          <cell r="AN521">
            <v>5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BA521" t="str">
            <v>WATERLOO</v>
          </cell>
          <cell r="BU521">
            <v>10</v>
          </cell>
          <cell r="BV521">
            <v>5</v>
          </cell>
          <cell r="CB521">
            <v>0</v>
          </cell>
          <cell r="CC521">
            <v>0</v>
          </cell>
          <cell r="CF521">
            <v>5</v>
          </cell>
          <cell r="CG521">
            <v>0</v>
          </cell>
          <cell r="CH521">
            <v>0</v>
          </cell>
          <cell r="CI521">
            <v>0</v>
          </cell>
          <cell r="CJ521">
            <v>0</v>
          </cell>
          <cell r="CK521">
            <v>0</v>
          </cell>
        </row>
        <row r="522">
          <cell r="A522">
            <v>43567</v>
          </cell>
          <cell r="B522">
            <v>0.85763888888888884</v>
          </cell>
          <cell r="C522">
            <v>0.81597222222222221</v>
          </cell>
          <cell r="D522" t="str">
            <v>Daylight</v>
          </cell>
          <cell r="G522" t="str">
            <v>LIN @ OMA</v>
          </cell>
          <cell r="H522" t="str">
            <v>Vs. Conference</v>
          </cell>
          <cell r="I522" t="str">
            <v>LINCOLN</v>
          </cell>
          <cell r="AC522">
            <v>10</v>
          </cell>
          <cell r="AD522">
            <v>5</v>
          </cell>
          <cell r="AJ522">
            <v>0</v>
          </cell>
          <cell r="AK522">
            <v>0</v>
          </cell>
          <cell r="AN522">
            <v>5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BA522" t="str">
            <v>OMAHA</v>
          </cell>
          <cell r="BU522">
            <v>8</v>
          </cell>
          <cell r="BV522">
            <v>4</v>
          </cell>
          <cell r="CB522">
            <v>0</v>
          </cell>
          <cell r="CC522">
            <v>0</v>
          </cell>
          <cell r="CF522">
            <v>4</v>
          </cell>
          <cell r="CG522">
            <v>0</v>
          </cell>
          <cell r="CH522">
            <v>0</v>
          </cell>
          <cell r="CI522">
            <v>0</v>
          </cell>
          <cell r="CJ522">
            <v>0</v>
          </cell>
          <cell r="CK522">
            <v>0</v>
          </cell>
        </row>
        <row r="523">
          <cell r="A523">
            <v>43568</v>
          </cell>
          <cell r="B523">
            <v>0.79513888888888884</v>
          </cell>
          <cell r="C523">
            <v>0.75347222222222221</v>
          </cell>
          <cell r="D523" t="str">
            <v>Daylight</v>
          </cell>
          <cell r="G523" t="str">
            <v>USA @ YNG</v>
          </cell>
          <cell r="H523" t="str">
            <v>Vs. Conference</v>
          </cell>
          <cell r="I523" t="str">
            <v>TEAM USA</v>
          </cell>
          <cell r="AC523">
            <v>12</v>
          </cell>
          <cell r="AD523">
            <v>6</v>
          </cell>
          <cell r="AJ523">
            <v>0</v>
          </cell>
          <cell r="AK523">
            <v>0</v>
          </cell>
          <cell r="AN523">
            <v>6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BA523" t="str">
            <v>YOUNGSTOWN</v>
          </cell>
          <cell r="BU523">
            <v>14</v>
          </cell>
          <cell r="BV523">
            <v>7</v>
          </cell>
          <cell r="CB523">
            <v>0</v>
          </cell>
          <cell r="CC523">
            <v>0</v>
          </cell>
          <cell r="CF523">
            <v>7</v>
          </cell>
          <cell r="CG523">
            <v>0</v>
          </cell>
          <cell r="CH523">
            <v>0</v>
          </cell>
          <cell r="CI523">
            <v>0</v>
          </cell>
          <cell r="CJ523">
            <v>0</v>
          </cell>
          <cell r="CK523">
            <v>0</v>
          </cell>
        </row>
        <row r="524">
          <cell r="A524">
            <v>43568</v>
          </cell>
          <cell r="B524">
            <v>0.80208333333333337</v>
          </cell>
          <cell r="C524">
            <v>0.76041666666666674</v>
          </cell>
          <cell r="D524" t="str">
            <v>Daylight</v>
          </cell>
          <cell r="G524" t="str">
            <v>CHI @ MUS</v>
          </cell>
          <cell r="H524" t="str">
            <v>Vs. Conference</v>
          </cell>
          <cell r="I524" t="str">
            <v>CHICAGO</v>
          </cell>
          <cell r="AC524">
            <v>4</v>
          </cell>
          <cell r="AD524">
            <v>2</v>
          </cell>
          <cell r="AJ524">
            <v>1</v>
          </cell>
          <cell r="AK524">
            <v>1</v>
          </cell>
          <cell r="AN524">
            <v>2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1</v>
          </cell>
          <cell r="BA524" t="str">
            <v>MUSKEGON</v>
          </cell>
          <cell r="BU524">
            <v>10</v>
          </cell>
          <cell r="BV524">
            <v>6</v>
          </cell>
          <cell r="CB524">
            <v>0</v>
          </cell>
          <cell r="CC524">
            <v>0</v>
          </cell>
          <cell r="CF524">
            <v>5</v>
          </cell>
          <cell r="CG524">
            <v>0</v>
          </cell>
          <cell r="CH524">
            <v>0</v>
          </cell>
          <cell r="CI524">
            <v>0</v>
          </cell>
          <cell r="CJ524">
            <v>0</v>
          </cell>
          <cell r="CK524">
            <v>0</v>
          </cell>
        </row>
        <row r="525">
          <cell r="A525">
            <v>43568</v>
          </cell>
          <cell r="B525">
            <v>0.83680555555555547</v>
          </cell>
          <cell r="C525">
            <v>0.79513888888888884</v>
          </cell>
          <cell r="D525" t="str">
            <v>Daylight</v>
          </cell>
          <cell r="G525" t="str">
            <v>OMA @ LIN</v>
          </cell>
          <cell r="H525" t="str">
            <v>Vs. Conference</v>
          </cell>
          <cell r="I525" t="str">
            <v>OMAHA</v>
          </cell>
          <cell r="AC525">
            <v>21</v>
          </cell>
          <cell r="AD525">
            <v>5</v>
          </cell>
          <cell r="AJ525">
            <v>0</v>
          </cell>
          <cell r="AK525">
            <v>0</v>
          </cell>
          <cell r="AN525">
            <v>3</v>
          </cell>
          <cell r="AO525">
            <v>1</v>
          </cell>
          <cell r="AP525">
            <v>0</v>
          </cell>
          <cell r="AQ525">
            <v>1</v>
          </cell>
          <cell r="AR525">
            <v>0</v>
          </cell>
          <cell r="AS525">
            <v>0</v>
          </cell>
          <cell r="BA525" t="str">
            <v>LINCOLN</v>
          </cell>
          <cell r="BU525">
            <v>10</v>
          </cell>
          <cell r="BV525">
            <v>5</v>
          </cell>
          <cell r="CB525">
            <v>0</v>
          </cell>
          <cell r="CC525">
            <v>0</v>
          </cell>
          <cell r="CF525">
            <v>5</v>
          </cell>
          <cell r="CG525">
            <v>0</v>
          </cell>
          <cell r="CH525">
            <v>0</v>
          </cell>
          <cell r="CI525">
            <v>0</v>
          </cell>
          <cell r="CJ525">
            <v>0</v>
          </cell>
          <cell r="CK525">
            <v>0</v>
          </cell>
        </row>
        <row r="526">
          <cell r="A526">
            <v>43568</v>
          </cell>
          <cell r="B526">
            <v>0.83680555555555547</v>
          </cell>
          <cell r="C526">
            <v>0.79513888888888884</v>
          </cell>
          <cell r="D526" t="str">
            <v>Daylight</v>
          </cell>
          <cell r="G526" t="str">
            <v>GB @ MAD</v>
          </cell>
          <cell r="H526" t="str">
            <v>Vs. Conference</v>
          </cell>
          <cell r="I526" t="str">
            <v>GREEN BAY</v>
          </cell>
          <cell r="AC526">
            <v>8</v>
          </cell>
          <cell r="AD526">
            <v>4</v>
          </cell>
          <cell r="AJ526">
            <v>0</v>
          </cell>
          <cell r="AK526">
            <v>0</v>
          </cell>
          <cell r="AN526">
            <v>4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BA526" t="str">
            <v>MADISON</v>
          </cell>
          <cell r="BU526">
            <v>6</v>
          </cell>
          <cell r="BV526">
            <v>3</v>
          </cell>
          <cell r="CB526">
            <v>0</v>
          </cell>
          <cell r="CC526">
            <v>0</v>
          </cell>
          <cell r="CF526">
            <v>3</v>
          </cell>
          <cell r="CG526">
            <v>0</v>
          </cell>
          <cell r="CH526">
            <v>0</v>
          </cell>
          <cell r="CI526">
            <v>0</v>
          </cell>
          <cell r="CJ526">
            <v>0</v>
          </cell>
          <cell r="CK526">
            <v>0</v>
          </cell>
        </row>
        <row r="527">
          <cell r="A527">
            <v>43568</v>
          </cell>
          <cell r="B527">
            <v>0.83680555555555547</v>
          </cell>
          <cell r="C527">
            <v>0.79513888888888884</v>
          </cell>
          <cell r="D527" t="str">
            <v>Daylight</v>
          </cell>
          <cell r="G527" t="str">
            <v>DM @ SF</v>
          </cell>
          <cell r="H527" t="str">
            <v>Vs. Conference</v>
          </cell>
          <cell r="I527" t="str">
            <v>DES MOINES</v>
          </cell>
          <cell r="AC527">
            <v>6</v>
          </cell>
          <cell r="AD527">
            <v>3</v>
          </cell>
          <cell r="AJ527">
            <v>0</v>
          </cell>
          <cell r="AK527">
            <v>0</v>
          </cell>
          <cell r="AN527">
            <v>3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BA527" t="str">
            <v>SIOUX FALLS</v>
          </cell>
          <cell r="BU527">
            <v>4</v>
          </cell>
          <cell r="BV527">
            <v>2</v>
          </cell>
          <cell r="CB527">
            <v>0</v>
          </cell>
          <cell r="CC527">
            <v>0</v>
          </cell>
          <cell r="CF527">
            <v>2</v>
          </cell>
          <cell r="CG527">
            <v>0</v>
          </cell>
          <cell r="CH527">
            <v>0</v>
          </cell>
          <cell r="CI527">
            <v>0</v>
          </cell>
          <cell r="CJ527">
            <v>0</v>
          </cell>
          <cell r="CK527">
            <v>0</v>
          </cell>
        </row>
        <row r="528">
          <cell r="A528">
            <v>43568</v>
          </cell>
          <cell r="B528">
            <v>0.83680555555555547</v>
          </cell>
          <cell r="C528">
            <v>0.79513888888888884</v>
          </cell>
          <cell r="D528" t="str">
            <v>Daylight</v>
          </cell>
          <cell r="G528" t="str">
            <v>SC @ TC</v>
          </cell>
          <cell r="H528" t="str">
            <v>Vs. Conference</v>
          </cell>
          <cell r="I528" t="str">
            <v>SIOUX CITY</v>
          </cell>
          <cell r="AC528">
            <v>26</v>
          </cell>
          <cell r="AD528">
            <v>9</v>
          </cell>
          <cell r="AJ528">
            <v>0</v>
          </cell>
          <cell r="AK528">
            <v>0</v>
          </cell>
          <cell r="AN528">
            <v>8</v>
          </cell>
          <cell r="AO528">
            <v>0</v>
          </cell>
          <cell r="AP528">
            <v>1</v>
          </cell>
          <cell r="AQ528">
            <v>0</v>
          </cell>
          <cell r="AR528">
            <v>0</v>
          </cell>
          <cell r="AS528">
            <v>0</v>
          </cell>
          <cell r="BA528" t="str">
            <v>TRI-CITY</v>
          </cell>
          <cell r="BU528">
            <v>32</v>
          </cell>
          <cell r="BV528">
            <v>12</v>
          </cell>
          <cell r="CB528">
            <v>0</v>
          </cell>
          <cell r="CC528">
            <v>0</v>
          </cell>
          <cell r="CF528">
            <v>11</v>
          </cell>
          <cell r="CG528">
            <v>0</v>
          </cell>
          <cell r="CH528">
            <v>1</v>
          </cell>
          <cell r="CI528">
            <v>0</v>
          </cell>
          <cell r="CJ528">
            <v>0</v>
          </cell>
          <cell r="CK528">
            <v>0</v>
          </cell>
        </row>
        <row r="529">
          <cell r="A529">
            <v>43568</v>
          </cell>
          <cell r="B529">
            <v>0.83680555555555547</v>
          </cell>
          <cell r="C529">
            <v>0.79513888888888884</v>
          </cell>
          <cell r="D529" t="str">
            <v>Daylight</v>
          </cell>
          <cell r="G529" t="str">
            <v>WAT @ DUB</v>
          </cell>
          <cell r="H529" t="str">
            <v>Vs. Non-Conference</v>
          </cell>
          <cell r="I529" t="str">
            <v>WATERLOO</v>
          </cell>
          <cell r="AC529">
            <v>14</v>
          </cell>
          <cell r="AD529">
            <v>7</v>
          </cell>
          <cell r="AJ529">
            <v>0</v>
          </cell>
          <cell r="AK529">
            <v>0</v>
          </cell>
          <cell r="AN529">
            <v>7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BA529" t="str">
            <v>DUBUQUE</v>
          </cell>
          <cell r="BU529">
            <v>25</v>
          </cell>
          <cell r="BV529">
            <v>7</v>
          </cell>
          <cell r="CB529">
            <v>0</v>
          </cell>
          <cell r="CC529">
            <v>0</v>
          </cell>
          <cell r="CF529">
            <v>5</v>
          </cell>
          <cell r="CG529">
            <v>1</v>
          </cell>
          <cell r="CH529">
            <v>0</v>
          </cell>
          <cell r="CI529">
            <v>1</v>
          </cell>
          <cell r="CJ529">
            <v>0</v>
          </cell>
          <cell r="CK529">
            <v>0</v>
          </cell>
        </row>
        <row r="530">
          <cell r="A530">
            <v>43568</v>
          </cell>
          <cell r="B530">
            <v>0.83819444444444446</v>
          </cell>
          <cell r="C530">
            <v>0.79652777777777783</v>
          </cell>
          <cell r="D530" t="str">
            <v>Daylight</v>
          </cell>
          <cell r="G530" t="str">
            <v>CR @ CIL</v>
          </cell>
          <cell r="H530" t="str">
            <v>Vs. Conference</v>
          </cell>
          <cell r="I530" t="str">
            <v>CEDAR RAPIDS</v>
          </cell>
          <cell r="AC530">
            <v>6</v>
          </cell>
          <cell r="AD530">
            <v>3</v>
          </cell>
          <cell r="AJ530">
            <v>0</v>
          </cell>
          <cell r="AK530">
            <v>0</v>
          </cell>
          <cell r="AN530">
            <v>3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BA530" t="str">
            <v>CENTRAL ILLINOIS</v>
          </cell>
          <cell r="BU530">
            <v>26</v>
          </cell>
          <cell r="BV530">
            <v>5</v>
          </cell>
          <cell r="CB530">
            <v>0</v>
          </cell>
          <cell r="CC530">
            <v>0</v>
          </cell>
          <cell r="CF530">
            <v>3</v>
          </cell>
          <cell r="CG530">
            <v>0</v>
          </cell>
          <cell r="CH530">
            <v>2</v>
          </cell>
          <cell r="CI530">
            <v>0</v>
          </cell>
          <cell r="CJ530">
            <v>0</v>
          </cell>
          <cell r="CK530">
            <v>0</v>
          </cell>
        </row>
        <row r="531">
          <cell r="G531" t="str">
            <v/>
          </cell>
          <cell r="H531" t="e">
            <v>#N/A</v>
          </cell>
          <cell r="AC531">
            <v>0</v>
          </cell>
          <cell r="AD531">
            <v>0</v>
          </cell>
          <cell r="AS531">
            <v>0</v>
          </cell>
          <cell r="BU531">
            <v>0</v>
          </cell>
          <cell r="BV531">
            <v>0</v>
          </cell>
          <cell r="CK531">
            <v>0</v>
          </cell>
        </row>
        <row r="532">
          <cell r="G532" t="str">
            <v/>
          </cell>
          <cell r="H532" t="e">
            <v>#N/A</v>
          </cell>
          <cell r="AC532">
            <v>0</v>
          </cell>
          <cell r="AD532">
            <v>0</v>
          </cell>
          <cell r="AS532">
            <v>0</v>
          </cell>
          <cell r="BU532">
            <v>0</v>
          </cell>
          <cell r="BV532">
            <v>0</v>
          </cell>
          <cell r="CK532">
            <v>0</v>
          </cell>
        </row>
        <row r="533">
          <cell r="G533" t="str">
            <v/>
          </cell>
          <cell r="H533" t="e">
            <v>#N/A</v>
          </cell>
          <cell r="AC533">
            <v>0</v>
          </cell>
          <cell r="AD533">
            <v>0</v>
          </cell>
          <cell r="AS533">
            <v>0</v>
          </cell>
          <cell r="BU533">
            <v>0</v>
          </cell>
          <cell r="BV533">
            <v>0</v>
          </cell>
          <cell r="CK533">
            <v>0</v>
          </cell>
        </row>
        <row r="534">
          <cell r="G534" t="str">
            <v/>
          </cell>
          <cell r="H534" t="e">
            <v>#N/A</v>
          </cell>
          <cell r="AC534">
            <v>0</v>
          </cell>
          <cell r="AD534">
            <v>0</v>
          </cell>
          <cell r="AS534">
            <v>0</v>
          </cell>
          <cell r="BU534">
            <v>0</v>
          </cell>
          <cell r="BV534">
            <v>0</v>
          </cell>
          <cell r="CK534">
            <v>0</v>
          </cell>
        </row>
        <row r="535">
          <cell r="G535" t="str">
            <v/>
          </cell>
          <cell r="H535" t="e">
            <v>#N/A</v>
          </cell>
          <cell r="AC535">
            <v>0</v>
          </cell>
          <cell r="AD535">
            <v>0</v>
          </cell>
          <cell r="AS535">
            <v>0</v>
          </cell>
          <cell r="BU535">
            <v>0</v>
          </cell>
          <cell r="BV535">
            <v>0</v>
          </cell>
          <cell r="CK535">
            <v>0</v>
          </cell>
        </row>
        <row r="536">
          <cell r="G536" t="str">
            <v/>
          </cell>
          <cell r="H536" t="e">
            <v>#N/A</v>
          </cell>
          <cell r="AC536">
            <v>0</v>
          </cell>
          <cell r="AD536">
            <v>0</v>
          </cell>
          <cell r="AS536">
            <v>0</v>
          </cell>
          <cell r="BU536">
            <v>0</v>
          </cell>
          <cell r="BV536">
            <v>0</v>
          </cell>
          <cell r="CK536">
            <v>0</v>
          </cell>
        </row>
        <row r="537">
          <cell r="G537" t="str">
            <v/>
          </cell>
          <cell r="H537" t="e">
            <v>#N/A</v>
          </cell>
          <cell r="AC537">
            <v>0</v>
          </cell>
          <cell r="AD537">
            <v>0</v>
          </cell>
          <cell r="AS537">
            <v>0</v>
          </cell>
          <cell r="BU537">
            <v>0</v>
          </cell>
          <cell r="BV537">
            <v>0</v>
          </cell>
          <cell r="CK537">
            <v>0</v>
          </cell>
        </row>
        <row r="538">
          <cell r="G538" t="str">
            <v/>
          </cell>
          <cell r="H538" t="e">
            <v>#N/A</v>
          </cell>
          <cell r="AC538">
            <v>0</v>
          </cell>
          <cell r="AD538">
            <v>0</v>
          </cell>
          <cell r="AS538">
            <v>0</v>
          </cell>
          <cell r="BU538">
            <v>0</v>
          </cell>
          <cell r="BV538">
            <v>0</v>
          </cell>
          <cell r="CK538">
            <v>0</v>
          </cell>
        </row>
        <row r="539">
          <cell r="G539" t="str">
            <v/>
          </cell>
          <cell r="H539" t="e">
            <v>#N/A</v>
          </cell>
          <cell r="AC539">
            <v>0</v>
          </cell>
          <cell r="AD539">
            <v>0</v>
          </cell>
          <cell r="AS539">
            <v>0</v>
          </cell>
          <cell r="BU539">
            <v>0</v>
          </cell>
          <cell r="BV539">
            <v>0</v>
          </cell>
          <cell r="CK539">
            <v>0</v>
          </cell>
        </row>
        <row r="540">
          <cell r="G540" t="str">
            <v/>
          </cell>
          <cell r="H540" t="e">
            <v>#N/A</v>
          </cell>
          <cell r="AC540">
            <v>0</v>
          </cell>
          <cell r="AD540">
            <v>0</v>
          </cell>
          <cell r="AS540">
            <v>0</v>
          </cell>
          <cell r="BU540">
            <v>0</v>
          </cell>
          <cell r="BV540">
            <v>0</v>
          </cell>
          <cell r="CK540">
            <v>0</v>
          </cell>
        </row>
        <row r="541">
          <cell r="G541" t="str">
            <v/>
          </cell>
          <cell r="H541" t="e">
            <v>#N/A</v>
          </cell>
          <cell r="AC541">
            <v>0</v>
          </cell>
          <cell r="AD541">
            <v>0</v>
          </cell>
          <cell r="AS541">
            <v>0</v>
          </cell>
          <cell r="BU541">
            <v>0</v>
          </cell>
          <cell r="BV541">
            <v>0</v>
          </cell>
          <cell r="CK541">
            <v>0</v>
          </cell>
        </row>
        <row r="542">
          <cell r="G542" t="str">
            <v/>
          </cell>
          <cell r="H542" t="e">
            <v>#N/A</v>
          </cell>
          <cell r="AC542">
            <v>0</v>
          </cell>
          <cell r="AD542">
            <v>0</v>
          </cell>
          <cell r="AS542">
            <v>0</v>
          </cell>
          <cell r="BU542">
            <v>0</v>
          </cell>
          <cell r="BV542">
            <v>0</v>
          </cell>
          <cell r="CK542">
            <v>0</v>
          </cell>
        </row>
        <row r="543">
          <cell r="G543" t="str">
            <v/>
          </cell>
          <cell r="H543" t="e">
            <v>#N/A</v>
          </cell>
          <cell r="AC543">
            <v>0</v>
          </cell>
          <cell r="AD543">
            <v>0</v>
          </cell>
          <cell r="AS543">
            <v>0</v>
          </cell>
          <cell r="BU543">
            <v>0</v>
          </cell>
          <cell r="BV543">
            <v>0</v>
          </cell>
          <cell r="CK543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04BA-EC41-4DD3-A429-6462B193B3C3}">
  <sheetPr>
    <tabColor rgb="FF00B050"/>
  </sheetPr>
  <dimension ref="A1:AH543"/>
  <sheetViews>
    <sheetView showGridLines="0" tabSelected="1" zoomScaleNormal="100" workbookViewId="0">
      <pane xSplit="7" ySplit="3" topLeftCell="H4" activePane="bottomRight" state="frozen"/>
      <selection pane="topRight" activeCell="F1" sqref="F1"/>
      <selection pane="bottomLeft" activeCell="A4" sqref="A4"/>
      <selection pane="bottomRight"/>
    </sheetView>
  </sheetViews>
  <sheetFormatPr defaultRowHeight="12.75" x14ac:dyDescent="0.2"/>
  <cols>
    <col min="1" max="1" width="12.7109375" style="12" customWidth="1"/>
    <col min="2" max="2" width="10.7109375" style="12" hidden="1" customWidth="1"/>
    <col min="3" max="3" width="16.42578125" style="15" hidden="1" customWidth="1"/>
    <col min="4" max="4" width="12.42578125" style="13" bestFit="1" customWidth="1"/>
    <col min="5" max="5" width="12.28515625" style="13" bestFit="1" customWidth="1"/>
    <col min="6" max="6" width="14.7109375" style="11" customWidth="1"/>
    <col min="7" max="7" width="12.42578125" style="11" bestFit="1" customWidth="1"/>
    <col min="8" max="8" width="18.7109375" style="11" customWidth="1"/>
    <col min="9" max="9" width="14.5703125" style="11" bestFit="1" customWidth="1"/>
    <col min="10" max="19" width="7.7109375" style="14" customWidth="1"/>
    <col min="20" max="20" width="14.5703125" style="15" bestFit="1" customWidth="1"/>
    <col min="21" max="30" width="7.7109375" style="14" customWidth="1"/>
    <col min="31" max="34" width="20.7109375" style="11" customWidth="1"/>
    <col min="35" max="16384" width="9.140625" style="11"/>
  </cols>
  <sheetData>
    <row r="1" spans="1:34" s="2" customFormat="1" x14ac:dyDescent="0.2">
      <c r="A1" s="1">
        <f ca="1">TODAY()</f>
        <v>43573</v>
      </c>
      <c r="B1" s="1">
        <v>43369</v>
      </c>
      <c r="C1" s="1">
        <v>43569</v>
      </c>
    </row>
    <row r="2" spans="1:34" s="2" customFormat="1" x14ac:dyDescent="0.2">
      <c r="J2" s="3" t="s">
        <v>7</v>
      </c>
      <c r="K2" s="3"/>
      <c r="L2" s="3" t="s">
        <v>10</v>
      </c>
      <c r="M2" s="3"/>
      <c r="N2" s="3" t="s">
        <v>7</v>
      </c>
      <c r="O2" s="3"/>
      <c r="P2" s="3"/>
      <c r="Q2" s="3"/>
      <c r="R2" s="3"/>
      <c r="S2" s="3"/>
      <c r="U2" s="3" t="s">
        <v>7</v>
      </c>
      <c r="V2" s="3"/>
      <c r="W2" s="3" t="s">
        <v>10</v>
      </c>
      <c r="X2" s="3"/>
      <c r="Y2" s="3" t="s">
        <v>7</v>
      </c>
      <c r="Z2" s="3"/>
      <c r="AA2" s="3"/>
      <c r="AB2" s="3"/>
      <c r="AC2" s="3"/>
      <c r="AD2" s="3"/>
    </row>
    <row r="3" spans="1:34" s="5" customFormat="1" ht="30" customHeight="1" x14ac:dyDescent="0.2">
      <c r="A3" s="4" t="s">
        <v>0</v>
      </c>
      <c r="B3" s="4" t="s">
        <v>25</v>
      </c>
      <c r="C3" s="4" t="s">
        <v>26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8</v>
      </c>
      <c r="K3" s="4" t="s">
        <v>9</v>
      </c>
      <c r="L3" s="4" t="s">
        <v>11</v>
      </c>
      <c r="M3" s="4" t="s">
        <v>12</v>
      </c>
      <c r="N3" s="4" t="s">
        <v>13</v>
      </c>
      <c r="O3" s="4" t="s">
        <v>14</v>
      </c>
      <c r="P3" s="4" t="s">
        <v>15</v>
      </c>
      <c r="Q3" s="4" t="s">
        <v>16</v>
      </c>
      <c r="R3" s="4" t="s">
        <v>17</v>
      </c>
      <c r="S3" s="4" t="s">
        <v>10</v>
      </c>
      <c r="T3" s="4" t="s">
        <v>18</v>
      </c>
      <c r="U3" s="4" t="s">
        <v>8</v>
      </c>
      <c r="V3" s="4" t="s">
        <v>9</v>
      </c>
      <c r="W3" s="4" t="s">
        <v>11</v>
      </c>
      <c r="X3" s="4" t="s">
        <v>12</v>
      </c>
      <c r="Y3" s="4" t="s">
        <v>13</v>
      </c>
      <c r="Z3" s="4" t="s">
        <v>14</v>
      </c>
      <c r="AA3" s="4" t="s">
        <v>15</v>
      </c>
      <c r="AB3" s="4" t="s">
        <v>16</v>
      </c>
      <c r="AC3" s="4" t="s">
        <v>17</v>
      </c>
      <c r="AD3" s="4" t="s">
        <v>10</v>
      </c>
      <c r="AE3" s="4" t="s">
        <v>19</v>
      </c>
      <c r="AF3" s="4" t="s">
        <v>20</v>
      </c>
      <c r="AG3" s="4" t="s">
        <v>21</v>
      </c>
      <c r="AH3" s="4" t="s">
        <v>22</v>
      </c>
    </row>
    <row r="4" spans="1:34" x14ac:dyDescent="0.2">
      <c r="A4" s="6">
        <f>IF('[1]Game Input'!$A4&lt;&gt;"",'[1]Game Input'!$A4,"")</f>
        <v>43370</v>
      </c>
      <c r="B4" s="6" t="str">
        <f>IF(A4&gt;$B$1,VLOOKUP(MONTH($A4),DOTWMonth,2,FALSE),"")</f>
        <v>September</v>
      </c>
      <c r="C4" s="10" t="str">
        <f>IF(A4&gt;$B$1,VLOOKUP(WEEKDAY($A4),DOTWMonth,3,FALSE),"")</f>
        <v>Thursday</v>
      </c>
      <c r="D4" s="7">
        <f>IF('[1]Game Input'!$B4&lt;&gt;"",'[1]Game Input'!$B4,"")</f>
        <v>0.45833333333333331</v>
      </c>
      <c r="E4" s="7">
        <f>IF('[1]Game Input'!$C4&lt;&gt;"",'[1]Game Input'!$C4,"")</f>
        <v>0.41666666666666669</v>
      </c>
      <c r="F4" s="8" t="str">
        <f>IF('[1]Game Input'!$D4&lt;&gt;"",'[1]Game Input'!$D4,"")</f>
        <v>Daylight</v>
      </c>
      <c r="G4" s="8" t="str">
        <f>IF('[1]Game Input'!$G4&lt;&gt;"",'[1]Game Input'!$G4,"")</f>
        <v>CR @ FGO</v>
      </c>
      <c r="H4" s="8" t="str">
        <f>IF('[1]Game Input'!$H4&lt;&gt;"",'[1]Game Input'!$H4,"")</f>
        <v>Vs. Non-Conference</v>
      </c>
      <c r="I4" s="8" t="str">
        <f>IF('[1]Game Input'!$I4&lt;&gt;"",'[1]Game Input'!$I4,"")</f>
        <v>CEDAR RAPIDS</v>
      </c>
      <c r="J4" s="9">
        <f>IF('[1]Game Input'!$AC4&lt;&gt;"",'[1]Game Input'!$AC4,"")</f>
        <v>8</v>
      </c>
      <c r="K4" s="9">
        <f>IF('[1]Game Input'!$AD4&lt;&gt;"",'[1]Game Input'!$AD4,"")</f>
        <v>4</v>
      </c>
      <c r="L4" s="9">
        <f>IF('[1]Game Input'!$AJ4&lt;&gt;"",'[1]Game Input'!$AJ4,"")</f>
        <v>0</v>
      </c>
      <c r="M4" s="9">
        <f>IF('[1]Game Input'!$AK4&lt;&gt;"",'[1]Game Input'!$AK4,"")</f>
        <v>0</v>
      </c>
      <c r="N4" s="9">
        <f>IF('[1]Game Input'!$AN4&lt;&gt;"",'[1]Game Input'!$AN4,"")</f>
        <v>4</v>
      </c>
      <c r="O4" s="9">
        <f>IF('[1]Game Input'!$AO4&lt;&gt;"",'[1]Game Input'!$AO4,"")</f>
        <v>0</v>
      </c>
      <c r="P4" s="9">
        <f>IF('[1]Game Input'!$AP4&lt;&gt;"",'[1]Game Input'!$AP4,"")</f>
        <v>0</v>
      </c>
      <c r="Q4" s="9">
        <f>IF('[1]Game Input'!$AQ4&lt;&gt;"",'[1]Game Input'!$AQ4,"")</f>
        <v>0</v>
      </c>
      <c r="R4" s="9">
        <f>IF('[1]Game Input'!$AR4&lt;&gt;"",'[1]Game Input'!$AR4,"")</f>
        <v>0</v>
      </c>
      <c r="S4" s="9">
        <f>IF('[1]Game Input'!$AS4&lt;&gt;"",'[1]Game Input'!$AS4,"")</f>
        <v>0</v>
      </c>
      <c r="T4" s="10" t="str">
        <f>IF('[1]Game Input'!$BA4&lt;&gt;"",'[1]Game Input'!$BA4,"")</f>
        <v>FARGO</v>
      </c>
      <c r="U4" s="9">
        <f>IF('[1]Game Input'!$BU4&lt;&gt;"",'[1]Game Input'!$BU4,"")</f>
        <v>8</v>
      </c>
      <c r="V4" s="9">
        <f>IF('[1]Game Input'!$BV4&lt;&gt;"",'[1]Game Input'!$BV4,"")</f>
        <v>4</v>
      </c>
      <c r="W4" s="9">
        <f>IF('[1]Game Input'!$CB4&lt;&gt;"",'[1]Game Input'!$CB4,"")</f>
        <v>0</v>
      </c>
      <c r="X4" s="9">
        <f>IF('[1]Game Input'!$CC4&lt;&gt;"",'[1]Game Input'!$CC4,"")</f>
        <v>0</v>
      </c>
      <c r="Y4" s="9">
        <f>IF('[1]Game Input'!$CF4&lt;&gt;"",'[1]Game Input'!$CF4,"")</f>
        <v>4</v>
      </c>
      <c r="Z4" s="9">
        <f>IF('[1]Game Input'!$CG4&lt;&gt;"",'[1]Game Input'!$CG4,"")</f>
        <v>0</v>
      </c>
      <c r="AA4" s="9">
        <f>IF('[1]Game Input'!$CH4&lt;&gt;"",'[1]Game Input'!$CH4,"")</f>
        <v>0</v>
      </c>
      <c r="AB4" s="9">
        <f>IF('[1]Game Input'!$CI4&lt;&gt;"",'[1]Game Input'!$CI4,"")</f>
        <v>0</v>
      </c>
      <c r="AC4" s="9">
        <f>IF('[1]Game Input'!$CJ4&lt;&gt;"",'[1]Game Input'!$CJ4,"")</f>
        <v>0</v>
      </c>
      <c r="AD4" s="9">
        <f>IF('[1]Game Input'!$CK4&lt;&gt;"",'[1]Game Input'!$CK4,"")</f>
        <v>0</v>
      </c>
      <c r="AE4" s="8" t="s">
        <v>89</v>
      </c>
      <c r="AF4" s="8" t="s">
        <v>90</v>
      </c>
      <c r="AG4" s="8" t="s">
        <v>112</v>
      </c>
      <c r="AH4" s="8" t="s">
        <v>113</v>
      </c>
    </row>
    <row r="5" spans="1:34" x14ac:dyDescent="0.2">
      <c r="A5" s="6">
        <f>IF('[1]Game Input'!$A5&lt;&gt;"",'[1]Game Input'!$A5,"")</f>
        <v>43370</v>
      </c>
      <c r="B5" s="6" t="str">
        <f>IF(A5&gt;$B$1,VLOOKUP(MONTH($A5),DOTWMonth,2,FALSE),"")</f>
        <v>September</v>
      </c>
      <c r="C5" s="10" t="str">
        <f>IF(A5&gt;$B$1,VLOOKUP(WEEKDAY($A5),DOTWMonth,3,FALSE),"")</f>
        <v>Thursday</v>
      </c>
      <c r="D5" s="7">
        <f>IF('[1]Game Input'!$B5&lt;&gt;"",'[1]Game Input'!$B5,"")</f>
        <v>0.58333333333333337</v>
      </c>
      <c r="E5" s="7">
        <f>IF('[1]Game Input'!$C5&lt;&gt;"",'[1]Game Input'!$C5,"")</f>
        <v>0.54166666666666663</v>
      </c>
      <c r="F5" s="8" t="str">
        <f>IF('[1]Game Input'!$D5&lt;&gt;"",'[1]Game Input'!$D5,"")</f>
        <v>Daylight</v>
      </c>
      <c r="G5" s="8" t="str">
        <f>IF('[1]Game Input'!$G5&lt;&gt;"",'[1]Game Input'!$G5,"")</f>
        <v>MAD @ DM</v>
      </c>
      <c r="H5" s="8" t="str">
        <f>IF('[1]Game Input'!$H5&lt;&gt;"",'[1]Game Input'!$H5,"")</f>
        <v>Vs. Non-Conference</v>
      </c>
      <c r="I5" s="8" t="str">
        <f>IF('[1]Game Input'!$I5&lt;&gt;"",'[1]Game Input'!$I5,"")</f>
        <v>MADISON</v>
      </c>
      <c r="J5" s="9">
        <f>IF('[1]Game Input'!$AC5&lt;&gt;"",'[1]Game Input'!$AC5,"")</f>
        <v>12</v>
      </c>
      <c r="K5" s="9">
        <f>IF('[1]Game Input'!$AD5&lt;&gt;"",'[1]Game Input'!$AD5,"")</f>
        <v>6</v>
      </c>
      <c r="L5" s="9">
        <f>IF('[1]Game Input'!$AJ5&lt;&gt;"",'[1]Game Input'!$AJ5,"")</f>
        <v>0</v>
      </c>
      <c r="M5" s="9">
        <f>IF('[1]Game Input'!$AK5&lt;&gt;"",'[1]Game Input'!$AK5,"")</f>
        <v>0</v>
      </c>
      <c r="N5" s="9">
        <f>IF('[1]Game Input'!$AN5&lt;&gt;"",'[1]Game Input'!$AN5,"")</f>
        <v>6</v>
      </c>
      <c r="O5" s="9">
        <f>IF('[1]Game Input'!$AO5&lt;&gt;"",'[1]Game Input'!$AO5,"")</f>
        <v>0</v>
      </c>
      <c r="P5" s="9">
        <f>IF('[1]Game Input'!$AP5&lt;&gt;"",'[1]Game Input'!$AP5,"")</f>
        <v>0</v>
      </c>
      <c r="Q5" s="9">
        <f>IF('[1]Game Input'!$AQ5&lt;&gt;"",'[1]Game Input'!$AQ5,"")</f>
        <v>0</v>
      </c>
      <c r="R5" s="9">
        <f>IF('[1]Game Input'!$AR5&lt;&gt;"",'[1]Game Input'!$AR5,"")</f>
        <v>0</v>
      </c>
      <c r="S5" s="9">
        <f>IF('[1]Game Input'!$AS5&lt;&gt;"",'[1]Game Input'!$AS5,"")</f>
        <v>0</v>
      </c>
      <c r="T5" s="10" t="str">
        <f>IF('[1]Game Input'!$BA5&lt;&gt;"",'[1]Game Input'!$BA5,"")</f>
        <v>DES MOINES</v>
      </c>
      <c r="U5" s="9">
        <f>IF('[1]Game Input'!$BU5&lt;&gt;"",'[1]Game Input'!$BU5,"")</f>
        <v>14</v>
      </c>
      <c r="V5" s="9">
        <f>IF('[1]Game Input'!$BV5&lt;&gt;"",'[1]Game Input'!$BV5,"")</f>
        <v>7</v>
      </c>
      <c r="W5" s="9">
        <f>IF('[1]Game Input'!$CB5&lt;&gt;"",'[1]Game Input'!$CB5,"")</f>
        <v>0</v>
      </c>
      <c r="X5" s="9">
        <f>IF('[1]Game Input'!$CC5&lt;&gt;"",'[1]Game Input'!$CC5,"")</f>
        <v>0</v>
      </c>
      <c r="Y5" s="9">
        <f>IF('[1]Game Input'!$CF5&lt;&gt;"",'[1]Game Input'!$CF5,"")</f>
        <v>7</v>
      </c>
      <c r="Z5" s="9">
        <f>IF('[1]Game Input'!$CG5&lt;&gt;"",'[1]Game Input'!$CG5,"")</f>
        <v>0</v>
      </c>
      <c r="AA5" s="9">
        <f>IF('[1]Game Input'!$CH5&lt;&gt;"",'[1]Game Input'!$CH5,"")</f>
        <v>0</v>
      </c>
      <c r="AB5" s="9">
        <f>IF('[1]Game Input'!$CI5&lt;&gt;"",'[1]Game Input'!$CI5,"")</f>
        <v>0</v>
      </c>
      <c r="AC5" s="9">
        <f>IF('[1]Game Input'!$CJ5&lt;&gt;"",'[1]Game Input'!$CJ5,"")</f>
        <v>0</v>
      </c>
      <c r="AD5" s="9">
        <f>IF('[1]Game Input'!$CK5&lt;&gt;"",'[1]Game Input'!$CK5,"")</f>
        <v>0</v>
      </c>
      <c r="AE5" s="8" t="s">
        <v>91</v>
      </c>
      <c r="AF5" s="8" t="s">
        <v>92</v>
      </c>
      <c r="AG5" s="8" t="s">
        <v>114</v>
      </c>
      <c r="AH5" s="8" t="s">
        <v>115</v>
      </c>
    </row>
    <row r="6" spans="1:34" x14ac:dyDescent="0.2">
      <c r="A6" s="6">
        <f>IF('[1]Game Input'!$A6&lt;&gt;"",'[1]Game Input'!$A6,"")</f>
        <v>43370</v>
      </c>
      <c r="B6" s="6" t="str">
        <f>IF(A6&gt;$B$1,VLOOKUP(MONTH($A6),DOTWMonth,2,FALSE),"")</f>
        <v>September</v>
      </c>
      <c r="C6" s="10" t="str">
        <f>IF(A6&gt;$B$1,VLOOKUP(WEEKDAY($A6),DOTWMonth,3,FALSE),"")</f>
        <v>Thursday</v>
      </c>
      <c r="D6" s="7">
        <f>IF('[1]Game Input'!$B6&lt;&gt;"",'[1]Game Input'!$B6,"")</f>
        <v>0.70833333333333337</v>
      </c>
      <c r="E6" s="7">
        <f>IF('[1]Game Input'!$C6&lt;&gt;"",'[1]Game Input'!$C6,"")</f>
        <v>0.66666666666666663</v>
      </c>
      <c r="F6" s="8" t="str">
        <f>IF('[1]Game Input'!$D6&lt;&gt;"",'[1]Game Input'!$D6,"")</f>
        <v>Daylight</v>
      </c>
      <c r="G6" s="8" t="str">
        <f>IF('[1]Game Input'!$G6&lt;&gt;"",'[1]Game Input'!$G6,"")</f>
        <v>YNG @ TC</v>
      </c>
      <c r="H6" s="8" t="str">
        <f>IF('[1]Game Input'!$H6&lt;&gt;"",'[1]Game Input'!$H6,"")</f>
        <v>Vs. Non-Conference</v>
      </c>
      <c r="I6" s="8" t="str">
        <f>IF('[1]Game Input'!$I6&lt;&gt;"",'[1]Game Input'!$I6,"")</f>
        <v>YOUNGSTOWN</v>
      </c>
      <c r="J6" s="9">
        <f>IF('[1]Game Input'!$AC6&lt;&gt;"",'[1]Game Input'!$AC6,"")</f>
        <v>10</v>
      </c>
      <c r="K6" s="9">
        <f>IF('[1]Game Input'!$AD6&lt;&gt;"",'[1]Game Input'!$AD6,"")</f>
        <v>5</v>
      </c>
      <c r="L6" s="9">
        <f>IF('[1]Game Input'!$AJ6&lt;&gt;"",'[1]Game Input'!$AJ6,"")</f>
        <v>0</v>
      </c>
      <c r="M6" s="9">
        <f>IF('[1]Game Input'!$AK6&lt;&gt;"",'[1]Game Input'!$AK6,"")</f>
        <v>0</v>
      </c>
      <c r="N6" s="9">
        <f>IF('[1]Game Input'!$AN6&lt;&gt;"",'[1]Game Input'!$AN6,"")</f>
        <v>5</v>
      </c>
      <c r="O6" s="9">
        <f>IF('[1]Game Input'!$AO6&lt;&gt;"",'[1]Game Input'!$AO6,"")</f>
        <v>0</v>
      </c>
      <c r="P6" s="9">
        <f>IF('[1]Game Input'!$AP6&lt;&gt;"",'[1]Game Input'!$AP6,"")</f>
        <v>0</v>
      </c>
      <c r="Q6" s="9">
        <f>IF('[1]Game Input'!$AQ6&lt;&gt;"",'[1]Game Input'!$AQ6,"")</f>
        <v>0</v>
      </c>
      <c r="R6" s="9">
        <f>IF('[1]Game Input'!$AR6&lt;&gt;"",'[1]Game Input'!$AR6,"")</f>
        <v>0</v>
      </c>
      <c r="S6" s="9">
        <f>IF('[1]Game Input'!$AS6&lt;&gt;"",'[1]Game Input'!$AS6,"")</f>
        <v>0</v>
      </c>
      <c r="T6" s="10" t="str">
        <f>IF('[1]Game Input'!$BA6&lt;&gt;"",'[1]Game Input'!$BA6,"")</f>
        <v>TRI-CITY</v>
      </c>
      <c r="U6" s="9">
        <f>IF('[1]Game Input'!$BU6&lt;&gt;"",'[1]Game Input'!$BU6,"")</f>
        <v>8</v>
      </c>
      <c r="V6" s="9">
        <f>IF('[1]Game Input'!$BV6&lt;&gt;"",'[1]Game Input'!$BV6,"")</f>
        <v>4</v>
      </c>
      <c r="W6" s="9">
        <f>IF('[1]Game Input'!$CB6&lt;&gt;"",'[1]Game Input'!$CB6,"")</f>
        <v>0</v>
      </c>
      <c r="X6" s="9">
        <f>IF('[1]Game Input'!$CC6&lt;&gt;"",'[1]Game Input'!$CC6,"")</f>
        <v>0</v>
      </c>
      <c r="Y6" s="9">
        <f>IF('[1]Game Input'!$CF6&lt;&gt;"",'[1]Game Input'!$CF6,"")</f>
        <v>4</v>
      </c>
      <c r="Z6" s="9">
        <f>IF('[1]Game Input'!$CG6&lt;&gt;"",'[1]Game Input'!$CG6,"")</f>
        <v>0</v>
      </c>
      <c r="AA6" s="9">
        <f>IF('[1]Game Input'!$CH6&lt;&gt;"",'[1]Game Input'!$CH6,"")</f>
        <v>0</v>
      </c>
      <c r="AB6" s="9">
        <f>IF('[1]Game Input'!$CI6&lt;&gt;"",'[1]Game Input'!$CI6,"")</f>
        <v>0</v>
      </c>
      <c r="AC6" s="9">
        <f>IF('[1]Game Input'!$CJ6&lt;&gt;"",'[1]Game Input'!$CJ6,"")</f>
        <v>0</v>
      </c>
      <c r="AD6" s="9">
        <f>IF('[1]Game Input'!$CK6&lt;&gt;"",'[1]Game Input'!$CK6,"")</f>
        <v>0</v>
      </c>
      <c r="AE6" s="8" t="s">
        <v>98</v>
      </c>
      <c r="AF6" s="8" t="s">
        <v>100</v>
      </c>
      <c r="AG6" s="8" t="s">
        <v>120</v>
      </c>
      <c r="AH6" s="8" t="s">
        <v>109</v>
      </c>
    </row>
    <row r="7" spans="1:34" x14ac:dyDescent="0.2">
      <c r="A7" s="6">
        <f>IF('[1]Game Input'!$A7&lt;&gt;"",'[1]Game Input'!$A7,"")</f>
        <v>43370</v>
      </c>
      <c r="B7" s="6" t="str">
        <f>IF(A7&gt;$B$1,VLOOKUP(MONTH($A7),DOTWMonth,2,FALSE),"")</f>
        <v>September</v>
      </c>
      <c r="C7" s="10" t="str">
        <f>IF(A7&gt;$B$1,VLOOKUP(WEEKDAY($A7),DOTWMonth,3,FALSE),"")</f>
        <v>Thursday</v>
      </c>
      <c r="D7" s="7">
        <f>IF('[1]Game Input'!$B7&lt;&gt;"",'[1]Game Input'!$B7,"")</f>
        <v>0.79166666666666663</v>
      </c>
      <c r="E7" s="7">
        <f>IF('[1]Game Input'!$C7&lt;&gt;"",'[1]Game Input'!$C7,"")</f>
        <v>0.75</v>
      </c>
      <c r="F7" s="8" t="str">
        <f>IF('[1]Game Input'!$D7&lt;&gt;"",'[1]Game Input'!$D7,"")</f>
        <v>Daylight</v>
      </c>
      <c r="G7" s="8" t="str">
        <f>IF('[1]Game Input'!$G7&lt;&gt;"",'[1]Game Input'!$G7,"")</f>
        <v>CHI @ LIN</v>
      </c>
      <c r="H7" s="8" t="str">
        <f>IF('[1]Game Input'!$H7&lt;&gt;"",'[1]Game Input'!$H7,"")</f>
        <v>Vs. Non-Conference</v>
      </c>
      <c r="I7" s="8" t="str">
        <f>IF('[1]Game Input'!$I7&lt;&gt;"",'[1]Game Input'!$I7,"")</f>
        <v>CHICAGO</v>
      </c>
      <c r="J7" s="9">
        <f>IF('[1]Game Input'!$AC7&lt;&gt;"",'[1]Game Input'!$AC7,"")</f>
        <v>10</v>
      </c>
      <c r="K7" s="9">
        <f>IF('[1]Game Input'!$AD7&lt;&gt;"",'[1]Game Input'!$AD7,"")</f>
        <v>5</v>
      </c>
      <c r="L7" s="9">
        <f>IF('[1]Game Input'!$AJ7&lt;&gt;"",'[1]Game Input'!$AJ7,"")</f>
        <v>0</v>
      </c>
      <c r="M7" s="9">
        <f>IF('[1]Game Input'!$AK7&lt;&gt;"",'[1]Game Input'!$AK7,"")</f>
        <v>0</v>
      </c>
      <c r="N7" s="9">
        <f>IF('[1]Game Input'!$AN7&lt;&gt;"",'[1]Game Input'!$AN7,"")</f>
        <v>5</v>
      </c>
      <c r="O7" s="9">
        <f>IF('[1]Game Input'!$AO7&lt;&gt;"",'[1]Game Input'!$AO7,"")</f>
        <v>0</v>
      </c>
      <c r="P7" s="9">
        <f>IF('[1]Game Input'!$AP7&lt;&gt;"",'[1]Game Input'!$AP7,"")</f>
        <v>0</v>
      </c>
      <c r="Q7" s="9">
        <f>IF('[1]Game Input'!$AQ7&lt;&gt;"",'[1]Game Input'!$AQ7,"")</f>
        <v>0</v>
      </c>
      <c r="R7" s="9">
        <f>IF('[1]Game Input'!$AR7&lt;&gt;"",'[1]Game Input'!$AR7,"")</f>
        <v>0</v>
      </c>
      <c r="S7" s="9">
        <f>IF('[1]Game Input'!$AS7&lt;&gt;"",'[1]Game Input'!$AS7,"")</f>
        <v>0</v>
      </c>
      <c r="T7" s="10" t="str">
        <f>IF('[1]Game Input'!$BA7&lt;&gt;"",'[1]Game Input'!$BA7,"")</f>
        <v>LINCOLN</v>
      </c>
      <c r="U7" s="9">
        <f>IF('[1]Game Input'!$BU7&lt;&gt;"",'[1]Game Input'!$BU7,"")</f>
        <v>16</v>
      </c>
      <c r="V7" s="9">
        <f>IF('[1]Game Input'!$BV7&lt;&gt;"",'[1]Game Input'!$BV7,"")</f>
        <v>8</v>
      </c>
      <c r="W7" s="9">
        <f>IF('[1]Game Input'!$CB7&lt;&gt;"",'[1]Game Input'!$CB7,"")</f>
        <v>0</v>
      </c>
      <c r="X7" s="9">
        <f>IF('[1]Game Input'!$CC7&lt;&gt;"",'[1]Game Input'!$CC7,"")</f>
        <v>0</v>
      </c>
      <c r="Y7" s="9">
        <f>IF('[1]Game Input'!$CF7&lt;&gt;"",'[1]Game Input'!$CF7,"")</f>
        <v>8</v>
      </c>
      <c r="Z7" s="9">
        <f>IF('[1]Game Input'!$CG7&lt;&gt;"",'[1]Game Input'!$CG7,"")</f>
        <v>0</v>
      </c>
      <c r="AA7" s="9">
        <f>IF('[1]Game Input'!$CH7&lt;&gt;"",'[1]Game Input'!$CH7,"")</f>
        <v>0</v>
      </c>
      <c r="AB7" s="9">
        <f>IF('[1]Game Input'!$CI7&lt;&gt;"",'[1]Game Input'!$CI7,"")</f>
        <v>0</v>
      </c>
      <c r="AC7" s="9">
        <f>IF('[1]Game Input'!$CJ7&lt;&gt;"",'[1]Game Input'!$CJ7,"")</f>
        <v>0</v>
      </c>
      <c r="AD7" s="9">
        <f>IF('[1]Game Input'!$CK7&lt;&gt;"",'[1]Game Input'!$CK7,"")</f>
        <v>0</v>
      </c>
      <c r="AE7" s="8" t="s">
        <v>93</v>
      </c>
      <c r="AF7" s="8" t="s">
        <v>94</v>
      </c>
      <c r="AG7" s="8" t="s">
        <v>116</v>
      </c>
      <c r="AH7" s="8" t="s">
        <v>117</v>
      </c>
    </row>
    <row r="8" spans="1:34" x14ac:dyDescent="0.2">
      <c r="A8" s="6">
        <f>IF('[1]Game Input'!$A8&lt;&gt;"",'[1]Game Input'!$A8,"")</f>
        <v>43370</v>
      </c>
      <c r="B8" s="6" t="str">
        <f>IF(A8&gt;$B$1,VLOOKUP(MONTH($A8),DOTWMonth,2,FALSE),"")</f>
        <v>September</v>
      </c>
      <c r="C8" s="10" t="str">
        <f>IF(A8&gt;$B$1,VLOOKUP(WEEKDAY($A8),DOTWMonth,3,FALSE),"")</f>
        <v>Thursday</v>
      </c>
      <c r="D8" s="7">
        <f>IF('[1]Game Input'!$B8&lt;&gt;"",'[1]Game Input'!$B8,"")</f>
        <v>0.83333333333333337</v>
      </c>
      <c r="E8" s="7">
        <f>IF('[1]Game Input'!$C8&lt;&gt;"",'[1]Game Input'!$C8,"")</f>
        <v>0.79166666666666663</v>
      </c>
      <c r="F8" s="8" t="str">
        <f>IF('[1]Game Input'!$D8&lt;&gt;"",'[1]Game Input'!$D8,"")</f>
        <v>Daylight</v>
      </c>
      <c r="G8" s="8" t="str">
        <f>IF('[1]Game Input'!$G8&lt;&gt;"",'[1]Game Input'!$G8,"")</f>
        <v>SF @ CIL</v>
      </c>
      <c r="H8" s="8" t="str">
        <f>IF('[1]Game Input'!$H8&lt;&gt;"",'[1]Game Input'!$H8,"")</f>
        <v>Vs. Non-Conference</v>
      </c>
      <c r="I8" s="8" t="str">
        <f>IF('[1]Game Input'!$I8&lt;&gt;"",'[1]Game Input'!$I8,"")</f>
        <v>SIOUX FALLS</v>
      </c>
      <c r="J8" s="9">
        <f>IF('[1]Game Input'!$AC8&lt;&gt;"",'[1]Game Input'!$AC8,"")</f>
        <v>24</v>
      </c>
      <c r="K8" s="9">
        <f>IF('[1]Game Input'!$AD8&lt;&gt;"",'[1]Game Input'!$AD8,"")</f>
        <v>8</v>
      </c>
      <c r="L8" s="9">
        <f>IF('[1]Game Input'!$AJ8&lt;&gt;"",'[1]Game Input'!$AJ8,"")</f>
        <v>0</v>
      </c>
      <c r="M8" s="9">
        <f>IF('[1]Game Input'!$AK8&lt;&gt;"",'[1]Game Input'!$AK8,"")</f>
        <v>0</v>
      </c>
      <c r="N8" s="9">
        <f>IF('[1]Game Input'!$AN8&lt;&gt;"",'[1]Game Input'!$AN8,"")</f>
        <v>7</v>
      </c>
      <c r="O8" s="9">
        <f>IF('[1]Game Input'!$AO8&lt;&gt;"",'[1]Game Input'!$AO8,"")</f>
        <v>0</v>
      </c>
      <c r="P8" s="9">
        <f>IF('[1]Game Input'!$AP8&lt;&gt;"",'[1]Game Input'!$AP8,"")</f>
        <v>1</v>
      </c>
      <c r="Q8" s="9">
        <f>IF('[1]Game Input'!$AQ8&lt;&gt;"",'[1]Game Input'!$AQ8,"")</f>
        <v>0</v>
      </c>
      <c r="R8" s="9">
        <f>IF('[1]Game Input'!$AR8&lt;&gt;"",'[1]Game Input'!$AR8,"")</f>
        <v>0</v>
      </c>
      <c r="S8" s="9">
        <f>IF('[1]Game Input'!$AS8&lt;&gt;"",'[1]Game Input'!$AS8,"")</f>
        <v>0</v>
      </c>
      <c r="T8" s="10" t="str">
        <f>IF('[1]Game Input'!$BA8&lt;&gt;"",'[1]Game Input'!$BA8,"")</f>
        <v>CENTRAL ILLINOIS</v>
      </c>
      <c r="U8" s="9">
        <f>IF('[1]Game Input'!$BU8&lt;&gt;"",'[1]Game Input'!$BU8,"")</f>
        <v>10</v>
      </c>
      <c r="V8" s="9">
        <f>IF('[1]Game Input'!$BV8&lt;&gt;"",'[1]Game Input'!$BV8,"")</f>
        <v>5</v>
      </c>
      <c r="W8" s="9">
        <f>IF('[1]Game Input'!$CB8&lt;&gt;"",'[1]Game Input'!$CB8,"")</f>
        <v>0</v>
      </c>
      <c r="X8" s="9">
        <f>IF('[1]Game Input'!$CC8&lt;&gt;"",'[1]Game Input'!$CC8,"")</f>
        <v>0</v>
      </c>
      <c r="Y8" s="9">
        <f>IF('[1]Game Input'!$CF8&lt;&gt;"",'[1]Game Input'!$CF8,"")</f>
        <v>5</v>
      </c>
      <c r="Z8" s="9">
        <f>IF('[1]Game Input'!$CG8&lt;&gt;"",'[1]Game Input'!$CG8,"")</f>
        <v>0</v>
      </c>
      <c r="AA8" s="9">
        <f>IF('[1]Game Input'!$CH8&lt;&gt;"",'[1]Game Input'!$CH8,"")</f>
        <v>0</v>
      </c>
      <c r="AB8" s="9">
        <f>IF('[1]Game Input'!$CI8&lt;&gt;"",'[1]Game Input'!$CI8,"")</f>
        <v>0</v>
      </c>
      <c r="AC8" s="9">
        <f>IF('[1]Game Input'!$CJ8&lt;&gt;"",'[1]Game Input'!$CJ8,"")</f>
        <v>0</v>
      </c>
      <c r="AD8" s="9">
        <f>IF('[1]Game Input'!$CK8&lt;&gt;"",'[1]Game Input'!$CK8,"")</f>
        <v>0</v>
      </c>
      <c r="AE8" s="8" t="s">
        <v>95</v>
      </c>
      <c r="AF8" s="8" t="s">
        <v>96</v>
      </c>
      <c r="AG8" s="8" t="s">
        <v>118</v>
      </c>
      <c r="AH8" s="8" t="s">
        <v>119</v>
      </c>
    </row>
    <row r="9" spans="1:34" x14ac:dyDescent="0.2">
      <c r="A9" s="6">
        <f>IF('[1]Game Input'!$A9&lt;&gt;"",'[1]Game Input'!$A9,"")</f>
        <v>43371</v>
      </c>
      <c r="B9" s="6" t="str">
        <f>IF(A9&gt;$B$1,VLOOKUP(MONTH($A9),DOTWMonth,2,FALSE),"")</f>
        <v>September</v>
      </c>
      <c r="C9" s="10" t="str">
        <f>IF(A9&gt;$B$1,VLOOKUP(WEEKDAY($A9),DOTWMonth,3,FALSE),"")</f>
        <v>Friday</v>
      </c>
      <c r="D9" s="7">
        <f>IF('[1]Game Input'!$B9&lt;&gt;"",'[1]Game Input'!$B9,"")</f>
        <v>0.41666666666666669</v>
      </c>
      <c r="E9" s="7">
        <f>IF('[1]Game Input'!$C9&lt;&gt;"",'[1]Game Input'!$C9,"")</f>
        <v>0.375</v>
      </c>
      <c r="F9" s="8" t="str">
        <f>IF('[1]Game Input'!$D9&lt;&gt;"",'[1]Game Input'!$D9,"")</f>
        <v>Daylight</v>
      </c>
      <c r="G9" s="8" t="str">
        <f>IF('[1]Game Input'!$G9&lt;&gt;"",'[1]Game Input'!$G9,"")</f>
        <v>SC @ GB</v>
      </c>
      <c r="H9" s="8" t="str">
        <f>IF('[1]Game Input'!$H9&lt;&gt;"",'[1]Game Input'!$H9,"")</f>
        <v>Vs. Non-Conference</v>
      </c>
      <c r="I9" s="8" t="str">
        <f>IF('[1]Game Input'!$I9&lt;&gt;"",'[1]Game Input'!$I9,"")</f>
        <v>SIOUX CITY</v>
      </c>
      <c r="J9" s="9">
        <f>IF('[1]Game Input'!$AC9&lt;&gt;"",'[1]Game Input'!$AC9,"")</f>
        <v>8</v>
      </c>
      <c r="K9" s="9">
        <f>IF('[1]Game Input'!$AD9&lt;&gt;"",'[1]Game Input'!$AD9,"")</f>
        <v>4</v>
      </c>
      <c r="L9" s="9">
        <f>IF('[1]Game Input'!$AJ9&lt;&gt;"",'[1]Game Input'!$AJ9,"")</f>
        <v>0</v>
      </c>
      <c r="M9" s="9">
        <f>IF('[1]Game Input'!$AK9&lt;&gt;"",'[1]Game Input'!$AK9,"")</f>
        <v>0</v>
      </c>
      <c r="N9" s="9">
        <f>IF('[1]Game Input'!$AN9&lt;&gt;"",'[1]Game Input'!$AN9,"")</f>
        <v>4</v>
      </c>
      <c r="O9" s="9">
        <f>IF('[1]Game Input'!$AO9&lt;&gt;"",'[1]Game Input'!$AO9,"")</f>
        <v>0</v>
      </c>
      <c r="P9" s="9">
        <f>IF('[1]Game Input'!$AP9&lt;&gt;"",'[1]Game Input'!$AP9,"")</f>
        <v>0</v>
      </c>
      <c r="Q9" s="9">
        <f>IF('[1]Game Input'!$AQ9&lt;&gt;"",'[1]Game Input'!$AQ9,"")</f>
        <v>0</v>
      </c>
      <c r="R9" s="9">
        <f>IF('[1]Game Input'!$AR9&lt;&gt;"",'[1]Game Input'!$AR9,"")</f>
        <v>0</v>
      </c>
      <c r="S9" s="9">
        <f>IF('[1]Game Input'!$AS9&lt;&gt;"",'[1]Game Input'!$AS9,"")</f>
        <v>0</v>
      </c>
      <c r="T9" s="10" t="str">
        <f>IF('[1]Game Input'!$BA9&lt;&gt;"",'[1]Game Input'!$BA9,"")</f>
        <v>GREEN BAY</v>
      </c>
      <c r="U9" s="9">
        <f>IF('[1]Game Input'!$BU9&lt;&gt;"",'[1]Game Input'!$BU9,"")</f>
        <v>10</v>
      </c>
      <c r="V9" s="9">
        <f>IF('[1]Game Input'!$BV9&lt;&gt;"",'[1]Game Input'!$BV9,"")</f>
        <v>5</v>
      </c>
      <c r="W9" s="9">
        <f>IF('[1]Game Input'!$CB9&lt;&gt;"",'[1]Game Input'!$CB9,"")</f>
        <v>0</v>
      </c>
      <c r="X9" s="9">
        <f>IF('[1]Game Input'!$CC9&lt;&gt;"",'[1]Game Input'!$CC9,"")</f>
        <v>0</v>
      </c>
      <c r="Y9" s="9">
        <f>IF('[1]Game Input'!$CF9&lt;&gt;"",'[1]Game Input'!$CF9,"")</f>
        <v>5</v>
      </c>
      <c r="Z9" s="9">
        <f>IF('[1]Game Input'!$CG9&lt;&gt;"",'[1]Game Input'!$CG9,"")</f>
        <v>0</v>
      </c>
      <c r="AA9" s="9">
        <f>IF('[1]Game Input'!$CH9&lt;&gt;"",'[1]Game Input'!$CH9,"")</f>
        <v>0</v>
      </c>
      <c r="AB9" s="9">
        <f>IF('[1]Game Input'!$CI9&lt;&gt;"",'[1]Game Input'!$CI9,"")</f>
        <v>0</v>
      </c>
      <c r="AC9" s="9">
        <f>IF('[1]Game Input'!$CJ9&lt;&gt;"",'[1]Game Input'!$CJ9,"")</f>
        <v>0</v>
      </c>
      <c r="AD9" s="9">
        <f>IF('[1]Game Input'!$CK9&lt;&gt;"",'[1]Game Input'!$CK9,"")</f>
        <v>0</v>
      </c>
      <c r="AE9" s="8" t="s">
        <v>97</v>
      </c>
      <c r="AF9" s="8" t="s">
        <v>94</v>
      </c>
      <c r="AG9" s="8" t="s">
        <v>113</v>
      </c>
      <c r="AH9" s="8" t="s">
        <v>120</v>
      </c>
    </row>
    <row r="10" spans="1:34" x14ac:dyDescent="0.2">
      <c r="A10" s="6">
        <f>IF('[1]Game Input'!$A10&lt;&gt;"",'[1]Game Input'!$A10,"")</f>
        <v>43371</v>
      </c>
      <c r="B10" s="6" t="str">
        <f>IF(A10&gt;$B$1,VLOOKUP(MONTH($A10),DOTWMonth,2,FALSE),"")</f>
        <v>September</v>
      </c>
      <c r="C10" s="10" t="str">
        <f>IF(A10&gt;$B$1,VLOOKUP(WEEKDAY($A10),DOTWMonth,3,FALSE),"")</f>
        <v>Friday</v>
      </c>
      <c r="D10" s="7">
        <f>IF('[1]Game Input'!$B10&lt;&gt;"",'[1]Game Input'!$B10,"")</f>
        <v>0.58333333333333337</v>
      </c>
      <c r="E10" s="7">
        <f>IF('[1]Game Input'!$C10&lt;&gt;"",'[1]Game Input'!$C10,"")</f>
        <v>0.54166666666666663</v>
      </c>
      <c r="F10" s="8" t="str">
        <f>IF('[1]Game Input'!$D10&lt;&gt;"",'[1]Game Input'!$D10,"")</f>
        <v>Daylight</v>
      </c>
      <c r="G10" s="8" t="str">
        <f>IF('[1]Game Input'!$G10&lt;&gt;"",'[1]Game Input'!$G10,"")</f>
        <v>FGO @ MUS</v>
      </c>
      <c r="H10" s="8" t="str">
        <f>IF('[1]Game Input'!$H10&lt;&gt;"",'[1]Game Input'!$H10,"")</f>
        <v>Vs. Non-Conference</v>
      </c>
      <c r="I10" s="8" t="str">
        <f>IF('[1]Game Input'!$I10&lt;&gt;"",'[1]Game Input'!$I10,"")</f>
        <v>FARGO</v>
      </c>
      <c r="J10" s="9">
        <f>IF('[1]Game Input'!$AC10&lt;&gt;"",'[1]Game Input'!$AC10,"")</f>
        <v>24</v>
      </c>
      <c r="K10" s="9">
        <f>IF('[1]Game Input'!$AD10&lt;&gt;"",'[1]Game Input'!$AD10,"")</f>
        <v>8</v>
      </c>
      <c r="L10" s="9">
        <f>IF('[1]Game Input'!$AJ10&lt;&gt;"",'[1]Game Input'!$AJ10,"")</f>
        <v>0</v>
      </c>
      <c r="M10" s="9">
        <f>IF('[1]Game Input'!$AK10&lt;&gt;"",'[1]Game Input'!$AK10,"")</f>
        <v>0</v>
      </c>
      <c r="N10" s="9">
        <f>IF('[1]Game Input'!$AN10&lt;&gt;"",'[1]Game Input'!$AN10,"")</f>
        <v>7</v>
      </c>
      <c r="O10" s="9">
        <f>IF('[1]Game Input'!$AO10&lt;&gt;"",'[1]Game Input'!$AO10,"")</f>
        <v>0</v>
      </c>
      <c r="P10" s="9">
        <f>IF('[1]Game Input'!$AP10&lt;&gt;"",'[1]Game Input'!$AP10,"")</f>
        <v>1</v>
      </c>
      <c r="Q10" s="9">
        <f>IF('[1]Game Input'!$AQ10&lt;&gt;"",'[1]Game Input'!$AQ10,"")</f>
        <v>0</v>
      </c>
      <c r="R10" s="9">
        <f>IF('[1]Game Input'!$AR10&lt;&gt;"",'[1]Game Input'!$AR10,"")</f>
        <v>0</v>
      </c>
      <c r="S10" s="9">
        <f>IF('[1]Game Input'!$AS10&lt;&gt;"",'[1]Game Input'!$AS10,"")</f>
        <v>0</v>
      </c>
      <c r="T10" s="10" t="str">
        <f>IF('[1]Game Input'!$BA10&lt;&gt;"",'[1]Game Input'!$BA10,"")</f>
        <v>MUSKEGON</v>
      </c>
      <c r="U10" s="9">
        <f>IF('[1]Game Input'!$BU10&lt;&gt;"",'[1]Game Input'!$BU10,"")</f>
        <v>10</v>
      </c>
      <c r="V10" s="9">
        <f>IF('[1]Game Input'!$BV10&lt;&gt;"",'[1]Game Input'!$BV10,"")</f>
        <v>5</v>
      </c>
      <c r="W10" s="9">
        <f>IF('[1]Game Input'!$CB10&lt;&gt;"",'[1]Game Input'!$CB10,"")</f>
        <v>0</v>
      </c>
      <c r="X10" s="9">
        <f>IF('[1]Game Input'!$CC10&lt;&gt;"",'[1]Game Input'!$CC10,"")</f>
        <v>0</v>
      </c>
      <c r="Y10" s="9">
        <f>IF('[1]Game Input'!$CF10&lt;&gt;"",'[1]Game Input'!$CF10,"")</f>
        <v>5</v>
      </c>
      <c r="Z10" s="9">
        <f>IF('[1]Game Input'!$CG10&lt;&gt;"",'[1]Game Input'!$CG10,"")</f>
        <v>0</v>
      </c>
      <c r="AA10" s="9">
        <f>IF('[1]Game Input'!$CH10&lt;&gt;"",'[1]Game Input'!$CH10,"")</f>
        <v>0</v>
      </c>
      <c r="AB10" s="9">
        <f>IF('[1]Game Input'!$CI10&lt;&gt;"",'[1]Game Input'!$CI10,"")</f>
        <v>0</v>
      </c>
      <c r="AC10" s="9">
        <f>IF('[1]Game Input'!$CJ10&lt;&gt;"",'[1]Game Input'!$CJ10,"")</f>
        <v>0</v>
      </c>
      <c r="AD10" s="9">
        <f>IF('[1]Game Input'!$CK10&lt;&gt;"",'[1]Game Input'!$CK10,"")</f>
        <v>0</v>
      </c>
      <c r="AE10" s="8" t="s">
        <v>98</v>
      </c>
      <c r="AF10" s="8" t="s">
        <v>96</v>
      </c>
      <c r="AG10" s="8" t="s">
        <v>117</v>
      </c>
      <c r="AH10" s="8" t="s">
        <v>121</v>
      </c>
    </row>
    <row r="11" spans="1:34" x14ac:dyDescent="0.2">
      <c r="A11" s="6">
        <f>IF('[1]Game Input'!$A11&lt;&gt;"",'[1]Game Input'!$A11,"")</f>
        <v>43371</v>
      </c>
      <c r="B11" s="6" t="str">
        <f>IF(A11&gt;$B$1,VLOOKUP(MONTH($A11),DOTWMonth,2,FALSE),"")</f>
        <v>September</v>
      </c>
      <c r="C11" s="10" t="str">
        <f>IF(A11&gt;$B$1,VLOOKUP(WEEKDAY($A11),DOTWMonth,3,FALSE),"")</f>
        <v>Friday</v>
      </c>
      <c r="D11" s="7">
        <f>IF('[1]Game Input'!$B11&lt;&gt;"",'[1]Game Input'!$B11,"")</f>
        <v>0.66666666666666663</v>
      </c>
      <c r="E11" s="7">
        <f>IF('[1]Game Input'!$C11&lt;&gt;"",'[1]Game Input'!$C11,"")</f>
        <v>0.625</v>
      </c>
      <c r="F11" s="8" t="str">
        <f>IF('[1]Game Input'!$D11&lt;&gt;"",'[1]Game Input'!$D11,"")</f>
        <v>Daylight</v>
      </c>
      <c r="G11" s="8" t="str">
        <f>IF('[1]Game Input'!$G11&lt;&gt;"",'[1]Game Input'!$G11,"")</f>
        <v>TC @ MAD</v>
      </c>
      <c r="H11" s="8" t="str">
        <f>IF('[1]Game Input'!$H11&lt;&gt;"",'[1]Game Input'!$H11,"")</f>
        <v>Vs. Non-Conference</v>
      </c>
      <c r="I11" s="8" t="str">
        <f>IF('[1]Game Input'!$I11&lt;&gt;"",'[1]Game Input'!$I11,"")</f>
        <v>TRI-CITY</v>
      </c>
      <c r="J11" s="9">
        <f>IF('[1]Game Input'!$AC11&lt;&gt;"",'[1]Game Input'!$AC11,"")</f>
        <v>22</v>
      </c>
      <c r="K11" s="9">
        <f>IF('[1]Game Input'!$AD11&lt;&gt;"",'[1]Game Input'!$AD11,"")</f>
        <v>7</v>
      </c>
      <c r="L11" s="9">
        <f>IF('[1]Game Input'!$AJ11&lt;&gt;"",'[1]Game Input'!$AJ11,"")</f>
        <v>0</v>
      </c>
      <c r="M11" s="9">
        <f>IF('[1]Game Input'!$AK11&lt;&gt;"",'[1]Game Input'!$AK11,"")</f>
        <v>0</v>
      </c>
      <c r="N11" s="9">
        <f>IF('[1]Game Input'!$AN11&lt;&gt;"",'[1]Game Input'!$AN11,"")</f>
        <v>6</v>
      </c>
      <c r="O11" s="9">
        <f>IF('[1]Game Input'!$AO11&lt;&gt;"",'[1]Game Input'!$AO11,"")</f>
        <v>0</v>
      </c>
      <c r="P11" s="9">
        <f>IF('[1]Game Input'!$AP11&lt;&gt;"",'[1]Game Input'!$AP11,"")</f>
        <v>1</v>
      </c>
      <c r="Q11" s="9">
        <f>IF('[1]Game Input'!$AQ11&lt;&gt;"",'[1]Game Input'!$AQ11,"")</f>
        <v>0</v>
      </c>
      <c r="R11" s="9">
        <f>IF('[1]Game Input'!$AR11&lt;&gt;"",'[1]Game Input'!$AR11,"")</f>
        <v>0</v>
      </c>
      <c r="S11" s="9">
        <f>IF('[1]Game Input'!$AS11&lt;&gt;"",'[1]Game Input'!$AS11,"")</f>
        <v>0</v>
      </c>
      <c r="T11" s="10" t="str">
        <f>IF('[1]Game Input'!$BA11&lt;&gt;"",'[1]Game Input'!$BA11,"")</f>
        <v>MADISON</v>
      </c>
      <c r="U11" s="9">
        <f>IF('[1]Game Input'!$BU11&lt;&gt;"",'[1]Game Input'!$BU11,"")</f>
        <v>6</v>
      </c>
      <c r="V11" s="9">
        <f>IF('[1]Game Input'!$BV11&lt;&gt;"",'[1]Game Input'!$BV11,"")</f>
        <v>3</v>
      </c>
      <c r="W11" s="9">
        <f>IF('[1]Game Input'!$CB11&lt;&gt;"",'[1]Game Input'!$CB11,"")</f>
        <v>0</v>
      </c>
      <c r="X11" s="9">
        <f>IF('[1]Game Input'!$CC11&lt;&gt;"",'[1]Game Input'!$CC11,"")</f>
        <v>0</v>
      </c>
      <c r="Y11" s="9">
        <f>IF('[1]Game Input'!$CF11&lt;&gt;"",'[1]Game Input'!$CF11,"")</f>
        <v>3</v>
      </c>
      <c r="Z11" s="9">
        <f>IF('[1]Game Input'!$CG11&lt;&gt;"",'[1]Game Input'!$CG11,"")</f>
        <v>0</v>
      </c>
      <c r="AA11" s="9">
        <f>IF('[1]Game Input'!$CH11&lt;&gt;"",'[1]Game Input'!$CH11,"")</f>
        <v>0</v>
      </c>
      <c r="AB11" s="9">
        <f>IF('[1]Game Input'!$CI11&lt;&gt;"",'[1]Game Input'!$CI11,"")</f>
        <v>0</v>
      </c>
      <c r="AC11" s="9">
        <f>IF('[1]Game Input'!$CJ11&lt;&gt;"",'[1]Game Input'!$CJ11,"")</f>
        <v>0</v>
      </c>
      <c r="AD11" s="9">
        <f>IF('[1]Game Input'!$CK11&lt;&gt;"",'[1]Game Input'!$CK11,"")</f>
        <v>0</v>
      </c>
      <c r="AE11" s="8" t="s">
        <v>99</v>
      </c>
      <c r="AF11" s="8" t="s">
        <v>89</v>
      </c>
      <c r="AG11" s="8" t="s">
        <v>122</v>
      </c>
      <c r="AH11" s="8" t="s">
        <v>123</v>
      </c>
    </row>
    <row r="12" spans="1:34" x14ac:dyDescent="0.2">
      <c r="A12" s="6">
        <f>IF('[1]Game Input'!$A12&lt;&gt;"",'[1]Game Input'!$A12,"")</f>
        <v>43371</v>
      </c>
      <c r="B12" s="6" t="str">
        <f>IF(A12&gt;$B$1,VLOOKUP(MONTH($A12),DOTWMonth,2,FALSE),"")</f>
        <v>September</v>
      </c>
      <c r="C12" s="10" t="str">
        <f>IF(A12&gt;$B$1,VLOOKUP(WEEKDAY($A12),DOTWMonth,3,FALSE),"")</f>
        <v>Friday</v>
      </c>
      <c r="D12" s="7">
        <f>IF('[1]Game Input'!$B12&lt;&gt;"",'[1]Game Input'!$B12,"")</f>
        <v>0.70833333333333337</v>
      </c>
      <c r="E12" s="7">
        <f>IF('[1]Game Input'!$C12&lt;&gt;"",'[1]Game Input'!$C12,"")</f>
        <v>0.66666666666666663</v>
      </c>
      <c r="F12" s="8" t="str">
        <f>IF('[1]Game Input'!$D12&lt;&gt;"",'[1]Game Input'!$D12,"")</f>
        <v>Daylight</v>
      </c>
      <c r="G12" s="8" t="str">
        <f>IF('[1]Game Input'!$G12&lt;&gt;"",'[1]Game Input'!$G12,"")</f>
        <v>CIL @ WAT</v>
      </c>
      <c r="H12" s="8" t="str">
        <f>IF('[1]Game Input'!$H12&lt;&gt;"",'[1]Game Input'!$H12,"")</f>
        <v>Vs. Non-Conference</v>
      </c>
      <c r="I12" s="8" t="str">
        <f>IF('[1]Game Input'!$I12&lt;&gt;"",'[1]Game Input'!$I12,"")</f>
        <v>CENTRAL ILLINOIS</v>
      </c>
      <c r="J12" s="9">
        <f>IF('[1]Game Input'!$AC12&lt;&gt;"",'[1]Game Input'!$AC12,"")</f>
        <v>6</v>
      </c>
      <c r="K12" s="9">
        <f>IF('[1]Game Input'!$AD12&lt;&gt;"",'[1]Game Input'!$AD12,"")</f>
        <v>3</v>
      </c>
      <c r="L12" s="9">
        <f>IF('[1]Game Input'!$AJ12&lt;&gt;"",'[1]Game Input'!$AJ12,"")</f>
        <v>0</v>
      </c>
      <c r="M12" s="9">
        <f>IF('[1]Game Input'!$AK12&lt;&gt;"",'[1]Game Input'!$AK12,"")</f>
        <v>0</v>
      </c>
      <c r="N12" s="9">
        <f>IF('[1]Game Input'!$AN12&lt;&gt;"",'[1]Game Input'!$AN12,"")</f>
        <v>3</v>
      </c>
      <c r="O12" s="9">
        <f>IF('[1]Game Input'!$AO12&lt;&gt;"",'[1]Game Input'!$AO12,"")</f>
        <v>0</v>
      </c>
      <c r="P12" s="9">
        <f>IF('[1]Game Input'!$AP12&lt;&gt;"",'[1]Game Input'!$AP12,"")</f>
        <v>0</v>
      </c>
      <c r="Q12" s="9">
        <f>IF('[1]Game Input'!$AQ12&lt;&gt;"",'[1]Game Input'!$AQ12,"")</f>
        <v>0</v>
      </c>
      <c r="R12" s="9">
        <f>IF('[1]Game Input'!$AR12&lt;&gt;"",'[1]Game Input'!$AR12,"")</f>
        <v>0</v>
      </c>
      <c r="S12" s="9">
        <f>IF('[1]Game Input'!$AS12&lt;&gt;"",'[1]Game Input'!$AS12,"")</f>
        <v>0</v>
      </c>
      <c r="T12" s="10" t="str">
        <f>IF('[1]Game Input'!$BA12&lt;&gt;"",'[1]Game Input'!$BA12,"")</f>
        <v>WATERLOO</v>
      </c>
      <c r="U12" s="9">
        <f>IF('[1]Game Input'!$BU12&lt;&gt;"",'[1]Game Input'!$BU12,"")</f>
        <v>8</v>
      </c>
      <c r="V12" s="9">
        <f>IF('[1]Game Input'!$BV12&lt;&gt;"",'[1]Game Input'!$BV12,"")</f>
        <v>4</v>
      </c>
      <c r="W12" s="9">
        <f>IF('[1]Game Input'!$CB12&lt;&gt;"",'[1]Game Input'!$CB12,"")</f>
        <v>0</v>
      </c>
      <c r="X12" s="9">
        <f>IF('[1]Game Input'!$CC12&lt;&gt;"",'[1]Game Input'!$CC12,"")</f>
        <v>0</v>
      </c>
      <c r="Y12" s="9">
        <f>IF('[1]Game Input'!$CF12&lt;&gt;"",'[1]Game Input'!$CF12,"")</f>
        <v>4</v>
      </c>
      <c r="Z12" s="9">
        <f>IF('[1]Game Input'!$CG12&lt;&gt;"",'[1]Game Input'!$CG12,"")</f>
        <v>0</v>
      </c>
      <c r="AA12" s="9">
        <f>IF('[1]Game Input'!$CH12&lt;&gt;"",'[1]Game Input'!$CH12,"")</f>
        <v>0</v>
      </c>
      <c r="AB12" s="9">
        <f>IF('[1]Game Input'!$CI12&lt;&gt;"",'[1]Game Input'!$CI12,"")</f>
        <v>0</v>
      </c>
      <c r="AC12" s="9">
        <f>IF('[1]Game Input'!$CJ12&lt;&gt;"",'[1]Game Input'!$CJ12,"")</f>
        <v>0</v>
      </c>
      <c r="AD12" s="9">
        <f>IF('[1]Game Input'!$CK12&lt;&gt;"",'[1]Game Input'!$CK12,"")</f>
        <v>0</v>
      </c>
      <c r="AE12" s="8" t="s">
        <v>100</v>
      </c>
      <c r="AF12" s="8" t="s">
        <v>92</v>
      </c>
      <c r="AG12" s="8" t="s">
        <v>116</v>
      </c>
      <c r="AH12" s="8" t="s">
        <v>124</v>
      </c>
    </row>
    <row r="13" spans="1:34" x14ac:dyDescent="0.2">
      <c r="A13" s="6">
        <f>IF('[1]Game Input'!$A13&lt;&gt;"",'[1]Game Input'!$A13,"")</f>
        <v>43371</v>
      </c>
      <c r="B13" s="6" t="str">
        <f>IF(A13&gt;$B$1,VLOOKUP(MONTH($A13),DOTWMonth,2,FALSE),"")</f>
        <v>September</v>
      </c>
      <c r="C13" s="10" t="str">
        <f>IF(A13&gt;$B$1,VLOOKUP(WEEKDAY($A13),DOTWMonth,3,FALSE),"")</f>
        <v>Friday</v>
      </c>
      <c r="D13" s="7">
        <f>IF('[1]Game Input'!$B13&lt;&gt;"",'[1]Game Input'!$B13,"")</f>
        <v>0.79166666666666663</v>
      </c>
      <c r="E13" s="7">
        <f>IF('[1]Game Input'!$C13&lt;&gt;"",'[1]Game Input'!$C13,"")</f>
        <v>0.75</v>
      </c>
      <c r="F13" s="8" t="str">
        <f>IF('[1]Game Input'!$D13&lt;&gt;"",'[1]Game Input'!$D13,"")</f>
        <v>Daylight</v>
      </c>
      <c r="G13" s="8" t="str">
        <f>IF('[1]Game Input'!$G13&lt;&gt;"",'[1]Game Input'!$G13,"")</f>
        <v>LIN @ CR</v>
      </c>
      <c r="H13" s="8" t="str">
        <f>IF('[1]Game Input'!$H13&lt;&gt;"",'[1]Game Input'!$H13,"")</f>
        <v>Vs. Non-Conference</v>
      </c>
      <c r="I13" s="8" t="str">
        <f>IF('[1]Game Input'!$I13&lt;&gt;"",'[1]Game Input'!$I13,"")</f>
        <v>LINCOLN</v>
      </c>
      <c r="J13" s="9">
        <f>IF('[1]Game Input'!$AC13&lt;&gt;"",'[1]Game Input'!$AC13,"")</f>
        <v>12</v>
      </c>
      <c r="K13" s="9">
        <f>IF('[1]Game Input'!$AD13&lt;&gt;"",'[1]Game Input'!$AD13,"")</f>
        <v>6</v>
      </c>
      <c r="L13" s="9">
        <f>IF('[1]Game Input'!$AJ13&lt;&gt;"",'[1]Game Input'!$AJ13,"")</f>
        <v>0</v>
      </c>
      <c r="M13" s="9">
        <f>IF('[1]Game Input'!$AK13&lt;&gt;"",'[1]Game Input'!$AK13,"")</f>
        <v>0</v>
      </c>
      <c r="N13" s="9">
        <f>IF('[1]Game Input'!$AN13&lt;&gt;"",'[1]Game Input'!$AN13,"")</f>
        <v>6</v>
      </c>
      <c r="O13" s="9">
        <f>IF('[1]Game Input'!$AO13&lt;&gt;"",'[1]Game Input'!$AO13,"")</f>
        <v>0</v>
      </c>
      <c r="P13" s="9">
        <f>IF('[1]Game Input'!$AP13&lt;&gt;"",'[1]Game Input'!$AP13,"")</f>
        <v>0</v>
      </c>
      <c r="Q13" s="9">
        <f>IF('[1]Game Input'!$AQ13&lt;&gt;"",'[1]Game Input'!$AQ13,"")</f>
        <v>0</v>
      </c>
      <c r="R13" s="9">
        <f>IF('[1]Game Input'!$AR13&lt;&gt;"",'[1]Game Input'!$AR13,"")</f>
        <v>0</v>
      </c>
      <c r="S13" s="9">
        <f>IF('[1]Game Input'!$AS13&lt;&gt;"",'[1]Game Input'!$AS13,"")</f>
        <v>0</v>
      </c>
      <c r="T13" s="10" t="str">
        <f>IF('[1]Game Input'!$BA13&lt;&gt;"",'[1]Game Input'!$BA13,"")</f>
        <v>CEDAR RAPIDS</v>
      </c>
      <c r="U13" s="9">
        <f>IF('[1]Game Input'!$BU13&lt;&gt;"",'[1]Game Input'!$BU13,"")</f>
        <v>6</v>
      </c>
      <c r="V13" s="9">
        <f>IF('[1]Game Input'!$BV13&lt;&gt;"",'[1]Game Input'!$BV13,"")</f>
        <v>3</v>
      </c>
      <c r="W13" s="9">
        <f>IF('[1]Game Input'!$CB13&lt;&gt;"",'[1]Game Input'!$CB13,"")</f>
        <v>0</v>
      </c>
      <c r="X13" s="9">
        <f>IF('[1]Game Input'!$CC13&lt;&gt;"",'[1]Game Input'!$CC13,"")</f>
        <v>0</v>
      </c>
      <c r="Y13" s="9">
        <f>IF('[1]Game Input'!$CF13&lt;&gt;"",'[1]Game Input'!$CF13,"")</f>
        <v>3</v>
      </c>
      <c r="Z13" s="9">
        <f>IF('[1]Game Input'!$CG13&lt;&gt;"",'[1]Game Input'!$CG13,"")</f>
        <v>0</v>
      </c>
      <c r="AA13" s="9">
        <f>IF('[1]Game Input'!$CH13&lt;&gt;"",'[1]Game Input'!$CH13,"")</f>
        <v>0</v>
      </c>
      <c r="AB13" s="9">
        <f>IF('[1]Game Input'!$CI13&lt;&gt;"",'[1]Game Input'!$CI13,"")</f>
        <v>0</v>
      </c>
      <c r="AC13" s="9">
        <f>IF('[1]Game Input'!$CJ13&lt;&gt;"",'[1]Game Input'!$CJ13,"")</f>
        <v>0</v>
      </c>
      <c r="AD13" s="9">
        <f>IF('[1]Game Input'!$CK13&lt;&gt;"",'[1]Game Input'!$CK13,"")</f>
        <v>0</v>
      </c>
      <c r="AE13" s="8" t="s">
        <v>101</v>
      </c>
      <c r="AF13" s="8" t="s">
        <v>95</v>
      </c>
      <c r="AG13" s="8" t="s">
        <v>119</v>
      </c>
      <c r="AH13" s="8" t="s">
        <v>114</v>
      </c>
    </row>
    <row r="14" spans="1:34" x14ac:dyDescent="0.2">
      <c r="A14" s="6">
        <f>IF('[1]Game Input'!$A14&lt;&gt;"",'[1]Game Input'!$A14,"")</f>
        <v>43371</v>
      </c>
      <c r="B14" s="6" t="str">
        <f>IF(A14&gt;$B$1,VLOOKUP(MONTH($A14),DOTWMonth,2,FALSE),"")</f>
        <v>September</v>
      </c>
      <c r="C14" s="10" t="str">
        <f>IF(A14&gt;$B$1,VLOOKUP(WEEKDAY($A14),DOTWMonth,3,FALSE),"")</f>
        <v>Friday</v>
      </c>
      <c r="D14" s="7">
        <f>IF('[1]Game Input'!$B14&lt;&gt;"",'[1]Game Input'!$B14,"")</f>
        <v>0.83333333333333337</v>
      </c>
      <c r="E14" s="7">
        <f>IF('[1]Game Input'!$C14&lt;&gt;"",'[1]Game Input'!$C14,"")</f>
        <v>0.79166666666666663</v>
      </c>
      <c r="F14" s="8" t="str">
        <f>IF('[1]Game Input'!$D14&lt;&gt;"",'[1]Game Input'!$D14,"")</f>
        <v>Daylight</v>
      </c>
      <c r="G14" s="8" t="str">
        <f>IF('[1]Game Input'!$G14&lt;&gt;"",'[1]Game Input'!$G14,"")</f>
        <v>DM @ CHI</v>
      </c>
      <c r="H14" s="8" t="str">
        <f>IF('[1]Game Input'!$H14&lt;&gt;"",'[1]Game Input'!$H14,"")</f>
        <v>Vs. Non-Conference</v>
      </c>
      <c r="I14" s="8" t="str">
        <f>IF('[1]Game Input'!$I14&lt;&gt;"",'[1]Game Input'!$I14,"")</f>
        <v>DES MOINES</v>
      </c>
      <c r="J14" s="9">
        <f>IF('[1]Game Input'!$AC14&lt;&gt;"",'[1]Game Input'!$AC14,"")</f>
        <v>12</v>
      </c>
      <c r="K14" s="9">
        <f>IF('[1]Game Input'!$AD14&lt;&gt;"",'[1]Game Input'!$AD14,"")</f>
        <v>6</v>
      </c>
      <c r="L14" s="9">
        <f>IF('[1]Game Input'!$AJ14&lt;&gt;"",'[1]Game Input'!$AJ14,"")</f>
        <v>0</v>
      </c>
      <c r="M14" s="9">
        <f>IF('[1]Game Input'!$AK14&lt;&gt;"",'[1]Game Input'!$AK14,"")</f>
        <v>0</v>
      </c>
      <c r="N14" s="9">
        <f>IF('[1]Game Input'!$AN14&lt;&gt;"",'[1]Game Input'!$AN14,"")</f>
        <v>6</v>
      </c>
      <c r="O14" s="9">
        <f>IF('[1]Game Input'!$AO14&lt;&gt;"",'[1]Game Input'!$AO14,"")</f>
        <v>0</v>
      </c>
      <c r="P14" s="9">
        <f>IF('[1]Game Input'!$AP14&lt;&gt;"",'[1]Game Input'!$AP14,"")</f>
        <v>0</v>
      </c>
      <c r="Q14" s="9">
        <f>IF('[1]Game Input'!$AQ14&lt;&gt;"",'[1]Game Input'!$AQ14,"")</f>
        <v>0</v>
      </c>
      <c r="R14" s="9">
        <f>IF('[1]Game Input'!$AR14&lt;&gt;"",'[1]Game Input'!$AR14,"")</f>
        <v>0</v>
      </c>
      <c r="S14" s="9">
        <f>IF('[1]Game Input'!$AS14&lt;&gt;"",'[1]Game Input'!$AS14,"")</f>
        <v>0</v>
      </c>
      <c r="T14" s="10" t="str">
        <f>IF('[1]Game Input'!$BA14&lt;&gt;"",'[1]Game Input'!$BA14,"")</f>
        <v>CHICAGO</v>
      </c>
      <c r="U14" s="9">
        <f>IF('[1]Game Input'!$BU14&lt;&gt;"",'[1]Game Input'!$BU14,"")</f>
        <v>10</v>
      </c>
      <c r="V14" s="9">
        <f>IF('[1]Game Input'!$BV14&lt;&gt;"",'[1]Game Input'!$BV14,"")</f>
        <v>5</v>
      </c>
      <c r="W14" s="9">
        <f>IF('[1]Game Input'!$CB14&lt;&gt;"",'[1]Game Input'!$CB14,"")</f>
        <v>0</v>
      </c>
      <c r="X14" s="9">
        <f>IF('[1]Game Input'!$CC14&lt;&gt;"",'[1]Game Input'!$CC14,"")</f>
        <v>0</v>
      </c>
      <c r="Y14" s="9">
        <f>IF('[1]Game Input'!$CF14&lt;&gt;"",'[1]Game Input'!$CF14,"")</f>
        <v>5</v>
      </c>
      <c r="Z14" s="9">
        <f>IF('[1]Game Input'!$CG14&lt;&gt;"",'[1]Game Input'!$CG14,"")</f>
        <v>0</v>
      </c>
      <c r="AA14" s="9">
        <f>IF('[1]Game Input'!$CH14&lt;&gt;"",'[1]Game Input'!$CH14,"")</f>
        <v>0</v>
      </c>
      <c r="AB14" s="9">
        <f>IF('[1]Game Input'!$CI14&lt;&gt;"",'[1]Game Input'!$CI14,"")</f>
        <v>0</v>
      </c>
      <c r="AC14" s="9">
        <f>IF('[1]Game Input'!$CJ14&lt;&gt;"",'[1]Game Input'!$CJ14,"")</f>
        <v>0</v>
      </c>
      <c r="AD14" s="9">
        <f>IF('[1]Game Input'!$CK14&lt;&gt;"",'[1]Game Input'!$CK14,"")</f>
        <v>0</v>
      </c>
      <c r="AE14" s="8" t="s">
        <v>102</v>
      </c>
      <c r="AF14" s="8" t="s">
        <v>90</v>
      </c>
      <c r="AG14" s="8" t="s">
        <v>112</v>
      </c>
      <c r="AH14" s="8" t="s">
        <v>111</v>
      </c>
    </row>
    <row r="15" spans="1:34" x14ac:dyDescent="0.2">
      <c r="A15" s="6">
        <f>IF('[1]Game Input'!$A15&lt;&gt;"",'[1]Game Input'!$A15,"")</f>
        <v>43372</v>
      </c>
      <c r="B15" s="6" t="str">
        <f>IF(A15&gt;$B$1,VLOOKUP(MONTH($A15),DOTWMonth,2,FALSE),"")</f>
        <v>September</v>
      </c>
      <c r="C15" s="10" t="str">
        <f>IF(A15&gt;$B$1,VLOOKUP(WEEKDAY($A15),DOTWMonth,3,FALSE),"")</f>
        <v>Saturday</v>
      </c>
      <c r="D15" s="7">
        <f>IF('[1]Game Input'!$B15&lt;&gt;"",'[1]Game Input'!$B15,"")</f>
        <v>0.45833333333333331</v>
      </c>
      <c r="E15" s="7">
        <f>IF('[1]Game Input'!$C15&lt;&gt;"",'[1]Game Input'!$C15,"")</f>
        <v>0.41666666666666669</v>
      </c>
      <c r="F15" s="8" t="str">
        <f>IF('[1]Game Input'!$D15&lt;&gt;"",'[1]Game Input'!$D15,"")</f>
        <v>Daylight</v>
      </c>
      <c r="G15" s="8" t="str">
        <f>IF('[1]Game Input'!$G15&lt;&gt;"",'[1]Game Input'!$G15,"")</f>
        <v>GB @ DUB</v>
      </c>
      <c r="H15" s="8" t="str">
        <f>IF('[1]Game Input'!$H15&lt;&gt;"",'[1]Game Input'!$H15,"")</f>
        <v>Vs. Conference</v>
      </c>
      <c r="I15" s="8" t="str">
        <f>IF('[1]Game Input'!$I15&lt;&gt;"",'[1]Game Input'!$I15,"")</f>
        <v>GREEN BAY</v>
      </c>
      <c r="J15" s="9">
        <f>IF('[1]Game Input'!$AC15&lt;&gt;"",'[1]Game Input'!$AC15,"")</f>
        <v>8</v>
      </c>
      <c r="K15" s="9">
        <f>IF('[1]Game Input'!$AD15&lt;&gt;"",'[1]Game Input'!$AD15,"")</f>
        <v>4</v>
      </c>
      <c r="L15" s="9">
        <f>IF('[1]Game Input'!$AJ15&lt;&gt;"",'[1]Game Input'!$AJ15,"")</f>
        <v>0</v>
      </c>
      <c r="M15" s="9">
        <f>IF('[1]Game Input'!$AK15&lt;&gt;"",'[1]Game Input'!$AK15,"")</f>
        <v>0</v>
      </c>
      <c r="N15" s="9">
        <f>IF('[1]Game Input'!$AN15&lt;&gt;"",'[1]Game Input'!$AN15,"")</f>
        <v>4</v>
      </c>
      <c r="O15" s="9">
        <f>IF('[1]Game Input'!$AO15&lt;&gt;"",'[1]Game Input'!$AO15,"")</f>
        <v>0</v>
      </c>
      <c r="P15" s="9">
        <f>IF('[1]Game Input'!$AP15&lt;&gt;"",'[1]Game Input'!$AP15,"")</f>
        <v>0</v>
      </c>
      <c r="Q15" s="9">
        <f>IF('[1]Game Input'!$AQ15&lt;&gt;"",'[1]Game Input'!$AQ15,"")</f>
        <v>0</v>
      </c>
      <c r="R15" s="9">
        <f>IF('[1]Game Input'!$AR15&lt;&gt;"",'[1]Game Input'!$AR15,"")</f>
        <v>0</v>
      </c>
      <c r="S15" s="9">
        <f>IF('[1]Game Input'!$AS15&lt;&gt;"",'[1]Game Input'!$AS15,"")</f>
        <v>0</v>
      </c>
      <c r="T15" s="10" t="str">
        <f>IF('[1]Game Input'!$BA15&lt;&gt;"",'[1]Game Input'!$BA15,"")</f>
        <v>DUBUQUE</v>
      </c>
      <c r="U15" s="9">
        <f>IF('[1]Game Input'!$BU15&lt;&gt;"",'[1]Game Input'!$BU15,"")</f>
        <v>10</v>
      </c>
      <c r="V15" s="9">
        <f>IF('[1]Game Input'!$BV15&lt;&gt;"",'[1]Game Input'!$BV15,"")</f>
        <v>5</v>
      </c>
      <c r="W15" s="9">
        <f>IF('[1]Game Input'!$CB15&lt;&gt;"",'[1]Game Input'!$CB15,"")</f>
        <v>0</v>
      </c>
      <c r="X15" s="9">
        <f>IF('[1]Game Input'!$CC15&lt;&gt;"",'[1]Game Input'!$CC15,"")</f>
        <v>0</v>
      </c>
      <c r="Y15" s="9">
        <f>IF('[1]Game Input'!$CF15&lt;&gt;"",'[1]Game Input'!$CF15,"")</f>
        <v>5</v>
      </c>
      <c r="Z15" s="9">
        <f>IF('[1]Game Input'!$CG15&lt;&gt;"",'[1]Game Input'!$CG15,"")</f>
        <v>0</v>
      </c>
      <c r="AA15" s="9">
        <f>IF('[1]Game Input'!$CH15&lt;&gt;"",'[1]Game Input'!$CH15,"")</f>
        <v>0</v>
      </c>
      <c r="AB15" s="9">
        <f>IF('[1]Game Input'!$CI15&lt;&gt;"",'[1]Game Input'!$CI15,"")</f>
        <v>0</v>
      </c>
      <c r="AC15" s="9">
        <f>IF('[1]Game Input'!$CJ15&lt;&gt;"",'[1]Game Input'!$CJ15,"")</f>
        <v>0</v>
      </c>
      <c r="AD15" s="9">
        <f>IF('[1]Game Input'!$CK15&lt;&gt;"",'[1]Game Input'!$CK15,"")</f>
        <v>0</v>
      </c>
      <c r="AE15" s="8" t="s">
        <v>102</v>
      </c>
      <c r="AF15" s="8" t="s">
        <v>93</v>
      </c>
      <c r="AG15" s="8" t="s">
        <v>124</v>
      </c>
      <c r="AH15" s="8" t="s">
        <v>118</v>
      </c>
    </row>
    <row r="16" spans="1:34" x14ac:dyDescent="0.2">
      <c r="A16" s="6">
        <f>IF('[1]Game Input'!$A16&lt;&gt;"",'[1]Game Input'!$A16,"")</f>
        <v>43372</v>
      </c>
      <c r="B16" s="6" t="str">
        <f>IF(A16&gt;$B$1,VLOOKUP(MONTH($A16),DOTWMonth,2,FALSE),"")</f>
        <v>September</v>
      </c>
      <c r="C16" s="10" t="str">
        <f>IF(A16&gt;$B$1,VLOOKUP(WEEKDAY($A16),DOTWMonth,3,FALSE),"")</f>
        <v>Saturday</v>
      </c>
      <c r="D16" s="7">
        <f>IF('[1]Game Input'!$B16&lt;&gt;"",'[1]Game Input'!$B16,"")</f>
        <v>0.58333333333333337</v>
      </c>
      <c r="E16" s="7">
        <f>IF('[1]Game Input'!$C16&lt;&gt;"",'[1]Game Input'!$C16,"")</f>
        <v>0.54166666666666663</v>
      </c>
      <c r="F16" s="8" t="str">
        <f>IF('[1]Game Input'!$D16&lt;&gt;"",'[1]Game Input'!$D16,"")</f>
        <v>Daylight</v>
      </c>
      <c r="G16" s="8" t="str">
        <f>IF('[1]Game Input'!$G16&lt;&gt;"",'[1]Game Input'!$G16,"")</f>
        <v>USA @ SF</v>
      </c>
      <c r="H16" s="8" t="str">
        <f>IF('[1]Game Input'!$H16&lt;&gt;"",'[1]Game Input'!$H16,"")</f>
        <v>Vs. Non-Conference</v>
      </c>
      <c r="I16" s="8" t="str">
        <f>IF('[1]Game Input'!$I16&lt;&gt;"",'[1]Game Input'!$I16,"")</f>
        <v>TEAM USA</v>
      </c>
      <c r="J16" s="9">
        <f>IF('[1]Game Input'!$AC16&lt;&gt;"",'[1]Game Input'!$AC16,"")</f>
        <v>10</v>
      </c>
      <c r="K16" s="9">
        <f>IF('[1]Game Input'!$AD16&lt;&gt;"",'[1]Game Input'!$AD16,"")</f>
        <v>5</v>
      </c>
      <c r="L16" s="9">
        <f>IF('[1]Game Input'!$AJ16&lt;&gt;"",'[1]Game Input'!$AJ16,"")</f>
        <v>0</v>
      </c>
      <c r="M16" s="9">
        <f>IF('[1]Game Input'!$AK16&lt;&gt;"",'[1]Game Input'!$AK16,"")</f>
        <v>0</v>
      </c>
      <c r="N16" s="9">
        <f>IF('[1]Game Input'!$AN16&lt;&gt;"",'[1]Game Input'!$AN16,"")</f>
        <v>5</v>
      </c>
      <c r="O16" s="9">
        <f>IF('[1]Game Input'!$AO16&lt;&gt;"",'[1]Game Input'!$AO16,"")</f>
        <v>0</v>
      </c>
      <c r="P16" s="9">
        <f>IF('[1]Game Input'!$AP16&lt;&gt;"",'[1]Game Input'!$AP16,"")</f>
        <v>0</v>
      </c>
      <c r="Q16" s="9">
        <f>IF('[1]Game Input'!$AQ16&lt;&gt;"",'[1]Game Input'!$AQ16,"")</f>
        <v>0</v>
      </c>
      <c r="R16" s="9">
        <f>IF('[1]Game Input'!$AR16&lt;&gt;"",'[1]Game Input'!$AR16,"")</f>
        <v>0</v>
      </c>
      <c r="S16" s="9">
        <f>IF('[1]Game Input'!$AS16&lt;&gt;"",'[1]Game Input'!$AS16,"")</f>
        <v>0</v>
      </c>
      <c r="T16" s="10" t="str">
        <f>IF('[1]Game Input'!$BA16&lt;&gt;"",'[1]Game Input'!$BA16,"")</f>
        <v>SIOUX FALLS</v>
      </c>
      <c r="U16" s="9">
        <f>IF('[1]Game Input'!$BU16&lt;&gt;"",'[1]Game Input'!$BU16,"")</f>
        <v>8</v>
      </c>
      <c r="V16" s="9">
        <f>IF('[1]Game Input'!$BV16&lt;&gt;"",'[1]Game Input'!$BV16,"")</f>
        <v>4</v>
      </c>
      <c r="W16" s="9">
        <f>IF('[1]Game Input'!$CB16&lt;&gt;"",'[1]Game Input'!$CB16,"")</f>
        <v>0</v>
      </c>
      <c r="X16" s="9">
        <f>IF('[1]Game Input'!$CC16&lt;&gt;"",'[1]Game Input'!$CC16,"")</f>
        <v>0</v>
      </c>
      <c r="Y16" s="9">
        <f>IF('[1]Game Input'!$CF16&lt;&gt;"",'[1]Game Input'!$CF16,"")</f>
        <v>4</v>
      </c>
      <c r="Z16" s="9">
        <f>IF('[1]Game Input'!$CG16&lt;&gt;"",'[1]Game Input'!$CG16,"")</f>
        <v>0</v>
      </c>
      <c r="AA16" s="9">
        <f>IF('[1]Game Input'!$CH16&lt;&gt;"",'[1]Game Input'!$CH16,"")</f>
        <v>0</v>
      </c>
      <c r="AB16" s="9">
        <f>IF('[1]Game Input'!$CI16&lt;&gt;"",'[1]Game Input'!$CI16,"")</f>
        <v>0</v>
      </c>
      <c r="AC16" s="9">
        <f>IF('[1]Game Input'!$CJ16&lt;&gt;"",'[1]Game Input'!$CJ16,"")</f>
        <v>0</v>
      </c>
      <c r="AD16" s="9">
        <f>IF('[1]Game Input'!$CK16&lt;&gt;"",'[1]Game Input'!$CK16,"")</f>
        <v>0</v>
      </c>
      <c r="AE16" s="8" t="s">
        <v>99</v>
      </c>
      <c r="AF16" s="8" t="s">
        <v>101</v>
      </c>
      <c r="AG16" s="8" t="s">
        <v>111</v>
      </c>
      <c r="AH16" s="8" t="s">
        <v>123</v>
      </c>
    </row>
    <row r="17" spans="1:34" x14ac:dyDescent="0.2">
      <c r="A17" s="6">
        <f>IF('[1]Game Input'!$A17&lt;&gt;"",'[1]Game Input'!$A17,"")</f>
        <v>43372</v>
      </c>
      <c r="B17" s="6" t="str">
        <f>IF(A17&gt;$B$1,VLOOKUP(MONTH($A17),DOTWMonth,2,FALSE),"")</f>
        <v>September</v>
      </c>
      <c r="C17" s="10" t="str">
        <f>IF(A17&gt;$B$1,VLOOKUP(WEEKDAY($A17),DOTWMonth,3,FALSE),"")</f>
        <v>Saturday</v>
      </c>
      <c r="D17" s="7">
        <f>IF('[1]Game Input'!$B17&lt;&gt;"",'[1]Game Input'!$B17,"")</f>
        <v>0.70833333333333337</v>
      </c>
      <c r="E17" s="7">
        <f>IF('[1]Game Input'!$C17&lt;&gt;"",'[1]Game Input'!$C17,"")</f>
        <v>0.66666666666666663</v>
      </c>
      <c r="F17" s="8" t="str">
        <f>IF('[1]Game Input'!$D17&lt;&gt;"",'[1]Game Input'!$D17,"")</f>
        <v>Daylight</v>
      </c>
      <c r="G17" s="8" t="str">
        <f>IF('[1]Game Input'!$G17&lt;&gt;"",'[1]Game Input'!$G17,"")</f>
        <v>WAT @ OMA</v>
      </c>
      <c r="H17" s="8" t="str">
        <f>IF('[1]Game Input'!$H17&lt;&gt;"",'[1]Game Input'!$H17,"")</f>
        <v>Vs. Conference</v>
      </c>
      <c r="I17" s="8" t="str">
        <f>IF('[1]Game Input'!$I17&lt;&gt;"",'[1]Game Input'!$I17,"")</f>
        <v>WATERLOO</v>
      </c>
      <c r="J17" s="9">
        <f>IF('[1]Game Input'!$AC17&lt;&gt;"",'[1]Game Input'!$AC17,"")</f>
        <v>14</v>
      </c>
      <c r="K17" s="9">
        <f>IF('[1]Game Input'!$AD17&lt;&gt;"",'[1]Game Input'!$AD17,"")</f>
        <v>7</v>
      </c>
      <c r="L17" s="9">
        <f>IF('[1]Game Input'!$AJ17&lt;&gt;"",'[1]Game Input'!$AJ17,"")</f>
        <v>0</v>
      </c>
      <c r="M17" s="9">
        <f>IF('[1]Game Input'!$AK17&lt;&gt;"",'[1]Game Input'!$AK17,"")</f>
        <v>0</v>
      </c>
      <c r="N17" s="9">
        <f>IF('[1]Game Input'!$AN17&lt;&gt;"",'[1]Game Input'!$AN17,"")</f>
        <v>7</v>
      </c>
      <c r="O17" s="9">
        <f>IF('[1]Game Input'!$AO17&lt;&gt;"",'[1]Game Input'!$AO17,"")</f>
        <v>0</v>
      </c>
      <c r="P17" s="9">
        <f>IF('[1]Game Input'!$AP17&lt;&gt;"",'[1]Game Input'!$AP17,"")</f>
        <v>0</v>
      </c>
      <c r="Q17" s="9">
        <f>IF('[1]Game Input'!$AQ17&lt;&gt;"",'[1]Game Input'!$AQ17,"")</f>
        <v>0</v>
      </c>
      <c r="R17" s="9">
        <f>IF('[1]Game Input'!$AR17&lt;&gt;"",'[1]Game Input'!$AR17,"")</f>
        <v>0</v>
      </c>
      <c r="S17" s="9">
        <f>IF('[1]Game Input'!$AS17&lt;&gt;"",'[1]Game Input'!$AS17,"")</f>
        <v>0</v>
      </c>
      <c r="T17" s="10" t="str">
        <f>IF('[1]Game Input'!$BA17&lt;&gt;"",'[1]Game Input'!$BA17,"")</f>
        <v>OMAHA</v>
      </c>
      <c r="U17" s="9">
        <f>IF('[1]Game Input'!$BU17&lt;&gt;"",'[1]Game Input'!$BU17,"")</f>
        <v>6</v>
      </c>
      <c r="V17" s="9">
        <f>IF('[1]Game Input'!$BV17&lt;&gt;"",'[1]Game Input'!$BV17,"")</f>
        <v>3</v>
      </c>
      <c r="W17" s="9">
        <f>IF('[1]Game Input'!$CB17&lt;&gt;"",'[1]Game Input'!$CB17,"")</f>
        <v>0</v>
      </c>
      <c r="X17" s="9">
        <f>IF('[1]Game Input'!$CC17&lt;&gt;"",'[1]Game Input'!$CC17,"")</f>
        <v>0</v>
      </c>
      <c r="Y17" s="9">
        <f>IF('[1]Game Input'!$CF17&lt;&gt;"",'[1]Game Input'!$CF17,"")</f>
        <v>3</v>
      </c>
      <c r="Z17" s="9">
        <f>IF('[1]Game Input'!$CG17&lt;&gt;"",'[1]Game Input'!$CG17,"")</f>
        <v>0</v>
      </c>
      <c r="AA17" s="9">
        <f>IF('[1]Game Input'!$CH17&lt;&gt;"",'[1]Game Input'!$CH17,"")</f>
        <v>0</v>
      </c>
      <c r="AB17" s="9">
        <f>IF('[1]Game Input'!$CI17&lt;&gt;"",'[1]Game Input'!$CI17,"")</f>
        <v>0</v>
      </c>
      <c r="AC17" s="9">
        <f>IF('[1]Game Input'!$CJ17&lt;&gt;"",'[1]Game Input'!$CJ17,"")</f>
        <v>0</v>
      </c>
      <c r="AD17" s="9">
        <f>IF('[1]Game Input'!$CK17&lt;&gt;"",'[1]Game Input'!$CK17,"")</f>
        <v>0</v>
      </c>
      <c r="AE17" s="8" t="s">
        <v>103</v>
      </c>
      <c r="AF17" s="8" t="s">
        <v>91</v>
      </c>
      <c r="AG17" s="8" t="s">
        <v>110</v>
      </c>
      <c r="AH17" s="8" t="s">
        <v>109</v>
      </c>
    </row>
    <row r="18" spans="1:34" x14ac:dyDescent="0.2">
      <c r="A18" s="6">
        <f>IF('[1]Game Input'!$A18&lt;&gt;"",'[1]Game Input'!$A18,"")</f>
        <v>43372</v>
      </c>
      <c r="B18" s="6" t="str">
        <f>IF(A18&gt;$B$1,VLOOKUP(MONTH($A18),DOTWMonth,2,FALSE),"")</f>
        <v>September</v>
      </c>
      <c r="C18" s="10" t="str">
        <f>IF(A18&gt;$B$1,VLOOKUP(WEEKDAY($A18),DOTWMonth,3,FALSE),"")</f>
        <v>Saturday</v>
      </c>
      <c r="D18" s="7">
        <f>IF('[1]Game Input'!$B18&lt;&gt;"",'[1]Game Input'!$B18,"")</f>
        <v>0.83333333333333337</v>
      </c>
      <c r="E18" s="7">
        <f>IF('[1]Game Input'!$C18&lt;&gt;"",'[1]Game Input'!$C18,"")</f>
        <v>0.79166666666666663</v>
      </c>
      <c r="F18" s="8" t="str">
        <f>IF('[1]Game Input'!$D18&lt;&gt;"",'[1]Game Input'!$D18,"")</f>
        <v>Daylight</v>
      </c>
      <c r="G18" s="8" t="str">
        <f>IF('[1]Game Input'!$G18&lt;&gt;"",'[1]Game Input'!$G18,"")</f>
        <v>MUS @ SC</v>
      </c>
      <c r="H18" s="8" t="str">
        <f>IF('[1]Game Input'!$H18&lt;&gt;"",'[1]Game Input'!$H18,"")</f>
        <v>Vs. Non-Conference</v>
      </c>
      <c r="I18" s="8" t="str">
        <f>IF('[1]Game Input'!$I18&lt;&gt;"",'[1]Game Input'!$I18,"")</f>
        <v>MUSKEGON</v>
      </c>
      <c r="J18" s="9">
        <f>IF('[1]Game Input'!$AC18&lt;&gt;"",'[1]Game Input'!$AC18,"")</f>
        <v>26</v>
      </c>
      <c r="K18" s="9">
        <f>IF('[1]Game Input'!$AD18&lt;&gt;"",'[1]Game Input'!$AD18,"")</f>
        <v>9</v>
      </c>
      <c r="L18" s="9">
        <f>IF('[1]Game Input'!$AJ18&lt;&gt;"",'[1]Game Input'!$AJ18,"")</f>
        <v>0</v>
      </c>
      <c r="M18" s="9">
        <f>IF('[1]Game Input'!$AK18&lt;&gt;"",'[1]Game Input'!$AK18,"")</f>
        <v>0</v>
      </c>
      <c r="N18" s="9">
        <f>IF('[1]Game Input'!$AN18&lt;&gt;"",'[1]Game Input'!$AN18,"")</f>
        <v>8</v>
      </c>
      <c r="O18" s="9">
        <f>IF('[1]Game Input'!$AO18&lt;&gt;"",'[1]Game Input'!$AO18,"")</f>
        <v>0</v>
      </c>
      <c r="P18" s="9">
        <f>IF('[1]Game Input'!$AP18&lt;&gt;"",'[1]Game Input'!$AP18,"")</f>
        <v>1</v>
      </c>
      <c r="Q18" s="9">
        <f>IF('[1]Game Input'!$AQ18&lt;&gt;"",'[1]Game Input'!$AQ18,"")</f>
        <v>0</v>
      </c>
      <c r="R18" s="9">
        <f>IF('[1]Game Input'!$AR18&lt;&gt;"",'[1]Game Input'!$AR18,"")</f>
        <v>0</v>
      </c>
      <c r="S18" s="9">
        <f>IF('[1]Game Input'!$AS18&lt;&gt;"",'[1]Game Input'!$AS18,"")</f>
        <v>0</v>
      </c>
      <c r="T18" s="10" t="str">
        <f>IF('[1]Game Input'!$BA18&lt;&gt;"",'[1]Game Input'!$BA18,"")</f>
        <v>SIOUX CITY</v>
      </c>
      <c r="U18" s="9">
        <f>IF('[1]Game Input'!$BU18&lt;&gt;"",'[1]Game Input'!$BU18,"")</f>
        <v>12</v>
      </c>
      <c r="V18" s="9">
        <f>IF('[1]Game Input'!$BV18&lt;&gt;"",'[1]Game Input'!$BV18,"")</f>
        <v>6</v>
      </c>
      <c r="W18" s="9">
        <f>IF('[1]Game Input'!$CB18&lt;&gt;"",'[1]Game Input'!$CB18,"")</f>
        <v>0</v>
      </c>
      <c r="X18" s="9">
        <f>IF('[1]Game Input'!$CC18&lt;&gt;"",'[1]Game Input'!$CC18,"")</f>
        <v>0</v>
      </c>
      <c r="Y18" s="9">
        <f>IF('[1]Game Input'!$CF18&lt;&gt;"",'[1]Game Input'!$CF18,"")</f>
        <v>6</v>
      </c>
      <c r="Z18" s="9">
        <f>IF('[1]Game Input'!$CG18&lt;&gt;"",'[1]Game Input'!$CG18,"")</f>
        <v>0</v>
      </c>
      <c r="AA18" s="9">
        <f>IF('[1]Game Input'!$CH18&lt;&gt;"",'[1]Game Input'!$CH18,"")</f>
        <v>0</v>
      </c>
      <c r="AB18" s="9">
        <f>IF('[1]Game Input'!$CI18&lt;&gt;"",'[1]Game Input'!$CI18,"")</f>
        <v>0</v>
      </c>
      <c r="AC18" s="9">
        <f>IF('[1]Game Input'!$CJ18&lt;&gt;"",'[1]Game Input'!$CJ18,"")</f>
        <v>0</v>
      </c>
      <c r="AD18" s="9">
        <f>IF('[1]Game Input'!$CK18&lt;&gt;"",'[1]Game Input'!$CK18,"")</f>
        <v>0</v>
      </c>
      <c r="AE18" s="8" t="s">
        <v>104</v>
      </c>
      <c r="AF18" s="8" t="s">
        <v>105</v>
      </c>
      <c r="AG18" s="8" t="s">
        <v>115</v>
      </c>
      <c r="AH18" s="8" t="s">
        <v>108</v>
      </c>
    </row>
    <row r="19" spans="1:34" x14ac:dyDescent="0.2">
      <c r="A19" s="6">
        <f>IF('[1]Game Input'!$A19&lt;&gt;"",'[1]Game Input'!$A19,"")</f>
        <v>43373</v>
      </c>
      <c r="B19" s="6" t="str">
        <f>IF(A19&gt;$B$1,VLOOKUP(MONTH($A19),DOTWMonth,2,FALSE),"")</f>
        <v>September</v>
      </c>
      <c r="C19" s="10" t="str">
        <f>IF(A19&gt;$B$1,VLOOKUP(WEEKDAY($A19),DOTWMonth,3,FALSE),"")</f>
        <v>Sunday</v>
      </c>
      <c r="D19" s="7">
        <f>IF('[1]Game Input'!$B19&lt;&gt;"",'[1]Game Input'!$B19,"")</f>
        <v>0.54166666666666663</v>
      </c>
      <c r="E19" s="7">
        <f>IF('[1]Game Input'!$C19&lt;&gt;"",'[1]Game Input'!$C19,"")</f>
        <v>0.5</v>
      </c>
      <c r="F19" s="8" t="str">
        <f>IF('[1]Game Input'!$D19&lt;&gt;"",'[1]Game Input'!$D19,"")</f>
        <v>Daylight</v>
      </c>
      <c r="G19" s="8" t="str">
        <f>IF('[1]Game Input'!$G19&lt;&gt;"",'[1]Game Input'!$G19,"")</f>
        <v>DUB @ YNG</v>
      </c>
      <c r="H19" s="8" t="str">
        <f>IF('[1]Game Input'!$H19&lt;&gt;"",'[1]Game Input'!$H19,"")</f>
        <v>Vs. Conference</v>
      </c>
      <c r="I19" s="8" t="str">
        <f>IF('[1]Game Input'!$I19&lt;&gt;"",'[1]Game Input'!$I19,"")</f>
        <v>DUBUQUE</v>
      </c>
      <c r="J19" s="9">
        <f>IF('[1]Game Input'!$AC19&lt;&gt;"",'[1]Game Input'!$AC19,"")</f>
        <v>8</v>
      </c>
      <c r="K19" s="9">
        <f>IF('[1]Game Input'!$AD19&lt;&gt;"",'[1]Game Input'!$AD19,"")</f>
        <v>4</v>
      </c>
      <c r="L19" s="9">
        <f>IF('[1]Game Input'!$AJ19&lt;&gt;"",'[1]Game Input'!$AJ19,"")</f>
        <v>0</v>
      </c>
      <c r="M19" s="9">
        <f>IF('[1]Game Input'!$AK19&lt;&gt;"",'[1]Game Input'!$AK19,"")</f>
        <v>0</v>
      </c>
      <c r="N19" s="9">
        <f>IF('[1]Game Input'!$AN19&lt;&gt;"",'[1]Game Input'!$AN19,"")</f>
        <v>4</v>
      </c>
      <c r="O19" s="9">
        <f>IF('[1]Game Input'!$AO19&lt;&gt;"",'[1]Game Input'!$AO19,"")</f>
        <v>0</v>
      </c>
      <c r="P19" s="9">
        <f>IF('[1]Game Input'!$AP19&lt;&gt;"",'[1]Game Input'!$AP19,"")</f>
        <v>0</v>
      </c>
      <c r="Q19" s="9">
        <f>IF('[1]Game Input'!$AQ19&lt;&gt;"",'[1]Game Input'!$AQ19,"")</f>
        <v>0</v>
      </c>
      <c r="R19" s="9">
        <f>IF('[1]Game Input'!$AR19&lt;&gt;"",'[1]Game Input'!$AR19,"")</f>
        <v>0</v>
      </c>
      <c r="S19" s="9">
        <f>IF('[1]Game Input'!$AS19&lt;&gt;"",'[1]Game Input'!$AS19,"")</f>
        <v>0</v>
      </c>
      <c r="T19" s="10" t="str">
        <f>IF('[1]Game Input'!$BA19&lt;&gt;"",'[1]Game Input'!$BA19,"")</f>
        <v>YOUNGSTOWN</v>
      </c>
      <c r="U19" s="9">
        <f>IF('[1]Game Input'!$BU19&lt;&gt;"",'[1]Game Input'!$BU19,"")</f>
        <v>12</v>
      </c>
      <c r="V19" s="9">
        <f>IF('[1]Game Input'!$BV19&lt;&gt;"",'[1]Game Input'!$BV19,"")</f>
        <v>6</v>
      </c>
      <c r="W19" s="9">
        <f>IF('[1]Game Input'!$CB19&lt;&gt;"",'[1]Game Input'!$CB19,"")</f>
        <v>0</v>
      </c>
      <c r="X19" s="9">
        <f>IF('[1]Game Input'!$CC19&lt;&gt;"",'[1]Game Input'!$CC19,"")</f>
        <v>0</v>
      </c>
      <c r="Y19" s="9">
        <f>IF('[1]Game Input'!$CF19&lt;&gt;"",'[1]Game Input'!$CF19,"")</f>
        <v>6</v>
      </c>
      <c r="Z19" s="9">
        <f>IF('[1]Game Input'!$CG19&lt;&gt;"",'[1]Game Input'!$CG19,"")</f>
        <v>0</v>
      </c>
      <c r="AA19" s="9">
        <f>IF('[1]Game Input'!$CH19&lt;&gt;"",'[1]Game Input'!$CH19,"")</f>
        <v>0</v>
      </c>
      <c r="AB19" s="9">
        <f>IF('[1]Game Input'!$CI19&lt;&gt;"",'[1]Game Input'!$CI19,"")</f>
        <v>0</v>
      </c>
      <c r="AC19" s="9">
        <f>IF('[1]Game Input'!$CJ19&lt;&gt;"",'[1]Game Input'!$CJ19,"")</f>
        <v>0</v>
      </c>
      <c r="AD19" s="9">
        <f>IF('[1]Game Input'!$CK19&lt;&gt;"",'[1]Game Input'!$CK19,"")</f>
        <v>0</v>
      </c>
      <c r="AE19" s="8" t="s">
        <v>104</v>
      </c>
      <c r="AF19" s="8" t="s">
        <v>103</v>
      </c>
      <c r="AG19" s="8" t="s">
        <v>110</v>
      </c>
      <c r="AH19" s="8" t="s">
        <v>122</v>
      </c>
    </row>
    <row r="20" spans="1:34" x14ac:dyDescent="0.2">
      <c r="A20" s="6">
        <f>IF('[1]Game Input'!$A20&lt;&gt;"",'[1]Game Input'!$A20,"")</f>
        <v>43373</v>
      </c>
      <c r="B20" s="6" t="str">
        <f>IF(A20&gt;$B$1,VLOOKUP(MONTH($A20),DOTWMonth,2,FALSE),"")</f>
        <v>September</v>
      </c>
      <c r="C20" s="10" t="str">
        <f>IF(A20&gt;$B$1,VLOOKUP(WEEKDAY($A20),DOTWMonth,3,FALSE),"")</f>
        <v>Sunday</v>
      </c>
      <c r="D20" s="7">
        <f>IF('[1]Game Input'!$B20&lt;&gt;"",'[1]Game Input'!$B20,"")</f>
        <v>0.66666666666666663</v>
      </c>
      <c r="E20" s="7">
        <f>IF('[1]Game Input'!$C20&lt;&gt;"",'[1]Game Input'!$C20,"")</f>
        <v>0.625</v>
      </c>
      <c r="F20" s="8" t="str">
        <f>IF('[1]Game Input'!$D20&lt;&gt;"",'[1]Game Input'!$D20,"")</f>
        <v>Daylight</v>
      </c>
      <c r="G20" s="8" t="str">
        <f>IF('[1]Game Input'!$G20&lt;&gt;"",'[1]Game Input'!$G20,"")</f>
        <v>OMA @ USA</v>
      </c>
      <c r="H20" s="8" t="str">
        <f>IF('[1]Game Input'!$H20&lt;&gt;"",'[1]Game Input'!$H20,"")</f>
        <v>Vs. Non-Conference</v>
      </c>
      <c r="I20" s="8" t="str">
        <f>IF('[1]Game Input'!$I20&lt;&gt;"",'[1]Game Input'!$I20,"")</f>
        <v>OMAHA</v>
      </c>
      <c r="J20" s="9">
        <f>IF('[1]Game Input'!$AC20&lt;&gt;"",'[1]Game Input'!$AC20,"")</f>
        <v>12</v>
      </c>
      <c r="K20" s="9">
        <f>IF('[1]Game Input'!$AD20&lt;&gt;"",'[1]Game Input'!$AD20,"")</f>
        <v>6</v>
      </c>
      <c r="L20" s="9">
        <f>IF('[1]Game Input'!$AJ20&lt;&gt;"",'[1]Game Input'!$AJ20,"")</f>
        <v>0</v>
      </c>
      <c r="M20" s="9">
        <f>IF('[1]Game Input'!$AK20&lt;&gt;"",'[1]Game Input'!$AK20,"")</f>
        <v>0</v>
      </c>
      <c r="N20" s="9">
        <f>IF('[1]Game Input'!$AN20&lt;&gt;"",'[1]Game Input'!$AN20,"")</f>
        <v>6</v>
      </c>
      <c r="O20" s="9">
        <f>IF('[1]Game Input'!$AO20&lt;&gt;"",'[1]Game Input'!$AO20,"")</f>
        <v>0</v>
      </c>
      <c r="P20" s="9">
        <f>IF('[1]Game Input'!$AP20&lt;&gt;"",'[1]Game Input'!$AP20,"")</f>
        <v>0</v>
      </c>
      <c r="Q20" s="9">
        <f>IF('[1]Game Input'!$AQ20&lt;&gt;"",'[1]Game Input'!$AQ20,"")</f>
        <v>0</v>
      </c>
      <c r="R20" s="9">
        <f>IF('[1]Game Input'!$AR20&lt;&gt;"",'[1]Game Input'!$AR20,"")</f>
        <v>0</v>
      </c>
      <c r="S20" s="9">
        <f>IF('[1]Game Input'!$AS20&lt;&gt;"",'[1]Game Input'!$AS20,"")</f>
        <v>0</v>
      </c>
      <c r="T20" s="10" t="str">
        <f>IF('[1]Game Input'!$BA20&lt;&gt;"",'[1]Game Input'!$BA20,"")</f>
        <v>TEAM USA</v>
      </c>
      <c r="U20" s="9">
        <f>IF('[1]Game Input'!$BU20&lt;&gt;"",'[1]Game Input'!$BU20,"")</f>
        <v>4</v>
      </c>
      <c r="V20" s="9">
        <f>IF('[1]Game Input'!$BV20&lt;&gt;"",'[1]Game Input'!$BV20,"")</f>
        <v>2</v>
      </c>
      <c r="W20" s="9">
        <f>IF('[1]Game Input'!$CB20&lt;&gt;"",'[1]Game Input'!$CB20,"")</f>
        <v>0</v>
      </c>
      <c r="X20" s="9">
        <f>IF('[1]Game Input'!$CC20&lt;&gt;"",'[1]Game Input'!$CC20,"")</f>
        <v>0</v>
      </c>
      <c r="Y20" s="9">
        <f>IF('[1]Game Input'!$CF20&lt;&gt;"",'[1]Game Input'!$CF20,"")</f>
        <v>2</v>
      </c>
      <c r="Z20" s="9">
        <f>IF('[1]Game Input'!$CG20&lt;&gt;"",'[1]Game Input'!$CG20,"")</f>
        <v>0</v>
      </c>
      <c r="AA20" s="9">
        <f>IF('[1]Game Input'!$CH20&lt;&gt;"",'[1]Game Input'!$CH20,"")</f>
        <v>0</v>
      </c>
      <c r="AB20" s="9">
        <f>IF('[1]Game Input'!$CI20&lt;&gt;"",'[1]Game Input'!$CI20,"")</f>
        <v>0</v>
      </c>
      <c r="AC20" s="9">
        <f>IF('[1]Game Input'!$CJ20&lt;&gt;"",'[1]Game Input'!$CJ20,"")</f>
        <v>0</v>
      </c>
      <c r="AD20" s="9">
        <f>IF('[1]Game Input'!$CK20&lt;&gt;"",'[1]Game Input'!$CK20,"")</f>
        <v>0</v>
      </c>
      <c r="AE20" s="8" t="s">
        <v>97</v>
      </c>
      <c r="AF20" s="8" t="s">
        <v>105</v>
      </c>
      <c r="AG20" s="8" t="s">
        <v>121</v>
      </c>
      <c r="AH20" s="8" t="s">
        <v>108</v>
      </c>
    </row>
    <row r="21" spans="1:34" x14ac:dyDescent="0.2">
      <c r="A21" s="6">
        <f>IF('[1]Game Input'!$A21&lt;&gt;"",'[1]Game Input'!$A21,"")</f>
        <v>43378</v>
      </c>
      <c r="B21" s="6" t="str">
        <f>IF(A21&gt;$B$1,VLOOKUP(MONTH($A21),DOTWMonth,2,FALSE),"")</f>
        <v>October</v>
      </c>
      <c r="C21" s="10" t="str">
        <f>IF(A21&gt;$B$1,VLOOKUP(WEEKDAY($A21),DOTWMonth,3,FALSE),"")</f>
        <v>Friday</v>
      </c>
      <c r="D21" s="7">
        <f>IF('[1]Game Input'!$B21&lt;&gt;"",'[1]Game Input'!$B21,"")</f>
        <v>0.79166666666666663</v>
      </c>
      <c r="E21" s="7">
        <f>IF('[1]Game Input'!$C21&lt;&gt;"",'[1]Game Input'!$C21,"")</f>
        <v>0.75</v>
      </c>
      <c r="F21" s="8" t="str">
        <f>IF('[1]Game Input'!$D21&lt;&gt;"",'[1]Game Input'!$D21,"")</f>
        <v>Daylight</v>
      </c>
      <c r="G21" s="8" t="str">
        <f>IF('[1]Game Input'!$G21&lt;&gt;"",'[1]Game Input'!$G21,"")</f>
        <v>MAD @ USA</v>
      </c>
      <c r="H21" s="8" t="str">
        <f>IF('[1]Game Input'!$H21&lt;&gt;"",'[1]Game Input'!$H21,"")</f>
        <v>Vs. Conference</v>
      </c>
      <c r="I21" s="8" t="str">
        <f>IF('[1]Game Input'!$I21&lt;&gt;"",'[1]Game Input'!$I21,"")</f>
        <v>MADISON</v>
      </c>
      <c r="J21" s="9">
        <f>IF('[1]Game Input'!$AC21&lt;&gt;"",'[1]Game Input'!$AC21,"")</f>
        <v>22</v>
      </c>
      <c r="K21" s="9">
        <f>IF('[1]Game Input'!$AD21&lt;&gt;"",'[1]Game Input'!$AD21,"")</f>
        <v>7</v>
      </c>
      <c r="L21" s="9">
        <f>IF('[1]Game Input'!$AJ21&lt;&gt;"",'[1]Game Input'!$AJ21,"")</f>
        <v>0</v>
      </c>
      <c r="M21" s="9">
        <f>IF('[1]Game Input'!$AK21&lt;&gt;"",'[1]Game Input'!$AK21,"")</f>
        <v>0</v>
      </c>
      <c r="N21" s="9">
        <f>IF('[1]Game Input'!$AN21&lt;&gt;"",'[1]Game Input'!$AN21,"")</f>
        <v>6</v>
      </c>
      <c r="O21" s="9">
        <f>IF('[1]Game Input'!$AO21&lt;&gt;"",'[1]Game Input'!$AO21,"")</f>
        <v>0</v>
      </c>
      <c r="P21" s="9">
        <f>IF('[1]Game Input'!$AP21&lt;&gt;"",'[1]Game Input'!$AP21,"")</f>
        <v>1</v>
      </c>
      <c r="Q21" s="9">
        <f>IF('[1]Game Input'!$AQ21&lt;&gt;"",'[1]Game Input'!$AQ21,"")</f>
        <v>0</v>
      </c>
      <c r="R21" s="9">
        <f>IF('[1]Game Input'!$AR21&lt;&gt;"",'[1]Game Input'!$AR21,"")</f>
        <v>0</v>
      </c>
      <c r="S21" s="9">
        <f>IF('[1]Game Input'!$AS21&lt;&gt;"",'[1]Game Input'!$AS21,"")</f>
        <v>0</v>
      </c>
      <c r="T21" s="10" t="str">
        <f>IF('[1]Game Input'!$BA21&lt;&gt;"",'[1]Game Input'!$BA21,"")</f>
        <v>TEAM USA</v>
      </c>
      <c r="U21" s="9">
        <f>IF('[1]Game Input'!$BU21&lt;&gt;"",'[1]Game Input'!$BU21,"")</f>
        <v>8</v>
      </c>
      <c r="V21" s="9">
        <f>IF('[1]Game Input'!$BV21&lt;&gt;"",'[1]Game Input'!$BV21,"")</f>
        <v>4</v>
      </c>
      <c r="W21" s="9">
        <f>IF('[1]Game Input'!$CB21&lt;&gt;"",'[1]Game Input'!$CB21,"")</f>
        <v>0</v>
      </c>
      <c r="X21" s="9">
        <f>IF('[1]Game Input'!$CC21&lt;&gt;"",'[1]Game Input'!$CC21,"")</f>
        <v>0</v>
      </c>
      <c r="Y21" s="9">
        <f>IF('[1]Game Input'!$CF21&lt;&gt;"",'[1]Game Input'!$CF21,"")</f>
        <v>4</v>
      </c>
      <c r="Z21" s="9">
        <f>IF('[1]Game Input'!$CG21&lt;&gt;"",'[1]Game Input'!$CG21,"")</f>
        <v>0</v>
      </c>
      <c r="AA21" s="9">
        <f>IF('[1]Game Input'!$CH21&lt;&gt;"",'[1]Game Input'!$CH21,"")</f>
        <v>0</v>
      </c>
      <c r="AB21" s="9">
        <f>IF('[1]Game Input'!$CI21&lt;&gt;"",'[1]Game Input'!$CI21,"")</f>
        <v>0</v>
      </c>
      <c r="AC21" s="9">
        <f>IF('[1]Game Input'!$CJ21&lt;&gt;"",'[1]Game Input'!$CJ21,"")</f>
        <v>0</v>
      </c>
      <c r="AD21" s="9">
        <f>IF('[1]Game Input'!$CK21&lt;&gt;"",'[1]Game Input'!$CK21,"")</f>
        <v>0</v>
      </c>
      <c r="AE21" s="8"/>
      <c r="AF21" s="8"/>
      <c r="AG21" s="8"/>
      <c r="AH21" s="8"/>
    </row>
    <row r="22" spans="1:34" x14ac:dyDescent="0.2">
      <c r="A22" s="6">
        <f>IF('[1]Game Input'!$A22&lt;&gt;"",'[1]Game Input'!$A22,"")</f>
        <v>43378</v>
      </c>
      <c r="B22" s="6" t="str">
        <f>IF(A22&gt;$B$1,VLOOKUP(MONTH($A22),DOTWMonth,2,FALSE),"")</f>
        <v>October</v>
      </c>
      <c r="C22" s="10" t="str">
        <f>IF(A22&gt;$B$1,VLOOKUP(WEEKDAY($A22),DOTWMonth,3,FALSE),"")</f>
        <v>Friday</v>
      </c>
      <c r="D22" s="7">
        <f>IF('[1]Game Input'!$B22&lt;&gt;"",'[1]Game Input'!$B22,"")</f>
        <v>0.79513888888888884</v>
      </c>
      <c r="E22" s="7">
        <f>IF('[1]Game Input'!$C22&lt;&gt;"",'[1]Game Input'!$C22,"")</f>
        <v>0.75347222222222221</v>
      </c>
      <c r="F22" s="8" t="str">
        <f>IF('[1]Game Input'!$D22&lt;&gt;"",'[1]Game Input'!$D22,"")</f>
        <v>Daylight</v>
      </c>
      <c r="G22" s="8" t="str">
        <f>IF('[1]Game Input'!$G22&lt;&gt;"",'[1]Game Input'!$G22,"")</f>
        <v>MUS @ YNG</v>
      </c>
      <c r="H22" s="8" t="str">
        <f>IF('[1]Game Input'!$H22&lt;&gt;"",'[1]Game Input'!$H22,"")</f>
        <v>Vs. Conference</v>
      </c>
      <c r="I22" s="8" t="str">
        <f>IF('[1]Game Input'!$I22&lt;&gt;"",'[1]Game Input'!$I22,"")</f>
        <v>MUSKEGON</v>
      </c>
      <c r="J22" s="9">
        <f>IF('[1]Game Input'!$AC22&lt;&gt;"",'[1]Game Input'!$AC22,"")</f>
        <v>12</v>
      </c>
      <c r="K22" s="9">
        <f>IF('[1]Game Input'!$AD22&lt;&gt;"",'[1]Game Input'!$AD22,"")</f>
        <v>6</v>
      </c>
      <c r="L22" s="9">
        <f>IF('[1]Game Input'!$AJ22&lt;&gt;"",'[1]Game Input'!$AJ22,"")</f>
        <v>0</v>
      </c>
      <c r="M22" s="9">
        <f>IF('[1]Game Input'!$AK22&lt;&gt;"",'[1]Game Input'!$AK22,"")</f>
        <v>0</v>
      </c>
      <c r="N22" s="9">
        <f>IF('[1]Game Input'!$AN22&lt;&gt;"",'[1]Game Input'!$AN22,"")</f>
        <v>6</v>
      </c>
      <c r="O22" s="9">
        <f>IF('[1]Game Input'!$AO22&lt;&gt;"",'[1]Game Input'!$AO22,"")</f>
        <v>0</v>
      </c>
      <c r="P22" s="9">
        <f>IF('[1]Game Input'!$AP22&lt;&gt;"",'[1]Game Input'!$AP22,"")</f>
        <v>0</v>
      </c>
      <c r="Q22" s="9">
        <f>IF('[1]Game Input'!$AQ22&lt;&gt;"",'[1]Game Input'!$AQ22,"")</f>
        <v>0</v>
      </c>
      <c r="R22" s="9">
        <f>IF('[1]Game Input'!$AR22&lt;&gt;"",'[1]Game Input'!$AR22,"")</f>
        <v>0</v>
      </c>
      <c r="S22" s="9">
        <f>IF('[1]Game Input'!$AS22&lt;&gt;"",'[1]Game Input'!$AS22,"")</f>
        <v>0</v>
      </c>
      <c r="T22" s="10" t="str">
        <f>IF('[1]Game Input'!$BA22&lt;&gt;"",'[1]Game Input'!$BA22,"")</f>
        <v>YOUNGSTOWN</v>
      </c>
      <c r="U22" s="9">
        <f>IF('[1]Game Input'!$BU22&lt;&gt;"",'[1]Game Input'!$BU22,"")</f>
        <v>12</v>
      </c>
      <c r="V22" s="9">
        <f>IF('[1]Game Input'!$BV22&lt;&gt;"",'[1]Game Input'!$BV22,"")</f>
        <v>6</v>
      </c>
      <c r="W22" s="9">
        <f>IF('[1]Game Input'!$CB22&lt;&gt;"",'[1]Game Input'!$CB22,"")</f>
        <v>0</v>
      </c>
      <c r="X22" s="9">
        <f>IF('[1]Game Input'!$CC22&lt;&gt;"",'[1]Game Input'!$CC22,"")</f>
        <v>0</v>
      </c>
      <c r="Y22" s="9">
        <f>IF('[1]Game Input'!$CF22&lt;&gt;"",'[1]Game Input'!$CF22,"")</f>
        <v>6</v>
      </c>
      <c r="Z22" s="9">
        <f>IF('[1]Game Input'!$CG22&lt;&gt;"",'[1]Game Input'!$CG22,"")</f>
        <v>0</v>
      </c>
      <c r="AA22" s="9">
        <f>IF('[1]Game Input'!$CH22&lt;&gt;"",'[1]Game Input'!$CH22,"")</f>
        <v>0</v>
      </c>
      <c r="AB22" s="9">
        <f>IF('[1]Game Input'!$CI22&lt;&gt;"",'[1]Game Input'!$CI22,"")</f>
        <v>0</v>
      </c>
      <c r="AC22" s="9">
        <f>IF('[1]Game Input'!$CJ22&lt;&gt;"",'[1]Game Input'!$CJ22,"")</f>
        <v>0</v>
      </c>
      <c r="AD22" s="9">
        <f>IF('[1]Game Input'!$CK22&lt;&gt;"",'[1]Game Input'!$CK22,"")</f>
        <v>0</v>
      </c>
      <c r="AE22" s="8"/>
      <c r="AF22" s="8"/>
      <c r="AG22" s="8"/>
      <c r="AH22" s="8"/>
    </row>
    <row r="23" spans="1:34" x14ac:dyDescent="0.2">
      <c r="A23" s="6">
        <f>IF('[1]Game Input'!$A23&lt;&gt;"",'[1]Game Input'!$A23,"")</f>
        <v>43378</v>
      </c>
      <c r="B23" s="6" t="str">
        <f>IF(A23&gt;$B$1,VLOOKUP(MONTH($A23),DOTWMonth,2,FALSE),"")</f>
        <v>October</v>
      </c>
      <c r="C23" s="10" t="str">
        <f>IF(A23&gt;$B$1,VLOOKUP(WEEKDAY($A23),DOTWMonth,3,FALSE),"")</f>
        <v>Friday</v>
      </c>
      <c r="D23" s="7">
        <f>IF('[1]Game Input'!$B23&lt;&gt;"",'[1]Game Input'!$B23,"")</f>
        <v>0.83680555555555547</v>
      </c>
      <c r="E23" s="7">
        <f>IF('[1]Game Input'!$C23&lt;&gt;"",'[1]Game Input'!$C23,"")</f>
        <v>0.79513888888888884</v>
      </c>
      <c r="F23" s="8" t="str">
        <f>IF('[1]Game Input'!$D23&lt;&gt;"",'[1]Game Input'!$D23,"")</f>
        <v>Daylight</v>
      </c>
      <c r="G23" s="8" t="str">
        <f>IF('[1]Game Input'!$G23&lt;&gt;"",'[1]Game Input'!$G23,"")</f>
        <v>CR @ CHI</v>
      </c>
      <c r="H23" s="8" t="str">
        <f>IF('[1]Game Input'!$H23&lt;&gt;"",'[1]Game Input'!$H23,"")</f>
        <v>Vs. Conference</v>
      </c>
      <c r="I23" s="8" t="str">
        <f>IF('[1]Game Input'!$I23&lt;&gt;"",'[1]Game Input'!$I23,"")</f>
        <v>CEDAR RAPIDS</v>
      </c>
      <c r="J23" s="9">
        <f>IF('[1]Game Input'!$AC23&lt;&gt;"",'[1]Game Input'!$AC23,"")</f>
        <v>27</v>
      </c>
      <c r="K23" s="9">
        <f>IF('[1]Game Input'!$AD23&lt;&gt;"",'[1]Game Input'!$AD23,"")</f>
        <v>8</v>
      </c>
      <c r="L23" s="9">
        <f>IF('[1]Game Input'!$AJ23&lt;&gt;"",'[1]Game Input'!$AJ23,"")</f>
        <v>0</v>
      </c>
      <c r="M23" s="9">
        <f>IF('[1]Game Input'!$AK23&lt;&gt;"",'[1]Game Input'!$AK23,"")</f>
        <v>0</v>
      </c>
      <c r="N23" s="9">
        <f>IF('[1]Game Input'!$AN23&lt;&gt;"",'[1]Game Input'!$AN23,"")</f>
        <v>6</v>
      </c>
      <c r="O23" s="9">
        <f>IF('[1]Game Input'!$AO23&lt;&gt;"",'[1]Game Input'!$AO23,"")</f>
        <v>1</v>
      </c>
      <c r="P23" s="9">
        <f>IF('[1]Game Input'!$AP23&lt;&gt;"",'[1]Game Input'!$AP23,"")</f>
        <v>1</v>
      </c>
      <c r="Q23" s="9">
        <f>IF('[1]Game Input'!$AQ23&lt;&gt;"",'[1]Game Input'!$AQ23,"")</f>
        <v>0</v>
      </c>
      <c r="R23" s="9">
        <f>IF('[1]Game Input'!$AR23&lt;&gt;"",'[1]Game Input'!$AR23,"")</f>
        <v>0</v>
      </c>
      <c r="S23" s="9">
        <f>IF('[1]Game Input'!$AS23&lt;&gt;"",'[1]Game Input'!$AS23,"")</f>
        <v>0</v>
      </c>
      <c r="T23" s="10" t="str">
        <f>IF('[1]Game Input'!$BA23&lt;&gt;"",'[1]Game Input'!$BA23,"")</f>
        <v>CHICAGO</v>
      </c>
      <c r="U23" s="9">
        <f>IF('[1]Game Input'!$BU23&lt;&gt;"",'[1]Game Input'!$BU23,"")</f>
        <v>23</v>
      </c>
      <c r="V23" s="9">
        <f>IF('[1]Game Input'!$BV23&lt;&gt;"",'[1]Game Input'!$BV23,"")</f>
        <v>6</v>
      </c>
      <c r="W23" s="9">
        <f>IF('[1]Game Input'!$CB23&lt;&gt;"",'[1]Game Input'!$CB23,"")</f>
        <v>0</v>
      </c>
      <c r="X23" s="9">
        <f>IF('[1]Game Input'!$CC23&lt;&gt;"",'[1]Game Input'!$CC23,"")</f>
        <v>0</v>
      </c>
      <c r="Y23" s="9">
        <f>IF('[1]Game Input'!$CF23&lt;&gt;"",'[1]Game Input'!$CF23,"")</f>
        <v>4</v>
      </c>
      <c r="Z23" s="9">
        <f>IF('[1]Game Input'!$CG23&lt;&gt;"",'[1]Game Input'!$CG23,"")</f>
        <v>1</v>
      </c>
      <c r="AA23" s="9">
        <f>IF('[1]Game Input'!$CH23&lt;&gt;"",'[1]Game Input'!$CH23,"")</f>
        <v>1</v>
      </c>
      <c r="AB23" s="9">
        <f>IF('[1]Game Input'!$CI23&lt;&gt;"",'[1]Game Input'!$CI23,"")</f>
        <v>0</v>
      </c>
      <c r="AC23" s="9">
        <f>IF('[1]Game Input'!$CJ23&lt;&gt;"",'[1]Game Input'!$CJ23,"")</f>
        <v>0</v>
      </c>
      <c r="AD23" s="9">
        <f>IF('[1]Game Input'!$CK23&lt;&gt;"",'[1]Game Input'!$CK23,"")</f>
        <v>0</v>
      </c>
      <c r="AE23" s="8" t="s">
        <v>97</v>
      </c>
      <c r="AF23" s="8"/>
      <c r="AG23" s="8" t="s">
        <v>108</v>
      </c>
      <c r="AH23" s="8" t="s">
        <v>120</v>
      </c>
    </row>
    <row r="24" spans="1:34" x14ac:dyDescent="0.2">
      <c r="A24" s="6">
        <f>IF('[1]Game Input'!$A24&lt;&gt;"",'[1]Game Input'!$A24,"")</f>
        <v>43378</v>
      </c>
      <c r="B24" s="6" t="str">
        <f>IF(A24&gt;$B$1,VLOOKUP(MONTH($A24),DOTWMonth,2,FALSE),"")</f>
        <v>October</v>
      </c>
      <c r="C24" s="10" t="str">
        <f>IF(A24&gt;$B$1,VLOOKUP(WEEKDAY($A24),DOTWMonth,3,FALSE),"")</f>
        <v>Friday</v>
      </c>
      <c r="D24" s="7">
        <f>IF('[1]Game Input'!$B24&lt;&gt;"",'[1]Game Input'!$B24,"")</f>
        <v>0.83680555555555547</v>
      </c>
      <c r="E24" s="7">
        <f>IF('[1]Game Input'!$C24&lt;&gt;"",'[1]Game Input'!$C24,"")</f>
        <v>0.79513888888888884</v>
      </c>
      <c r="F24" s="8" t="str">
        <f>IF('[1]Game Input'!$D24&lt;&gt;"",'[1]Game Input'!$D24,"")</f>
        <v>Daylight</v>
      </c>
      <c r="G24" s="8" t="str">
        <f>IF('[1]Game Input'!$G24&lt;&gt;"",'[1]Game Input'!$G24,"")</f>
        <v>WAT @ DM</v>
      </c>
      <c r="H24" s="8" t="str">
        <f>IF('[1]Game Input'!$H24&lt;&gt;"",'[1]Game Input'!$H24,"")</f>
        <v>Vs. Conference</v>
      </c>
      <c r="I24" s="8" t="str">
        <f>IF('[1]Game Input'!$I24&lt;&gt;"",'[1]Game Input'!$I24,"")</f>
        <v>WATERLOO</v>
      </c>
      <c r="J24" s="9">
        <f>IF('[1]Game Input'!$AC24&lt;&gt;"",'[1]Game Input'!$AC24,"")</f>
        <v>12</v>
      </c>
      <c r="K24" s="9">
        <f>IF('[1]Game Input'!$AD24&lt;&gt;"",'[1]Game Input'!$AD24,"")</f>
        <v>6</v>
      </c>
      <c r="L24" s="9">
        <f>IF('[1]Game Input'!$AJ24&lt;&gt;"",'[1]Game Input'!$AJ24,"")</f>
        <v>0</v>
      </c>
      <c r="M24" s="9">
        <f>IF('[1]Game Input'!$AK24&lt;&gt;"",'[1]Game Input'!$AK24,"")</f>
        <v>0</v>
      </c>
      <c r="N24" s="9">
        <f>IF('[1]Game Input'!$AN24&lt;&gt;"",'[1]Game Input'!$AN24,"")</f>
        <v>6</v>
      </c>
      <c r="O24" s="9">
        <f>IF('[1]Game Input'!$AO24&lt;&gt;"",'[1]Game Input'!$AO24,"")</f>
        <v>0</v>
      </c>
      <c r="P24" s="9">
        <f>IF('[1]Game Input'!$AP24&lt;&gt;"",'[1]Game Input'!$AP24,"")</f>
        <v>0</v>
      </c>
      <c r="Q24" s="9">
        <f>IF('[1]Game Input'!$AQ24&lt;&gt;"",'[1]Game Input'!$AQ24,"")</f>
        <v>0</v>
      </c>
      <c r="R24" s="9">
        <f>IF('[1]Game Input'!$AR24&lt;&gt;"",'[1]Game Input'!$AR24,"")</f>
        <v>0</v>
      </c>
      <c r="S24" s="9">
        <f>IF('[1]Game Input'!$AS24&lt;&gt;"",'[1]Game Input'!$AS24,"")</f>
        <v>0</v>
      </c>
      <c r="T24" s="10" t="str">
        <f>IF('[1]Game Input'!$BA24&lt;&gt;"",'[1]Game Input'!$BA24,"")</f>
        <v>DES MOINES</v>
      </c>
      <c r="U24" s="9">
        <f>IF('[1]Game Input'!$BU24&lt;&gt;"",'[1]Game Input'!$BU24,"")</f>
        <v>23</v>
      </c>
      <c r="V24" s="9">
        <f>IF('[1]Game Input'!$BV24&lt;&gt;"",'[1]Game Input'!$BV24,"")</f>
        <v>6</v>
      </c>
      <c r="W24" s="9">
        <f>IF('[1]Game Input'!$CB24&lt;&gt;"",'[1]Game Input'!$CB24,"")</f>
        <v>0</v>
      </c>
      <c r="X24" s="9">
        <f>IF('[1]Game Input'!$CC24&lt;&gt;"",'[1]Game Input'!$CC24,"")</f>
        <v>0</v>
      </c>
      <c r="Y24" s="9">
        <f>IF('[1]Game Input'!$CF24&lt;&gt;"",'[1]Game Input'!$CF24,"")</f>
        <v>4</v>
      </c>
      <c r="Z24" s="9">
        <f>IF('[1]Game Input'!$CG24&lt;&gt;"",'[1]Game Input'!$CG24,"")</f>
        <v>1</v>
      </c>
      <c r="AA24" s="9">
        <f>IF('[1]Game Input'!$CH24&lt;&gt;"",'[1]Game Input'!$CH24,"")</f>
        <v>0</v>
      </c>
      <c r="AB24" s="9">
        <f>IF('[1]Game Input'!$CI24&lt;&gt;"",'[1]Game Input'!$CI24,"")</f>
        <v>1</v>
      </c>
      <c r="AC24" s="9">
        <f>IF('[1]Game Input'!$CJ24&lt;&gt;"",'[1]Game Input'!$CJ24,"")</f>
        <v>0</v>
      </c>
      <c r="AD24" s="9">
        <f>IF('[1]Game Input'!$CK24&lt;&gt;"",'[1]Game Input'!$CK24,"")</f>
        <v>0</v>
      </c>
      <c r="AE24" s="8" t="s">
        <v>95</v>
      </c>
      <c r="AF24" s="8"/>
      <c r="AG24" s="8" t="s">
        <v>115</v>
      </c>
      <c r="AH24" s="8" t="s">
        <v>111</v>
      </c>
    </row>
    <row r="25" spans="1:34" x14ac:dyDescent="0.2">
      <c r="A25" s="6">
        <f>IF('[1]Game Input'!$A25&lt;&gt;"",'[1]Game Input'!$A25,"")</f>
        <v>43378</v>
      </c>
      <c r="B25" s="6" t="str">
        <f>IF(A25&gt;$B$1,VLOOKUP(MONTH($A25),DOTWMonth,2,FALSE),"")</f>
        <v>October</v>
      </c>
      <c r="C25" s="10" t="str">
        <f>IF(A25&gt;$B$1,VLOOKUP(WEEKDAY($A25),DOTWMonth,3,FALSE),"")</f>
        <v>Friday</v>
      </c>
      <c r="D25" s="7">
        <f>IF('[1]Game Input'!$B25&lt;&gt;"",'[1]Game Input'!$B25,"")</f>
        <v>0.83680555555555547</v>
      </c>
      <c r="E25" s="7">
        <f>IF('[1]Game Input'!$C25&lt;&gt;"",'[1]Game Input'!$C25,"")</f>
        <v>0.79513888888888884</v>
      </c>
      <c r="F25" s="8" t="str">
        <f>IF('[1]Game Input'!$D25&lt;&gt;"",'[1]Game Input'!$D25,"")</f>
        <v>Daylight</v>
      </c>
      <c r="G25" s="8" t="str">
        <f>IF('[1]Game Input'!$G25&lt;&gt;"",'[1]Game Input'!$G25,"")</f>
        <v>SF @ FGO</v>
      </c>
      <c r="H25" s="8" t="str">
        <f>IF('[1]Game Input'!$H25&lt;&gt;"",'[1]Game Input'!$H25,"")</f>
        <v>Vs. Conference</v>
      </c>
      <c r="I25" s="8" t="str">
        <f>IF('[1]Game Input'!$I25&lt;&gt;"",'[1]Game Input'!$I25,"")</f>
        <v>SIOUX FALLS</v>
      </c>
      <c r="J25" s="9">
        <f>IF('[1]Game Input'!$AC25&lt;&gt;"",'[1]Game Input'!$AC25,"")</f>
        <v>4</v>
      </c>
      <c r="K25" s="9">
        <f>IF('[1]Game Input'!$AD25&lt;&gt;"",'[1]Game Input'!$AD25,"")</f>
        <v>2</v>
      </c>
      <c r="L25" s="9">
        <f>IF('[1]Game Input'!$AJ25&lt;&gt;"",'[1]Game Input'!$AJ25,"")</f>
        <v>0</v>
      </c>
      <c r="M25" s="9">
        <f>IF('[1]Game Input'!$AK25&lt;&gt;"",'[1]Game Input'!$AK25,"")</f>
        <v>0</v>
      </c>
      <c r="N25" s="9">
        <f>IF('[1]Game Input'!$AN25&lt;&gt;"",'[1]Game Input'!$AN25,"")</f>
        <v>2</v>
      </c>
      <c r="O25" s="9">
        <f>IF('[1]Game Input'!$AO25&lt;&gt;"",'[1]Game Input'!$AO25,"")</f>
        <v>0</v>
      </c>
      <c r="P25" s="9">
        <f>IF('[1]Game Input'!$AP25&lt;&gt;"",'[1]Game Input'!$AP25,"")</f>
        <v>0</v>
      </c>
      <c r="Q25" s="9">
        <f>IF('[1]Game Input'!$AQ25&lt;&gt;"",'[1]Game Input'!$AQ25,"")</f>
        <v>0</v>
      </c>
      <c r="R25" s="9">
        <f>IF('[1]Game Input'!$AR25&lt;&gt;"",'[1]Game Input'!$AR25,"")</f>
        <v>0</v>
      </c>
      <c r="S25" s="9">
        <f>IF('[1]Game Input'!$AS25&lt;&gt;"",'[1]Game Input'!$AS25,"")</f>
        <v>0</v>
      </c>
      <c r="T25" s="10" t="str">
        <f>IF('[1]Game Input'!$BA25&lt;&gt;"",'[1]Game Input'!$BA25,"")</f>
        <v>FARGO</v>
      </c>
      <c r="U25" s="9">
        <f>IF('[1]Game Input'!$BU25&lt;&gt;"",'[1]Game Input'!$BU25,"")</f>
        <v>8</v>
      </c>
      <c r="V25" s="9">
        <f>IF('[1]Game Input'!$BV25&lt;&gt;"",'[1]Game Input'!$BV25,"")</f>
        <v>4</v>
      </c>
      <c r="W25" s="9">
        <f>IF('[1]Game Input'!$CB25&lt;&gt;"",'[1]Game Input'!$CB25,"")</f>
        <v>0</v>
      </c>
      <c r="X25" s="9">
        <f>IF('[1]Game Input'!$CC25&lt;&gt;"",'[1]Game Input'!$CC25,"")</f>
        <v>0</v>
      </c>
      <c r="Y25" s="9">
        <f>IF('[1]Game Input'!$CF25&lt;&gt;"",'[1]Game Input'!$CF25,"")</f>
        <v>4</v>
      </c>
      <c r="Z25" s="9">
        <f>IF('[1]Game Input'!$CG25&lt;&gt;"",'[1]Game Input'!$CG25,"")</f>
        <v>0</v>
      </c>
      <c r="AA25" s="9">
        <f>IF('[1]Game Input'!$CH25&lt;&gt;"",'[1]Game Input'!$CH25,"")</f>
        <v>0</v>
      </c>
      <c r="AB25" s="9">
        <f>IF('[1]Game Input'!$CI25&lt;&gt;"",'[1]Game Input'!$CI25,"")</f>
        <v>0</v>
      </c>
      <c r="AC25" s="9">
        <f>IF('[1]Game Input'!$CJ25&lt;&gt;"",'[1]Game Input'!$CJ25,"")</f>
        <v>0</v>
      </c>
      <c r="AD25" s="9">
        <f>IF('[1]Game Input'!$CK25&lt;&gt;"",'[1]Game Input'!$CK25,"")</f>
        <v>0</v>
      </c>
      <c r="AE25" s="8"/>
      <c r="AF25" s="8"/>
      <c r="AG25" s="8"/>
      <c r="AH25" s="8"/>
    </row>
    <row r="26" spans="1:34" x14ac:dyDescent="0.2">
      <c r="A26" s="6">
        <f>IF('[1]Game Input'!$A26&lt;&gt;"",'[1]Game Input'!$A26,"")</f>
        <v>43378</v>
      </c>
      <c r="B26" s="6" t="str">
        <f>IF(A26&gt;$B$1,VLOOKUP(MONTH($A26),DOTWMonth,2,FALSE),"")</f>
        <v>October</v>
      </c>
      <c r="C26" s="10" t="str">
        <f>IF(A26&gt;$B$1,VLOOKUP(WEEKDAY($A26),DOTWMonth,3,FALSE),"")</f>
        <v>Friday</v>
      </c>
      <c r="D26" s="7">
        <f>IF('[1]Game Input'!$B26&lt;&gt;"",'[1]Game Input'!$B26,"")</f>
        <v>0.83680555555555547</v>
      </c>
      <c r="E26" s="7">
        <f>IF('[1]Game Input'!$C26&lt;&gt;"",'[1]Game Input'!$C26,"")</f>
        <v>0.79513888888888884</v>
      </c>
      <c r="F26" s="8" t="str">
        <f>IF('[1]Game Input'!$D26&lt;&gt;"",'[1]Game Input'!$D26,"")</f>
        <v>Daylight</v>
      </c>
      <c r="G26" s="8" t="str">
        <f>IF('[1]Game Input'!$G26&lt;&gt;"",'[1]Game Input'!$G26,"")</f>
        <v>OMA @ LIN</v>
      </c>
      <c r="H26" s="8" t="str">
        <f>IF('[1]Game Input'!$H26&lt;&gt;"",'[1]Game Input'!$H26,"")</f>
        <v>Vs. Conference</v>
      </c>
      <c r="I26" s="8" t="str">
        <f>IF('[1]Game Input'!$I26&lt;&gt;"",'[1]Game Input'!$I26,"")</f>
        <v>OMAHA</v>
      </c>
      <c r="J26" s="9">
        <f>IF('[1]Game Input'!$AC26&lt;&gt;"",'[1]Game Input'!$AC26,"")</f>
        <v>61</v>
      </c>
      <c r="K26" s="9">
        <f>IF('[1]Game Input'!$AD26&lt;&gt;"",'[1]Game Input'!$AD26,"")</f>
        <v>14</v>
      </c>
      <c r="L26" s="9">
        <f>IF('[1]Game Input'!$AJ26&lt;&gt;"",'[1]Game Input'!$AJ26,"")</f>
        <v>0</v>
      </c>
      <c r="M26" s="9">
        <f>IF('[1]Game Input'!$AK26&lt;&gt;"",'[1]Game Input'!$AK26,"")</f>
        <v>0</v>
      </c>
      <c r="N26" s="9">
        <f>IF('[1]Game Input'!$AN26&lt;&gt;"",'[1]Game Input'!$AN26,"")</f>
        <v>8</v>
      </c>
      <c r="O26" s="9">
        <f>IF('[1]Game Input'!$AO26&lt;&gt;"",'[1]Game Input'!$AO26,"")</f>
        <v>3</v>
      </c>
      <c r="P26" s="9">
        <f>IF('[1]Game Input'!$AP26&lt;&gt;"",'[1]Game Input'!$AP26,"")</f>
        <v>3</v>
      </c>
      <c r="Q26" s="9">
        <f>IF('[1]Game Input'!$AQ26&lt;&gt;"",'[1]Game Input'!$AQ26,"")</f>
        <v>0</v>
      </c>
      <c r="R26" s="9">
        <f>IF('[1]Game Input'!$AR26&lt;&gt;"",'[1]Game Input'!$AR26,"")</f>
        <v>0</v>
      </c>
      <c r="S26" s="9">
        <f>IF('[1]Game Input'!$AS26&lt;&gt;"",'[1]Game Input'!$AS26,"")</f>
        <v>0</v>
      </c>
      <c r="T26" s="10" t="str">
        <f>IF('[1]Game Input'!$BA26&lt;&gt;"",'[1]Game Input'!$BA26,"")</f>
        <v>LINCOLN</v>
      </c>
      <c r="U26" s="9">
        <f>IF('[1]Game Input'!$BU26&lt;&gt;"",'[1]Game Input'!$BU26,"")</f>
        <v>57</v>
      </c>
      <c r="V26" s="9">
        <f>IF('[1]Game Input'!$BV26&lt;&gt;"",'[1]Game Input'!$BV26,"")</f>
        <v>12</v>
      </c>
      <c r="W26" s="9">
        <f>IF('[1]Game Input'!$CB26&lt;&gt;"",'[1]Game Input'!$CB26,"")</f>
        <v>0</v>
      </c>
      <c r="X26" s="9">
        <f>IF('[1]Game Input'!$CC26&lt;&gt;"",'[1]Game Input'!$CC26,"")</f>
        <v>0</v>
      </c>
      <c r="Y26" s="9">
        <f>IF('[1]Game Input'!$CF26&lt;&gt;"",'[1]Game Input'!$CF26,"")</f>
        <v>6</v>
      </c>
      <c r="Z26" s="9">
        <f>IF('[1]Game Input'!$CG26&lt;&gt;"",'[1]Game Input'!$CG26,"")</f>
        <v>3</v>
      </c>
      <c r="AA26" s="9">
        <f>IF('[1]Game Input'!$CH26&lt;&gt;"",'[1]Game Input'!$CH26,"")</f>
        <v>3</v>
      </c>
      <c r="AB26" s="9">
        <f>IF('[1]Game Input'!$CI26&lt;&gt;"",'[1]Game Input'!$CI26,"")</f>
        <v>0</v>
      </c>
      <c r="AC26" s="9">
        <f>IF('[1]Game Input'!$CJ26&lt;&gt;"",'[1]Game Input'!$CJ26,"")</f>
        <v>0</v>
      </c>
      <c r="AD26" s="9">
        <f>IF('[1]Game Input'!$CK26&lt;&gt;"",'[1]Game Input'!$CK26,"")</f>
        <v>0</v>
      </c>
      <c r="AE26" s="8"/>
      <c r="AF26" s="8"/>
      <c r="AG26" s="8"/>
      <c r="AH26" s="8"/>
    </row>
    <row r="27" spans="1:34" x14ac:dyDescent="0.2">
      <c r="A27" s="6">
        <f>IF('[1]Game Input'!$A27&lt;&gt;"",'[1]Game Input'!$A27,"")</f>
        <v>43378</v>
      </c>
      <c r="B27" s="6" t="str">
        <f>IF(A27&gt;$B$1,VLOOKUP(MONTH($A27),DOTWMonth,2,FALSE),"")</f>
        <v>October</v>
      </c>
      <c r="C27" s="10" t="str">
        <f>IF(A27&gt;$B$1,VLOOKUP(WEEKDAY($A27),DOTWMonth,3,FALSE),"")</f>
        <v>Friday</v>
      </c>
      <c r="D27" s="7">
        <f>IF('[1]Game Input'!$B27&lt;&gt;"",'[1]Game Input'!$B27,"")</f>
        <v>0.83680555555555547</v>
      </c>
      <c r="E27" s="7">
        <f>IF('[1]Game Input'!$C27&lt;&gt;"",'[1]Game Input'!$C27,"")</f>
        <v>0.79513888888888884</v>
      </c>
      <c r="F27" s="8" t="str">
        <f>IF('[1]Game Input'!$D27&lt;&gt;"",'[1]Game Input'!$D27,"")</f>
        <v>Daylight</v>
      </c>
      <c r="G27" s="8" t="str">
        <f>IF('[1]Game Input'!$G27&lt;&gt;"",'[1]Game Input'!$G27,"")</f>
        <v>SC @ GB</v>
      </c>
      <c r="H27" s="8" t="str">
        <f>IF('[1]Game Input'!$H27&lt;&gt;"",'[1]Game Input'!$H27,"")</f>
        <v>Vs. Non-Conference</v>
      </c>
      <c r="I27" s="8" t="str">
        <f>IF('[1]Game Input'!$I27&lt;&gt;"",'[1]Game Input'!$I27,"")</f>
        <v>SIOUX CITY</v>
      </c>
      <c r="J27" s="9">
        <f>IF('[1]Game Input'!$AC27&lt;&gt;"",'[1]Game Input'!$AC27,"")</f>
        <v>8</v>
      </c>
      <c r="K27" s="9">
        <f>IF('[1]Game Input'!$AD27&lt;&gt;"",'[1]Game Input'!$AD27,"")</f>
        <v>4</v>
      </c>
      <c r="L27" s="9">
        <f>IF('[1]Game Input'!$AJ27&lt;&gt;"",'[1]Game Input'!$AJ27,"")</f>
        <v>0</v>
      </c>
      <c r="M27" s="9">
        <f>IF('[1]Game Input'!$AK27&lt;&gt;"",'[1]Game Input'!$AK27,"")</f>
        <v>0</v>
      </c>
      <c r="N27" s="9">
        <f>IF('[1]Game Input'!$AN27&lt;&gt;"",'[1]Game Input'!$AN27,"")</f>
        <v>4</v>
      </c>
      <c r="O27" s="9">
        <f>IF('[1]Game Input'!$AO27&lt;&gt;"",'[1]Game Input'!$AO27,"")</f>
        <v>0</v>
      </c>
      <c r="P27" s="9">
        <f>IF('[1]Game Input'!$AP27&lt;&gt;"",'[1]Game Input'!$AP27,"")</f>
        <v>0</v>
      </c>
      <c r="Q27" s="9">
        <f>IF('[1]Game Input'!$AQ27&lt;&gt;"",'[1]Game Input'!$AQ27,"")</f>
        <v>0</v>
      </c>
      <c r="R27" s="9">
        <f>IF('[1]Game Input'!$AR27&lt;&gt;"",'[1]Game Input'!$AR27,"")</f>
        <v>0</v>
      </c>
      <c r="S27" s="9">
        <f>IF('[1]Game Input'!$AS27&lt;&gt;"",'[1]Game Input'!$AS27,"")</f>
        <v>0</v>
      </c>
      <c r="T27" s="10" t="str">
        <f>IF('[1]Game Input'!$BA27&lt;&gt;"",'[1]Game Input'!$BA27,"")</f>
        <v>GREEN BAY</v>
      </c>
      <c r="U27" s="9">
        <f>IF('[1]Game Input'!$BU27&lt;&gt;"",'[1]Game Input'!$BU27,"")</f>
        <v>2</v>
      </c>
      <c r="V27" s="9">
        <f>IF('[1]Game Input'!$BV27&lt;&gt;"",'[1]Game Input'!$BV27,"")</f>
        <v>1</v>
      </c>
      <c r="W27" s="9">
        <f>IF('[1]Game Input'!$CB27&lt;&gt;"",'[1]Game Input'!$CB27,"")</f>
        <v>0</v>
      </c>
      <c r="X27" s="9">
        <f>IF('[1]Game Input'!$CC27&lt;&gt;"",'[1]Game Input'!$CC27,"")</f>
        <v>0</v>
      </c>
      <c r="Y27" s="9">
        <f>IF('[1]Game Input'!$CF27&lt;&gt;"",'[1]Game Input'!$CF27,"")</f>
        <v>1</v>
      </c>
      <c r="Z27" s="9">
        <f>IF('[1]Game Input'!$CG27&lt;&gt;"",'[1]Game Input'!$CG27,"")</f>
        <v>0</v>
      </c>
      <c r="AA27" s="9">
        <f>IF('[1]Game Input'!$CH27&lt;&gt;"",'[1]Game Input'!$CH27,"")</f>
        <v>0</v>
      </c>
      <c r="AB27" s="9">
        <f>IF('[1]Game Input'!$CI27&lt;&gt;"",'[1]Game Input'!$CI27,"")</f>
        <v>0</v>
      </c>
      <c r="AC27" s="9">
        <f>IF('[1]Game Input'!$CJ27&lt;&gt;"",'[1]Game Input'!$CJ27,"")</f>
        <v>0</v>
      </c>
      <c r="AD27" s="9">
        <f>IF('[1]Game Input'!$CK27&lt;&gt;"",'[1]Game Input'!$CK27,"")</f>
        <v>0</v>
      </c>
      <c r="AE27" s="8"/>
      <c r="AF27" s="8"/>
      <c r="AG27" s="8"/>
      <c r="AH27" s="8"/>
    </row>
    <row r="28" spans="1:34" x14ac:dyDescent="0.2">
      <c r="A28" s="6">
        <f>IF('[1]Game Input'!$A28&lt;&gt;"",'[1]Game Input'!$A28,"")</f>
        <v>43379</v>
      </c>
      <c r="B28" s="6" t="str">
        <f>IF(A28&gt;$B$1,VLOOKUP(MONTH($A28),DOTWMonth,2,FALSE),"")</f>
        <v>October</v>
      </c>
      <c r="C28" s="10" t="str">
        <f>IF(A28&gt;$B$1,VLOOKUP(WEEKDAY($A28),DOTWMonth,3,FALSE),"")</f>
        <v>Saturday</v>
      </c>
      <c r="D28" s="7">
        <f>IF('[1]Game Input'!$B28&lt;&gt;"",'[1]Game Input'!$B28,"")</f>
        <v>0.79166666666666663</v>
      </c>
      <c r="E28" s="7">
        <f>IF('[1]Game Input'!$C28&lt;&gt;"",'[1]Game Input'!$C28,"")</f>
        <v>0.75</v>
      </c>
      <c r="F28" s="8" t="str">
        <f>IF('[1]Game Input'!$D28&lt;&gt;"",'[1]Game Input'!$D28,"")</f>
        <v>Daylight</v>
      </c>
      <c r="G28" s="8" t="str">
        <f>IF('[1]Game Input'!$G28&lt;&gt;"",'[1]Game Input'!$G28,"")</f>
        <v>MAD @ USA</v>
      </c>
      <c r="H28" s="8" t="str">
        <f>IF('[1]Game Input'!$H28&lt;&gt;"",'[1]Game Input'!$H28,"")</f>
        <v>Vs. Conference</v>
      </c>
      <c r="I28" s="8" t="str">
        <f>IF('[1]Game Input'!$I28&lt;&gt;"",'[1]Game Input'!$I28,"")</f>
        <v>MADISON</v>
      </c>
      <c r="J28" s="9">
        <f>IF('[1]Game Input'!$AC28&lt;&gt;"",'[1]Game Input'!$AC28,"")</f>
        <v>14</v>
      </c>
      <c r="K28" s="9">
        <f>IF('[1]Game Input'!$AD28&lt;&gt;"",'[1]Game Input'!$AD28,"")</f>
        <v>4</v>
      </c>
      <c r="L28" s="9">
        <f>IF('[1]Game Input'!$AJ28&lt;&gt;"",'[1]Game Input'!$AJ28,"")</f>
        <v>0</v>
      </c>
      <c r="M28" s="9">
        <f>IF('[1]Game Input'!$AK28&lt;&gt;"",'[1]Game Input'!$AK28,"")</f>
        <v>0</v>
      </c>
      <c r="N28" s="9">
        <f>IF('[1]Game Input'!$AN28&lt;&gt;"",'[1]Game Input'!$AN28,"")</f>
        <v>2</v>
      </c>
      <c r="O28" s="9">
        <f>IF('[1]Game Input'!$AO28&lt;&gt;"",'[1]Game Input'!$AO28,"")</f>
        <v>2</v>
      </c>
      <c r="P28" s="9">
        <f>IF('[1]Game Input'!$AP28&lt;&gt;"",'[1]Game Input'!$AP28,"")</f>
        <v>0</v>
      </c>
      <c r="Q28" s="9">
        <f>IF('[1]Game Input'!$AQ28&lt;&gt;"",'[1]Game Input'!$AQ28,"")</f>
        <v>0</v>
      </c>
      <c r="R28" s="9">
        <f>IF('[1]Game Input'!$AR28&lt;&gt;"",'[1]Game Input'!$AR28,"")</f>
        <v>0</v>
      </c>
      <c r="S28" s="9">
        <f>IF('[1]Game Input'!$AS28&lt;&gt;"",'[1]Game Input'!$AS28,"")</f>
        <v>0</v>
      </c>
      <c r="T28" s="10" t="str">
        <f>IF('[1]Game Input'!$BA28&lt;&gt;"",'[1]Game Input'!$BA28,"")</f>
        <v>TEAM USA</v>
      </c>
      <c r="U28" s="9">
        <f>IF('[1]Game Input'!$BU28&lt;&gt;"",'[1]Game Input'!$BU28,"")</f>
        <v>6</v>
      </c>
      <c r="V28" s="9">
        <f>IF('[1]Game Input'!$BV28&lt;&gt;"",'[1]Game Input'!$BV28,"")</f>
        <v>3</v>
      </c>
      <c r="W28" s="9">
        <f>IF('[1]Game Input'!$CB28&lt;&gt;"",'[1]Game Input'!$CB28,"")</f>
        <v>0</v>
      </c>
      <c r="X28" s="9">
        <f>IF('[1]Game Input'!$CC28&lt;&gt;"",'[1]Game Input'!$CC28,"")</f>
        <v>0</v>
      </c>
      <c r="Y28" s="9">
        <f>IF('[1]Game Input'!$CF28&lt;&gt;"",'[1]Game Input'!$CF28,"")</f>
        <v>3</v>
      </c>
      <c r="Z28" s="9">
        <f>IF('[1]Game Input'!$CG28&lt;&gt;"",'[1]Game Input'!$CG28,"")</f>
        <v>0</v>
      </c>
      <c r="AA28" s="9">
        <f>IF('[1]Game Input'!$CH28&lt;&gt;"",'[1]Game Input'!$CH28,"")</f>
        <v>0</v>
      </c>
      <c r="AB28" s="9">
        <f>IF('[1]Game Input'!$CI28&lt;&gt;"",'[1]Game Input'!$CI28,"")</f>
        <v>0</v>
      </c>
      <c r="AC28" s="9">
        <f>IF('[1]Game Input'!$CJ28&lt;&gt;"",'[1]Game Input'!$CJ28,"")</f>
        <v>0</v>
      </c>
      <c r="AD28" s="9">
        <f>IF('[1]Game Input'!$CK28&lt;&gt;"",'[1]Game Input'!$CK28,"")</f>
        <v>0</v>
      </c>
      <c r="AE28" s="8"/>
      <c r="AF28" s="8"/>
      <c r="AG28" s="8"/>
      <c r="AH28" s="8"/>
    </row>
    <row r="29" spans="1:34" x14ac:dyDescent="0.2">
      <c r="A29" s="6">
        <f>IF('[1]Game Input'!$A29&lt;&gt;"",'[1]Game Input'!$A29,"")</f>
        <v>43379</v>
      </c>
      <c r="B29" s="6" t="str">
        <f>IF(A29&gt;$B$1,VLOOKUP(MONTH($A29),DOTWMonth,2,FALSE),"")</f>
        <v>October</v>
      </c>
      <c r="C29" s="10" t="str">
        <f>IF(A29&gt;$B$1,VLOOKUP(WEEKDAY($A29),DOTWMonth,3,FALSE),"")</f>
        <v>Saturday</v>
      </c>
      <c r="D29" s="7">
        <f>IF('[1]Game Input'!$B29&lt;&gt;"",'[1]Game Input'!$B29,"")</f>
        <v>0.79513888888888884</v>
      </c>
      <c r="E29" s="7">
        <f>IF('[1]Game Input'!$C29&lt;&gt;"",'[1]Game Input'!$C29,"")</f>
        <v>0.75347222222222221</v>
      </c>
      <c r="F29" s="8" t="str">
        <f>IF('[1]Game Input'!$D29&lt;&gt;"",'[1]Game Input'!$D29,"")</f>
        <v>Daylight</v>
      </c>
      <c r="G29" s="8" t="str">
        <f>IF('[1]Game Input'!$G29&lt;&gt;"",'[1]Game Input'!$G29,"")</f>
        <v>MUS @ YNG</v>
      </c>
      <c r="H29" s="8" t="str">
        <f>IF('[1]Game Input'!$H29&lt;&gt;"",'[1]Game Input'!$H29,"")</f>
        <v>Vs. Conference</v>
      </c>
      <c r="I29" s="8" t="str">
        <f>IF('[1]Game Input'!$I29&lt;&gt;"",'[1]Game Input'!$I29,"")</f>
        <v>MUSKEGON</v>
      </c>
      <c r="J29" s="9">
        <f>IF('[1]Game Input'!$AC29&lt;&gt;"",'[1]Game Input'!$AC29,"")</f>
        <v>26</v>
      </c>
      <c r="K29" s="9">
        <f>IF('[1]Game Input'!$AD29&lt;&gt;"",'[1]Game Input'!$AD29,"")</f>
        <v>9</v>
      </c>
      <c r="L29" s="9">
        <f>IF('[1]Game Input'!$AJ29&lt;&gt;"",'[1]Game Input'!$AJ29,"")</f>
        <v>0</v>
      </c>
      <c r="M29" s="9">
        <f>IF('[1]Game Input'!$AK29&lt;&gt;"",'[1]Game Input'!$AK29,"")</f>
        <v>0</v>
      </c>
      <c r="N29" s="9">
        <f>IF('[1]Game Input'!$AN29&lt;&gt;"",'[1]Game Input'!$AN29,"")</f>
        <v>8</v>
      </c>
      <c r="O29" s="9">
        <f>IF('[1]Game Input'!$AO29&lt;&gt;"",'[1]Game Input'!$AO29,"")</f>
        <v>0</v>
      </c>
      <c r="P29" s="9">
        <f>IF('[1]Game Input'!$AP29&lt;&gt;"",'[1]Game Input'!$AP29,"")</f>
        <v>1</v>
      </c>
      <c r="Q29" s="9">
        <f>IF('[1]Game Input'!$AQ29&lt;&gt;"",'[1]Game Input'!$AQ29,"")</f>
        <v>0</v>
      </c>
      <c r="R29" s="9">
        <f>IF('[1]Game Input'!$AR29&lt;&gt;"",'[1]Game Input'!$AR29,"")</f>
        <v>0</v>
      </c>
      <c r="S29" s="9">
        <f>IF('[1]Game Input'!$AS29&lt;&gt;"",'[1]Game Input'!$AS29,"")</f>
        <v>0</v>
      </c>
      <c r="T29" s="10" t="str">
        <f>IF('[1]Game Input'!$BA29&lt;&gt;"",'[1]Game Input'!$BA29,"")</f>
        <v>YOUNGSTOWN</v>
      </c>
      <c r="U29" s="9">
        <f>IF('[1]Game Input'!$BU29&lt;&gt;"",'[1]Game Input'!$BU29,"")</f>
        <v>16</v>
      </c>
      <c r="V29" s="9">
        <f>IF('[1]Game Input'!$BV29&lt;&gt;"",'[1]Game Input'!$BV29,"")</f>
        <v>8</v>
      </c>
      <c r="W29" s="9">
        <f>IF('[1]Game Input'!$CB29&lt;&gt;"",'[1]Game Input'!$CB29,"")</f>
        <v>0</v>
      </c>
      <c r="X29" s="9">
        <f>IF('[1]Game Input'!$CC29&lt;&gt;"",'[1]Game Input'!$CC29,"")</f>
        <v>0</v>
      </c>
      <c r="Y29" s="9">
        <f>IF('[1]Game Input'!$CF29&lt;&gt;"",'[1]Game Input'!$CF29,"")</f>
        <v>8</v>
      </c>
      <c r="Z29" s="9">
        <f>IF('[1]Game Input'!$CG29&lt;&gt;"",'[1]Game Input'!$CG29,"")</f>
        <v>0</v>
      </c>
      <c r="AA29" s="9">
        <f>IF('[1]Game Input'!$CH29&lt;&gt;"",'[1]Game Input'!$CH29,"")</f>
        <v>0</v>
      </c>
      <c r="AB29" s="9">
        <f>IF('[1]Game Input'!$CI29&lt;&gt;"",'[1]Game Input'!$CI29,"")</f>
        <v>0</v>
      </c>
      <c r="AC29" s="9">
        <f>IF('[1]Game Input'!$CJ29&lt;&gt;"",'[1]Game Input'!$CJ29,"")</f>
        <v>0</v>
      </c>
      <c r="AD29" s="9">
        <f>IF('[1]Game Input'!$CK29&lt;&gt;"",'[1]Game Input'!$CK29,"")</f>
        <v>0</v>
      </c>
      <c r="AE29" s="8"/>
      <c r="AF29" s="8"/>
      <c r="AG29" s="8"/>
      <c r="AH29" s="8"/>
    </row>
    <row r="30" spans="1:34" x14ac:dyDescent="0.2">
      <c r="A30" s="6">
        <f>IF('[1]Game Input'!$A30&lt;&gt;"",'[1]Game Input'!$A30,"")</f>
        <v>43379</v>
      </c>
      <c r="B30" s="6" t="str">
        <f>IF(A30&gt;$B$1,VLOOKUP(MONTH($A30),DOTWMonth,2,FALSE),"")</f>
        <v>October</v>
      </c>
      <c r="C30" s="10" t="str">
        <f>IF(A30&gt;$B$1,VLOOKUP(WEEKDAY($A30),DOTWMonth,3,FALSE),"")</f>
        <v>Saturday</v>
      </c>
      <c r="D30" s="7">
        <f>IF('[1]Game Input'!$B30&lt;&gt;"",'[1]Game Input'!$B30,"")</f>
        <v>0.83680555555555547</v>
      </c>
      <c r="E30" s="7">
        <f>IF('[1]Game Input'!$C30&lt;&gt;"",'[1]Game Input'!$C30,"")</f>
        <v>0.79513888888888884</v>
      </c>
      <c r="F30" s="8" t="str">
        <f>IF('[1]Game Input'!$D30&lt;&gt;"",'[1]Game Input'!$D30,"")</f>
        <v>Daylight</v>
      </c>
      <c r="G30" s="8" t="str">
        <f>IF('[1]Game Input'!$G30&lt;&gt;"",'[1]Game Input'!$G30,"")</f>
        <v>GB @ CHI</v>
      </c>
      <c r="H30" s="8" t="str">
        <f>IF('[1]Game Input'!$H30&lt;&gt;"",'[1]Game Input'!$H30,"")</f>
        <v>Vs. Conference</v>
      </c>
      <c r="I30" s="8" t="str">
        <f>IF('[1]Game Input'!$I30&lt;&gt;"",'[1]Game Input'!$I30,"")</f>
        <v>GREEN BAY</v>
      </c>
      <c r="J30" s="9">
        <f>IF('[1]Game Input'!$AC30&lt;&gt;"",'[1]Game Input'!$AC30,"")</f>
        <v>12</v>
      </c>
      <c r="K30" s="9">
        <f>IF('[1]Game Input'!$AD30&lt;&gt;"",'[1]Game Input'!$AD30,"")</f>
        <v>6</v>
      </c>
      <c r="L30" s="9">
        <f>IF('[1]Game Input'!$AJ30&lt;&gt;"",'[1]Game Input'!$AJ30,"")</f>
        <v>0</v>
      </c>
      <c r="M30" s="9">
        <f>IF('[1]Game Input'!$AK30&lt;&gt;"",'[1]Game Input'!$AK30,"")</f>
        <v>0</v>
      </c>
      <c r="N30" s="9">
        <f>IF('[1]Game Input'!$AN30&lt;&gt;"",'[1]Game Input'!$AN30,"")</f>
        <v>6</v>
      </c>
      <c r="O30" s="9">
        <f>IF('[1]Game Input'!$AO30&lt;&gt;"",'[1]Game Input'!$AO30,"")</f>
        <v>0</v>
      </c>
      <c r="P30" s="9">
        <f>IF('[1]Game Input'!$AP30&lt;&gt;"",'[1]Game Input'!$AP30,"")</f>
        <v>0</v>
      </c>
      <c r="Q30" s="9">
        <f>IF('[1]Game Input'!$AQ30&lt;&gt;"",'[1]Game Input'!$AQ30,"")</f>
        <v>0</v>
      </c>
      <c r="R30" s="9">
        <f>IF('[1]Game Input'!$AR30&lt;&gt;"",'[1]Game Input'!$AR30,"")</f>
        <v>0</v>
      </c>
      <c r="S30" s="9">
        <f>IF('[1]Game Input'!$AS30&lt;&gt;"",'[1]Game Input'!$AS30,"")</f>
        <v>0</v>
      </c>
      <c r="T30" s="10" t="str">
        <f>IF('[1]Game Input'!$BA30&lt;&gt;"",'[1]Game Input'!$BA30,"")</f>
        <v>CHICAGO</v>
      </c>
      <c r="U30" s="9">
        <f>IF('[1]Game Input'!$BU30&lt;&gt;"",'[1]Game Input'!$BU30,"")</f>
        <v>14</v>
      </c>
      <c r="V30" s="9">
        <f>IF('[1]Game Input'!$BV30&lt;&gt;"",'[1]Game Input'!$BV30,"")</f>
        <v>7</v>
      </c>
      <c r="W30" s="9">
        <f>IF('[1]Game Input'!$CB30&lt;&gt;"",'[1]Game Input'!$CB30,"")</f>
        <v>0</v>
      </c>
      <c r="X30" s="9">
        <f>IF('[1]Game Input'!$CC30&lt;&gt;"",'[1]Game Input'!$CC30,"")</f>
        <v>0</v>
      </c>
      <c r="Y30" s="9">
        <f>IF('[1]Game Input'!$CF30&lt;&gt;"",'[1]Game Input'!$CF30,"")</f>
        <v>7</v>
      </c>
      <c r="Z30" s="9">
        <f>IF('[1]Game Input'!$CG30&lt;&gt;"",'[1]Game Input'!$CG30,"")</f>
        <v>0</v>
      </c>
      <c r="AA30" s="9">
        <f>IF('[1]Game Input'!$CH30&lt;&gt;"",'[1]Game Input'!$CH30,"")</f>
        <v>0</v>
      </c>
      <c r="AB30" s="9">
        <f>IF('[1]Game Input'!$CI30&lt;&gt;"",'[1]Game Input'!$CI30,"")</f>
        <v>0</v>
      </c>
      <c r="AC30" s="9">
        <f>IF('[1]Game Input'!$CJ30&lt;&gt;"",'[1]Game Input'!$CJ30,"")</f>
        <v>0</v>
      </c>
      <c r="AD30" s="9">
        <f>IF('[1]Game Input'!$CK30&lt;&gt;"",'[1]Game Input'!$CK30,"")</f>
        <v>0</v>
      </c>
      <c r="AE30" s="8"/>
      <c r="AF30" s="8"/>
      <c r="AG30" s="8"/>
      <c r="AH30" s="8"/>
    </row>
    <row r="31" spans="1:34" x14ac:dyDescent="0.2">
      <c r="A31" s="6">
        <f>IF('[1]Game Input'!$A31&lt;&gt;"",'[1]Game Input'!$A31,"")</f>
        <v>43379</v>
      </c>
      <c r="B31" s="6" t="str">
        <f>IF(A31&gt;$B$1,VLOOKUP(MONTH($A31),DOTWMonth,2,FALSE),"")</f>
        <v>October</v>
      </c>
      <c r="C31" s="10" t="str">
        <f>IF(A31&gt;$B$1,VLOOKUP(WEEKDAY($A31),DOTWMonth,3,FALSE),"")</f>
        <v>Saturday</v>
      </c>
      <c r="D31" s="7">
        <f>IF('[1]Game Input'!$B31&lt;&gt;"",'[1]Game Input'!$B31,"")</f>
        <v>0.83680555555555547</v>
      </c>
      <c r="E31" s="7">
        <f>IF('[1]Game Input'!$C31&lt;&gt;"",'[1]Game Input'!$C31,"")</f>
        <v>0.79513888888888884</v>
      </c>
      <c r="F31" s="8" t="str">
        <f>IF('[1]Game Input'!$D31&lt;&gt;"",'[1]Game Input'!$D31,"")</f>
        <v>Daylight</v>
      </c>
      <c r="G31" s="8" t="str">
        <f>IF('[1]Game Input'!$G31&lt;&gt;"",'[1]Game Input'!$G31,"")</f>
        <v>LIN @ DM</v>
      </c>
      <c r="H31" s="8" t="str">
        <f>IF('[1]Game Input'!$H31&lt;&gt;"",'[1]Game Input'!$H31,"")</f>
        <v>Vs. Conference</v>
      </c>
      <c r="I31" s="8" t="str">
        <f>IF('[1]Game Input'!$I31&lt;&gt;"",'[1]Game Input'!$I31,"")</f>
        <v>LINCOLN</v>
      </c>
      <c r="J31" s="9">
        <f>IF('[1]Game Input'!$AC31&lt;&gt;"",'[1]Game Input'!$AC31,"")</f>
        <v>25</v>
      </c>
      <c r="K31" s="9">
        <f>IF('[1]Game Input'!$AD31&lt;&gt;"",'[1]Game Input'!$AD31,"")</f>
        <v>7</v>
      </c>
      <c r="L31" s="9">
        <f>IF('[1]Game Input'!$AJ31&lt;&gt;"",'[1]Game Input'!$AJ31,"")</f>
        <v>0</v>
      </c>
      <c r="M31" s="9">
        <f>IF('[1]Game Input'!$AK31&lt;&gt;"",'[1]Game Input'!$AK31,"")</f>
        <v>0</v>
      </c>
      <c r="N31" s="9">
        <f>IF('[1]Game Input'!$AN31&lt;&gt;"",'[1]Game Input'!$AN31,"")</f>
        <v>5</v>
      </c>
      <c r="O31" s="9">
        <f>IF('[1]Game Input'!$AO31&lt;&gt;"",'[1]Game Input'!$AO31,"")</f>
        <v>1</v>
      </c>
      <c r="P31" s="9">
        <f>IF('[1]Game Input'!$AP31&lt;&gt;"",'[1]Game Input'!$AP31,"")</f>
        <v>1</v>
      </c>
      <c r="Q31" s="9">
        <f>IF('[1]Game Input'!$AQ31&lt;&gt;"",'[1]Game Input'!$AQ31,"")</f>
        <v>0</v>
      </c>
      <c r="R31" s="9">
        <f>IF('[1]Game Input'!$AR31&lt;&gt;"",'[1]Game Input'!$AR31,"")</f>
        <v>0</v>
      </c>
      <c r="S31" s="9">
        <f>IF('[1]Game Input'!$AS31&lt;&gt;"",'[1]Game Input'!$AS31,"")</f>
        <v>0</v>
      </c>
      <c r="T31" s="10" t="str">
        <f>IF('[1]Game Input'!$BA31&lt;&gt;"",'[1]Game Input'!$BA31,"")</f>
        <v>DES MOINES</v>
      </c>
      <c r="U31" s="9">
        <f>IF('[1]Game Input'!$BU31&lt;&gt;"",'[1]Game Input'!$BU31,"")</f>
        <v>31</v>
      </c>
      <c r="V31" s="9">
        <f>IF('[1]Game Input'!$BV31&lt;&gt;"",'[1]Game Input'!$BV31,"")</f>
        <v>10</v>
      </c>
      <c r="W31" s="9">
        <f>IF('[1]Game Input'!$CB31&lt;&gt;"",'[1]Game Input'!$CB31,"")</f>
        <v>0</v>
      </c>
      <c r="X31" s="9">
        <f>IF('[1]Game Input'!$CC31&lt;&gt;"",'[1]Game Input'!$CC31,"")</f>
        <v>0</v>
      </c>
      <c r="Y31" s="9">
        <f>IF('[1]Game Input'!$CF31&lt;&gt;"",'[1]Game Input'!$CF31,"")</f>
        <v>8</v>
      </c>
      <c r="Z31" s="9">
        <f>IF('[1]Game Input'!$CG31&lt;&gt;"",'[1]Game Input'!$CG31,"")</f>
        <v>1</v>
      </c>
      <c r="AA31" s="9">
        <f>IF('[1]Game Input'!$CH31&lt;&gt;"",'[1]Game Input'!$CH31,"")</f>
        <v>1</v>
      </c>
      <c r="AB31" s="9">
        <f>IF('[1]Game Input'!$CI31&lt;&gt;"",'[1]Game Input'!$CI31,"")</f>
        <v>0</v>
      </c>
      <c r="AC31" s="9">
        <f>IF('[1]Game Input'!$CJ31&lt;&gt;"",'[1]Game Input'!$CJ31,"")</f>
        <v>0</v>
      </c>
      <c r="AD31" s="9">
        <f>IF('[1]Game Input'!$CK31&lt;&gt;"",'[1]Game Input'!$CK31,"")</f>
        <v>0</v>
      </c>
      <c r="AE31" s="8" t="s">
        <v>103</v>
      </c>
      <c r="AF31" s="8"/>
      <c r="AG31" s="8" t="s">
        <v>118</v>
      </c>
      <c r="AH31" s="8" t="s">
        <v>124</v>
      </c>
    </row>
    <row r="32" spans="1:34" x14ac:dyDescent="0.2">
      <c r="A32" s="6">
        <f>IF('[1]Game Input'!$A32&lt;&gt;"",'[1]Game Input'!$A32,"")</f>
        <v>43379</v>
      </c>
      <c r="B32" s="6" t="str">
        <f>IF(A32&gt;$B$1,VLOOKUP(MONTH($A32),DOTWMonth,2,FALSE),"")</f>
        <v>October</v>
      </c>
      <c r="C32" s="10" t="str">
        <f>IF(A32&gt;$B$1,VLOOKUP(WEEKDAY($A32),DOTWMonth,3,FALSE),"")</f>
        <v>Saturday</v>
      </c>
      <c r="D32" s="7">
        <f>IF('[1]Game Input'!$B32&lt;&gt;"",'[1]Game Input'!$B32,"")</f>
        <v>0.83680555555555547</v>
      </c>
      <c r="E32" s="7">
        <f>IF('[1]Game Input'!$C32&lt;&gt;"",'[1]Game Input'!$C32,"")</f>
        <v>0.79513888888888884</v>
      </c>
      <c r="F32" s="8" t="str">
        <f>IF('[1]Game Input'!$D32&lt;&gt;"",'[1]Game Input'!$D32,"")</f>
        <v>Daylight</v>
      </c>
      <c r="G32" s="8" t="str">
        <f>IF('[1]Game Input'!$G32&lt;&gt;"",'[1]Game Input'!$G32,"")</f>
        <v>CR @ DUB</v>
      </c>
      <c r="H32" s="8" t="str">
        <f>IF('[1]Game Input'!$H32&lt;&gt;"",'[1]Game Input'!$H32,"")</f>
        <v>Vs. Conference</v>
      </c>
      <c r="I32" s="8" t="str">
        <f>IF('[1]Game Input'!$I32&lt;&gt;"",'[1]Game Input'!$I32,"")</f>
        <v>CEDAR RAPIDS</v>
      </c>
      <c r="J32" s="9">
        <f>IF('[1]Game Input'!$AC32&lt;&gt;"",'[1]Game Input'!$AC32,"")</f>
        <v>10</v>
      </c>
      <c r="K32" s="9">
        <f>IF('[1]Game Input'!$AD32&lt;&gt;"",'[1]Game Input'!$AD32,"")</f>
        <v>5</v>
      </c>
      <c r="L32" s="9">
        <f>IF('[1]Game Input'!$AJ32&lt;&gt;"",'[1]Game Input'!$AJ32,"")</f>
        <v>0</v>
      </c>
      <c r="M32" s="9">
        <f>IF('[1]Game Input'!$AK32&lt;&gt;"",'[1]Game Input'!$AK32,"")</f>
        <v>0</v>
      </c>
      <c r="N32" s="9">
        <f>IF('[1]Game Input'!$AN32&lt;&gt;"",'[1]Game Input'!$AN32,"")</f>
        <v>5</v>
      </c>
      <c r="O32" s="9">
        <f>IF('[1]Game Input'!$AO32&lt;&gt;"",'[1]Game Input'!$AO32,"")</f>
        <v>0</v>
      </c>
      <c r="P32" s="9">
        <f>IF('[1]Game Input'!$AP32&lt;&gt;"",'[1]Game Input'!$AP32,"")</f>
        <v>0</v>
      </c>
      <c r="Q32" s="9">
        <f>IF('[1]Game Input'!$AQ32&lt;&gt;"",'[1]Game Input'!$AQ32,"")</f>
        <v>0</v>
      </c>
      <c r="R32" s="9">
        <f>IF('[1]Game Input'!$AR32&lt;&gt;"",'[1]Game Input'!$AR32,"")</f>
        <v>0</v>
      </c>
      <c r="S32" s="9">
        <f>IF('[1]Game Input'!$AS32&lt;&gt;"",'[1]Game Input'!$AS32,"")</f>
        <v>0</v>
      </c>
      <c r="T32" s="10" t="str">
        <f>IF('[1]Game Input'!$BA32&lt;&gt;"",'[1]Game Input'!$BA32,"")</f>
        <v>DUBUQUE</v>
      </c>
      <c r="U32" s="9">
        <f>IF('[1]Game Input'!$BU32&lt;&gt;"",'[1]Game Input'!$BU32,"")</f>
        <v>12</v>
      </c>
      <c r="V32" s="9">
        <f>IF('[1]Game Input'!$BV32&lt;&gt;"",'[1]Game Input'!$BV32,"")</f>
        <v>6</v>
      </c>
      <c r="W32" s="9">
        <f>IF('[1]Game Input'!$CB32&lt;&gt;"",'[1]Game Input'!$CB32,"")</f>
        <v>0</v>
      </c>
      <c r="X32" s="9">
        <f>IF('[1]Game Input'!$CC32&lt;&gt;"",'[1]Game Input'!$CC32,"")</f>
        <v>0</v>
      </c>
      <c r="Y32" s="9">
        <f>IF('[1]Game Input'!$CF32&lt;&gt;"",'[1]Game Input'!$CF32,"")</f>
        <v>6</v>
      </c>
      <c r="Z32" s="9">
        <f>IF('[1]Game Input'!$CG32&lt;&gt;"",'[1]Game Input'!$CG32,"")</f>
        <v>0</v>
      </c>
      <c r="AA32" s="9">
        <f>IF('[1]Game Input'!$CH32&lt;&gt;"",'[1]Game Input'!$CH32,"")</f>
        <v>0</v>
      </c>
      <c r="AB32" s="9">
        <f>IF('[1]Game Input'!$CI32&lt;&gt;"",'[1]Game Input'!$CI32,"")</f>
        <v>0</v>
      </c>
      <c r="AC32" s="9">
        <f>IF('[1]Game Input'!$CJ32&lt;&gt;"",'[1]Game Input'!$CJ32,"")</f>
        <v>0</v>
      </c>
      <c r="AD32" s="9">
        <f>IF('[1]Game Input'!$CK32&lt;&gt;"",'[1]Game Input'!$CK32,"")</f>
        <v>0</v>
      </c>
      <c r="AE32" s="8" t="s">
        <v>138</v>
      </c>
      <c r="AF32" s="8" t="s">
        <v>102</v>
      </c>
      <c r="AG32" s="8" t="s">
        <v>113</v>
      </c>
      <c r="AH32" s="8" t="s">
        <v>128</v>
      </c>
    </row>
    <row r="33" spans="1:34" x14ac:dyDescent="0.2">
      <c r="A33" s="6">
        <f>IF('[1]Game Input'!$A33&lt;&gt;"",'[1]Game Input'!$A33,"")</f>
        <v>43379</v>
      </c>
      <c r="B33" s="6" t="str">
        <f>IF(A33&gt;$B$1,VLOOKUP(MONTH($A33),DOTWMonth,2,FALSE),"")</f>
        <v>October</v>
      </c>
      <c r="C33" s="10" t="str">
        <f>IF(A33&gt;$B$1,VLOOKUP(WEEKDAY($A33),DOTWMonth,3,FALSE),"")</f>
        <v>Saturday</v>
      </c>
      <c r="D33" s="7">
        <f>IF('[1]Game Input'!$B33&lt;&gt;"",'[1]Game Input'!$B33,"")</f>
        <v>0.83680555555555547</v>
      </c>
      <c r="E33" s="7">
        <f>IF('[1]Game Input'!$C33&lt;&gt;"",'[1]Game Input'!$C33,"")</f>
        <v>0.79513888888888884</v>
      </c>
      <c r="F33" s="8" t="str">
        <f>IF('[1]Game Input'!$D33&lt;&gt;"",'[1]Game Input'!$D33,"")</f>
        <v>Daylight</v>
      </c>
      <c r="G33" s="8" t="str">
        <f>IF('[1]Game Input'!$G33&lt;&gt;"",'[1]Game Input'!$G33,"")</f>
        <v>SF @ FGO</v>
      </c>
      <c r="H33" s="8" t="str">
        <f>IF('[1]Game Input'!$H33&lt;&gt;"",'[1]Game Input'!$H33,"")</f>
        <v>Vs. Conference</v>
      </c>
      <c r="I33" s="8" t="str">
        <f>IF('[1]Game Input'!$I33&lt;&gt;"",'[1]Game Input'!$I33,"")</f>
        <v>SIOUX FALLS</v>
      </c>
      <c r="J33" s="9">
        <f>IF('[1]Game Input'!$AC33&lt;&gt;"",'[1]Game Input'!$AC33,"")</f>
        <v>29</v>
      </c>
      <c r="K33" s="9">
        <f>IF('[1]Game Input'!$AD33&lt;&gt;"",'[1]Game Input'!$AD33,"")</f>
        <v>9</v>
      </c>
      <c r="L33" s="9">
        <f>IF('[1]Game Input'!$AJ33&lt;&gt;"",'[1]Game Input'!$AJ33,"")</f>
        <v>0</v>
      </c>
      <c r="M33" s="9">
        <f>IF('[1]Game Input'!$AK33&lt;&gt;"",'[1]Game Input'!$AK33,"")</f>
        <v>0</v>
      </c>
      <c r="N33" s="9">
        <f>IF('[1]Game Input'!$AN33&lt;&gt;"",'[1]Game Input'!$AN33,"")</f>
        <v>7</v>
      </c>
      <c r="O33" s="9">
        <f>IF('[1]Game Input'!$AO33&lt;&gt;"",'[1]Game Input'!$AO33,"")</f>
        <v>1</v>
      </c>
      <c r="P33" s="9">
        <f>IF('[1]Game Input'!$AP33&lt;&gt;"",'[1]Game Input'!$AP33,"")</f>
        <v>0</v>
      </c>
      <c r="Q33" s="9">
        <f>IF('[1]Game Input'!$AQ33&lt;&gt;"",'[1]Game Input'!$AQ33,"")</f>
        <v>1</v>
      </c>
      <c r="R33" s="9">
        <f>IF('[1]Game Input'!$AR33&lt;&gt;"",'[1]Game Input'!$AR33,"")</f>
        <v>0</v>
      </c>
      <c r="S33" s="9">
        <f>IF('[1]Game Input'!$AS33&lt;&gt;"",'[1]Game Input'!$AS33,"")</f>
        <v>0</v>
      </c>
      <c r="T33" s="10" t="str">
        <f>IF('[1]Game Input'!$BA33&lt;&gt;"",'[1]Game Input'!$BA33,"")</f>
        <v>FARGO</v>
      </c>
      <c r="U33" s="9">
        <f>IF('[1]Game Input'!$BU33&lt;&gt;"",'[1]Game Input'!$BU33,"")</f>
        <v>19</v>
      </c>
      <c r="V33" s="9">
        <f>IF('[1]Game Input'!$BV33&lt;&gt;"",'[1]Game Input'!$BV33,"")</f>
        <v>8</v>
      </c>
      <c r="W33" s="9">
        <f>IF('[1]Game Input'!$CB33&lt;&gt;"",'[1]Game Input'!$CB33,"")</f>
        <v>0</v>
      </c>
      <c r="X33" s="9">
        <f>IF('[1]Game Input'!$CC33&lt;&gt;"",'[1]Game Input'!$CC33,"")</f>
        <v>0</v>
      </c>
      <c r="Y33" s="9">
        <f>IF('[1]Game Input'!$CF33&lt;&gt;"",'[1]Game Input'!$CF33,"")</f>
        <v>7</v>
      </c>
      <c r="Z33" s="9">
        <f>IF('[1]Game Input'!$CG33&lt;&gt;"",'[1]Game Input'!$CG33,"")</f>
        <v>1</v>
      </c>
      <c r="AA33" s="9">
        <f>IF('[1]Game Input'!$CH33&lt;&gt;"",'[1]Game Input'!$CH33,"")</f>
        <v>0</v>
      </c>
      <c r="AB33" s="9">
        <f>IF('[1]Game Input'!$CI33&lt;&gt;"",'[1]Game Input'!$CI33,"")</f>
        <v>0</v>
      </c>
      <c r="AC33" s="9">
        <f>IF('[1]Game Input'!$CJ33&lt;&gt;"",'[1]Game Input'!$CJ33,"")</f>
        <v>0</v>
      </c>
      <c r="AD33" s="9">
        <f>IF('[1]Game Input'!$CK33&lt;&gt;"",'[1]Game Input'!$CK33,"")</f>
        <v>0</v>
      </c>
      <c r="AE33" s="8"/>
      <c r="AF33" s="8"/>
      <c r="AG33" s="8"/>
      <c r="AH33" s="8"/>
    </row>
    <row r="34" spans="1:34" x14ac:dyDescent="0.2">
      <c r="A34" s="6">
        <f>IF('[1]Game Input'!$A34&lt;&gt;"",'[1]Game Input'!$A34,"")</f>
        <v>43379</v>
      </c>
      <c r="B34" s="6" t="str">
        <f>IF(A34&gt;$B$1,VLOOKUP(MONTH($A34),DOTWMonth,2,FALSE),"")</f>
        <v>October</v>
      </c>
      <c r="C34" s="10" t="str">
        <f>IF(A34&gt;$B$1,VLOOKUP(WEEKDAY($A34),DOTWMonth,3,FALSE),"")</f>
        <v>Saturday</v>
      </c>
      <c r="D34" s="7">
        <f>IF('[1]Game Input'!$B34&lt;&gt;"",'[1]Game Input'!$B34,"")</f>
        <v>0.83680555555555547</v>
      </c>
      <c r="E34" s="7">
        <f>IF('[1]Game Input'!$C34&lt;&gt;"",'[1]Game Input'!$C34,"")</f>
        <v>0.79513888888888884</v>
      </c>
      <c r="F34" s="8" t="str">
        <f>IF('[1]Game Input'!$D34&lt;&gt;"",'[1]Game Input'!$D34,"")</f>
        <v>Daylight</v>
      </c>
      <c r="G34" s="8" t="str">
        <f>IF('[1]Game Input'!$G34&lt;&gt;"",'[1]Game Input'!$G34,"")</f>
        <v>TC @ OMA</v>
      </c>
      <c r="H34" s="8" t="str">
        <f>IF('[1]Game Input'!$H34&lt;&gt;"",'[1]Game Input'!$H34,"")</f>
        <v>Vs. Conference</v>
      </c>
      <c r="I34" s="8" t="str">
        <f>IF('[1]Game Input'!$I34&lt;&gt;"",'[1]Game Input'!$I34,"")</f>
        <v>TRI-CITY</v>
      </c>
      <c r="J34" s="9">
        <f>IF('[1]Game Input'!$AC34&lt;&gt;"",'[1]Game Input'!$AC34,"")</f>
        <v>27</v>
      </c>
      <c r="K34" s="9">
        <f>IF('[1]Game Input'!$AD34&lt;&gt;"",'[1]Game Input'!$AD34,"")</f>
        <v>8</v>
      </c>
      <c r="L34" s="9">
        <f>IF('[1]Game Input'!$AJ34&lt;&gt;"",'[1]Game Input'!$AJ34,"")</f>
        <v>0</v>
      </c>
      <c r="M34" s="9">
        <f>IF('[1]Game Input'!$AK34&lt;&gt;"",'[1]Game Input'!$AK34,"")</f>
        <v>0</v>
      </c>
      <c r="N34" s="9">
        <f>IF('[1]Game Input'!$AN34&lt;&gt;"",'[1]Game Input'!$AN34,"")</f>
        <v>6</v>
      </c>
      <c r="O34" s="9">
        <f>IF('[1]Game Input'!$AO34&lt;&gt;"",'[1]Game Input'!$AO34,"")</f>
        <v>1</v>
      </c>
      <c r="P34" s="9">
        <f>IF('[1]Game Input'!$AP34&lt;&gt;"",'[1]Game Input'!$AP34,"")</f>
        <v>1</v>
      </c>
      <c r="Q34" s="9">
        <f>IF('[1]Game Input'!$AQ34&lt;&gt;"",'[1]Game Input'!$AQ34,"")</f>
        <v>0</v>
      </c>
      <c r="R34" s="9">
        <f>IF('[1]Game Input'!$AR34&lt;&gt;"",'[1]Game Input'!$AR34,"")</f>
        <v>0</v>
      </c>
      <c r="S34" s="9">
        <f>IF('[1]Game Input'!$AS34&lt;&gt;"",'[1]Game Input'!$AS34,"")</f>
        <v>0</v>
      </c>
      <c r="T34" s="10" t="str">
        <f>IF('[1]Game Input'!$BA34&lt;&gt;"",'[1]Game Input'!$BA34,"")</f>
        <v>OMAHA</v>
      </c>
      <c r="U34" s="9">
        <f>IF('[1]Game Input'!$BU34&lt;&gt;"",'[1]Game Input'!$BU34,"")</f>
        <v>29</v>
      </c>
      <c r="V34" s="9">
        <f>IF('[1]Game Input'!$BV34&lt;&gt;"",'[1]Game Input'!$BV34,"")</f>
        <v>9</v>
      </c>
      <c r="W34" s="9">
        <f>IF('[1]Game Input'!$CB34&lt;&gt;"",'[1]Game Input'!$CB34,"")</f>
        <v>0</v>
      </c>
      <c r="X34" s="9">
        <f>IF('[1]Game Input'!$CC34&lt;&gt;"",'[1]Game Input'!$CC34,"")</f>
        <v>0</v>
      </c>
      <c r="Y34" s="9">
        <f>IF('[1]Game Input'!$CF34&lt;&gt;"",'[1]Game Input'!$CF34,"")</f>
        <v>7</v>
      </c>
      <c r="Z34" s="9">
        <f>IF('[1]Game Input'!$CG34&lt;&gt;"",'[1]Game Input'!$CG34,"")</f>
        <v>1</v>
      </c>
      <c r="AA34" s="9">
        <f>IF('[1]Game Input'!$CH34&lt;&gt;"",'[1]Game Input'!$CH34,"")</f>
        <v>1</v>
      </c>
      <c r="AB34" s="9">
        <f>IF('[1]Game Input'!$CI34&lt;&gt;"",'[1]Game Input'!$CI34,"")</f>
        <v>0</v>
      </c>
      <c r="AC34" s="9">
        <f>IF('[1]Game Input'!$CJ34&lt;&gt;"",'[1]Game Input'!$CJ34,"")</f>
        <v>0</v>
      </c>
      <c r="AD34" s="9">
        <f>IF('[1]Game Input'!$CK34&lt;&gt;"",'[1]Game Input'!$CK34,"")</f>
        <v>0</v>
      </c>
      <c r="AE34" s="8"/>
      <c r="AF34" s="8"/>
      <c r="AG34" s="8"/>
      <c r="AH34" s="8"/>
    </row>
    <row r="35" spans="1:34" x14ac:dyDescent="0.2">
      <c r="A35" s="6">
        <f>IF('[1]Game Input'!$A35&lt;&gt;"",'[1]Game Input'!$A35,"")</f>
        <v>43379</v>
      </c>
      <c r="B35" s="6" t="str">
        <f>IF(A35&gt;$B$1,VLOOKUP(MONTH($A35),DOTWMonth,2,FALSE),"")</f>
        <v>October</v>
      </c>
      <c r="C35" s="10" t="str">
        <f>IF(A35&gt;$B$1,VLOOKUP(WEEKDAY($A35),DOTWMonth,3,FALSE),"")</f>
        <v>Saturday</v>
      </c>
      <c r="D35" s="7">
        <f>IF('[1]Game Input'!$B35&lt;&gt;"",'[1]Game Input'!$B35,"")</f>
        <v>0.83819444444444446</v>
      </c>
      <c r="E35" s="7">
        <f>IF('[1]Game Input'!$C35&lt;&gt;"",'[1]Game Input'!$C35,"")</f>
        <v>0.79652777777777783</v>
      </c>
      <c r="F35" s="8" t="str">
        <f>IF('[1]Game Input'!$D35&lt;&gt;"",'[1]Game Input'!$D35,"")</f>
        <v>Daylight</v>
      </c>
      <c r="G35" s="8" t="str">
        <f>IF('[1]Game Input'!$G35&lt;&gt;"",'[1]Game Input'!$G35,"")</f>
        <v>WAT @ CIL</v>
      </c>
      <c r="H35" s="8" t="str">
        <f>IF('[1]Game Input'!$H35&lt;&gt;"",'[1]Game Input'!$H35,"")</f>
        <v>Vs. Non-Conference</v>
      </c>
      <c r="I35" s="8" t="str">
        <f>IF('[1]Game Input'!$I35&lt;&gt;"",'[1]Game Input'!$I35,"")</f>
        <v>WATERLOO</v>
      </c>
      <c r="J35" s="9">
        <f>IF('[1]Game Input'!$AC35&lt;&gt;"",'[1]Game Input'!$AC35,"")</f>
        <v>14</v>
      </c>
      <c r="K35" s="9">
        <f>IF('[1]Game Input'!$AD35&lt;&gt;"",'[1]Game Input'!$AD35,"")</f>
        <v>7</v>
      </c>
      <c r="L35" s="9">
        <f>IF('[1]Game Input'!$AJ35&lt;&gt;"",'[1]Game Input'!$AJ35,"")</f>
        <v>0</v>
      </c>
      <c r="M35" s="9">
        <f>IF('[1]Game Input'!$AK35&lt;&gt;"",'[1]Game Input'!$AK35,"")</f>
        <v>0</v>
      </c>
      <c r="N35" s="9">
        <f>IF('[1]Game Input'!$AN35&lt;&gt;"",'[1]Game Input'!$AN35,"")</f>
        <v>7</v>
      </c>
      <c r="O35" s="9">
        <f>IF('[1]Game Input'!$AO35&lt;&gt;"",'[1]Game Input'!$AO35,"")</f>
        <v>0</v>
      </c>
      <c r="P35" s="9">
        <f>IF('[1]Game Input'!$AP35&lt;&gt;"",'[1]Game Input'!$AP35,"")</f>
        <v>0</v>
      </c>
      <c r="Q35" s="9">
        <f>IF('[1]Game Input'!$AQ35&lt;&gt;"",'[1]Game Input'!$AQ35,"")</f>
        <v>0</v>
      </c>
      <c r="R35" s="9">
        <f>IF('[1]Game Input'!$AR35&lt;&gt;"",'[1]Game Input'!$AR35,"")</f>
        <v>0</v>
      </c>
      <c r="S35" s="9">
        <f>IF('[1]Game Input'!$AS35&lt;&gt;"",'[1]Game Input'!$AS35,"")</f>
        <v>0</v>
      </c>
      <c r="T35" s="10" t="str">
        <f>IF('[1]Game Input'!$BA35&lt;&gt;"",'[1]Game Input'!$BA35,"")</f>
        <v>CENTRAL ILLINOIS</v>
      </c>
      <c r="U35" s="9">
        <f>IF('[1]Game Input'!$BU35&lt;&gt;"",'[1]Game Input'!$BU35,"")</f>
        <v>10</v>
      </c>
      <c r="V35" s="9">
        <f>IF('[1]Game Input'!$BV35&lt;&gt;"",'[1]Game Input'!$BV35,"")</f>
        <v>5</v>
      </c>
      <c r="W35" s="9">
        <f>IF('[1]Game Input'!$CB35&lt;&gt;"",'[1]Game Input'!$CB35,"")</f>
        <v>0</v>
      </c>
      <c r="X35" s="9">
        <f>IF('[1]Game Input'!$CC35&lt;&gt;"",'[1]Game Input'!$CC35,"")</f>
        <v>0</v>
      </c>
      <c r="Y35" s="9">
        <f>IF('[1]Game Input'!$CF35&lt;&gt;"",'[1]Game Input'!$CF35,"")</f>
        <v>5</v>
      </c>
      <c r="Z35" s="9">
        <f>IF('[1]Game Input'!$CG35&lt;&gt;"",'[1]Game Input'!$CG35,"")</f>
        <v>0</v>
      </c>
      <c r="AA35" s="9">
        <f>IF('[1]Game Input'!$CH35&lt;&gt;"",'[1]Game Input'!$CH35,"")</f>
        <v>0</v>
      </c>
      <c r="AB35" s="9">
        <f>IF('[1]Game Input'!$CI35&lt;&gt;"",'[1]Game Input'!$CI35,"")</f>
        <v>0</v>
      </c>
      <c r="AC35" s="9">
        <f>IF('[1]Game Input'!$CJ35&lt;&gt;"",'[1]Game Input'!$CJ35,"")</f>
        <v>0</v>
      </c>
      <c r="AD35" s="9">
        <f>IF('[1]Game Input'!$CK35&lt;&gt;"",'[1]Game Input'!$CK35,"")</f>
        <v>0</v>
      </c>
      <c r="AE35" s="8" t="s">
        <v>97</v>
      </c>
      <c r="AF35" s="8" t="s">
        <v>89</v>
      </c>
      <c r="AG35" s="8" t="s">
        <v>108</v>
      </c>
      <c r="AH35" s="8" t="s">
        <v>161</v>
      </c>
    </row>
    <row r="36" spans="1:34" x14ac:dyDescent="0.2">
      <c r="A36" s="6">
        <f>IF('[1]Game Input'!$A36&lt;&gt;"",'[1]Game Input'!$A36,"")</f>
        <v>43380</v>
      </c>
      <c r="B36" s="6" t="str">
        <f>IF(A36&gt;$B$1,VLOOKUP(MONTH($A36),DOTWMonth,2,FALSE),"")</f>
        <v>October</v>
      </c>
      <c r="C36" s="10" t="str">
        <f>IF(A36&gt;$B$1,VLOOKUP(WEEKDAY($A36),DOTWMonth,3,FALSE),"")</f>
        <v>Sunday</v>
      </c>
      <c r="D36" s="7">
        <f>IF('[1]Game Input'!$B36&lt;&gt;"",'[1]Game Input'!$B36,"")</f>
        <v>0.71319444444444446</v>
      </c>
      <c r="E36" s="7">
        <f>IF('[1]Game Input'!$C36&lt;&gt;"",'[1]Game Input'!$C36,"")</f>
        <v>0.67152777777777783</v>
      </c>
      <c r="F36" s="8" t="str">
        <f>IF('[1]Game Input'!$D36&lt;&gt;"",'[1]Game Input'!$D36,"")</f>
        <v>Daylight</v>
      </c>
      <c r="G36" s="8" t="str">
        <f>IF('[1]Game Input'!$G36&lt;&gt;"",'[1]Game Input'!$G36,"")</f>
        <v>GB @ CIL</v>
      </c>
      <c r="H36" s="8" t="str">
        <f>IF('[1]Game Input'!$H36&lt;&gt;"",'[1]Game Input'!$H36,"")</f>
        <v>Vs. Conference</v>
      </c>
      <c r="I36" s="8" t="str">
        <f>IF('[1]Game Input'!$I36&lt;&gt;"",'[1]Game Input'!$I36,"")</f>
        <v>GREEN BAY</v>
      </c>
      <c r="J36" s="9">
        <f>IF('[1]Game Input'!$AC36&lt;&gt;"",'[1]Game Input'!$AC36,"")</f>
        <v>16</v>
      </c>
      <c r="K36" s="9">
        <f>IF('[1]Game Input'!$AD36&lt;&gt;"",'[1]Game Input'!$AD36,"")</f>
        <v>8</v>
      </c>
      <c r="L36" s="9">
        <f>IF('[1]Game Input'!$AJ36&lt;&gt;"",'[1]Game Input'!$AJ36,"")</f>
        <v>0</v>
      </c>
      <c r="M36" s="9">
        <f>IF('[1]Game Input'!$AK36&lt;&gt;"",'[1]Game Input'!$AK36,"")</f>
        <v>0</v>
      </c>
      <c r="N36" s="9">
        <f>IF('[1]Game Input'!$AN36&lt;&gt;"",'[1]Game Input'!$AN36,"")</f>
        <v>8</v>
      </c>
      <c r="O36" s="9">
        <f>IF('[1]Game Input'!$AO36&lt;&gt;"",'[1]Game Input'!$AO36,"")</f>
        <v>0</v>
      </c>
      <c r="P36" s="9">
        <f>IF('[1]Game Input'!$AP36&lt;&gt;"",'[1]Game Input'!$AP36,"")</f>
        <v>0</v>
      </c>
      <c r="Q36" s="9">
        <f>IF('[1]Game Input'!$AQ36&lt;&gt;"",'[1]Game Input'!$AQ36,"")</f>
        <v>0</v>
      </c>
      <c r="R36" s="9">
        <f>IF('[1]Game Input'!$AR36&lt;&gt;"",'[1]Game Input'!$AR36,"")</f>
        <v>0</v>
      </c>
      <c r="S36" s="9">
        <f>IF('[1]Game Input'!$AS36&lt;&gt;"",'[1]Game Input'!$AS36,"")</f>
        <v>0</v>
      </c>
      <c r="T36" s="10" t="str">
        <f>IF('[1]Game Input'!$BA36&lt;&gt;"",'[1]Game Input'!$BA36,"")</f>
        <v>CENTRAL ILLINOIS</v>
      </c>
      <c r="U36" s="9">
        <f>IF('[1]Game Input'!$BU36&lt;&gt;"",'[1]Game Input'!$BU36,"")</f>
        <v>18</v>
      </c>
      <c r="V36" s="9">
        <f>IF('[1]Game Input'!$BV36&lt;&gt;"",'[1]Game Input'!$BV36,"")</f>
        <v>9</v>
      </c>
      <c r="W36" s="9">
        <f>IF('[1]Game Input'!$CB36&lt;&gt;"",'[1]Game Input'!$CB36,"")</f>
        <v>0</v>
      </c>
      <c r="X36" s="9">
        <f>IF('[1]Game Input'!$CC36&lt;&gt;"",'[1]Game Input'!$CC36,"")</f>
        <v>0</v>
      </c>
      <c r="Y36" s="9">
        <f>IF('[1]Game Input'!$CF36&lt;&gt;"",'[1]Game Input'!$CF36,"")</f>
        <v>9</v>
      </c>
      <c r="Z36" s="9">
        <f>IF('[1]Game Input'!$CG36&lt;&gt;"",'[1]Game Input'!$CG36,"")</f>
        <v>0</v>
      </c>
      <c r="AA36" s="9">
        <f>IF('[1]Game Input'!$CH36&lt;&gt;"",'[1]Game Input'!$CH36,"")</f>
        <v>0</v>
      </c>
      <c r="AB36" s="9">
        <f>IF('[1]Game Input'!$CI36&lt;&gt;"",'[1]Game Input'!$CI36,"")</f>
        <v>0</v>
      </c>
      <c r="AC36" s="9">
        <f>IF('[1]Game Input'!$CJ36&lt;&gt;"",'[1]Game Input'!$CJ36,"")</f>
        <v>0</v>
      </c>
      <c r="AD36" s="9">
        <f>IF('[1]Game Input'!$CK36&lt;&gt;"",'[1]Game Input'!$CK36,"")</f>
        <v>0</v>
      </c>
      <c r="AE36" s="8" t="s">
        <v>91</v>
      </c>
      <c r="AF36" s="8" t="s">
        <v>95</v>
      </c>
      <c r="AG36" s="8" t="s">
        <v>122</v>
      </c>
      <c r="AH36" s="8" t="s">
        <v>121</v>
      </c>
    </row>
    <row r="37" spans="1:34" x14ac:dyDescent="0.2">
      <c r="A37" s="6">
        <f>IF('[1]Game Input'!$A37&lt;&gt;"",'[1]Game Input'!$A37,"")</f>
        <v>43385</v>
      </c>
      <c r="B37" s="6" t="str">
        <f>IF(A37&gt;$B$1,VLOOKUP(MONTH($A37),DOTWMonth,2,FALSE),"")</f>
        <v>October</v>
      </c>
      <c r="C37" s="10" t="str">
        <f>IF(A37&gt;$B$1,VLOOKUP(WEEKDAY($A37),DOTWMonth,3,FALSE),"")</f>
        <v>Friday</v>
      </c>
      <c r="D37" s="7">
        <f>IF('[1]Game Input'!$B37&lt;&gt;"",'[1]Game Input'!$B37,"")</f>
        <v>0.83680555555555547</v>
      </c>
      <c r="E37" s="7">
        <f>IF('[1]Game Input'!$C37&lt;&gt;"",'[1]Game Input'!$C37,"")</f>
        <v>0.79513888888888884</v>
      </c>
      <c r="F37" s="8" t="str">
        <f>IF('[1]Game Input'!$D37&lt;&gt;"",'[1]Game Input'!$D37,"")</f>
        <v>Daylight</v>
      </c>
      <c r="G37" s="8" t="str">
        <f>IF('[1]Game Input'!$G37&lt;&gt;"",'[1]Game Input'!$G37,"")</f>
        <v>CHI @ MAD</v>
      </c>
      <c r="H37" s="8" t="str">
        <f>IF('[1]Game Input'!$H37&lt;&gt;"",'[1]Game Input'!$H37,"")</f>
        <v>Vs. Conference</v>
      </c>
      <c r="I37" s="8" t="str">
        <f>IF('[1]Game Input'!$I37&lt;&gt;"",'[1]Game Input'!$I37,"")</f>
        <v>CHICAGO</v>
      </c>
      <c r="J37" s="9">
        <f>IF('[1]Game Input'!$AC37&lt;&gt;"",'[1]Game Input'!$AC37,"")</f>
        <v>8</v>
      </c>
      <c r="K37" s="9">
        <f>IF('[1]Game Input'!$AD37&lt;&gt;"",'[1]Game Input'!$AD37,"")</f>
        <v>4</v>
      </c>
      <c r="L37" s="9">
        <f>IF('[1]Game Input'!$AJ37&lt;&gt;"",'[1]Game Input'!$AJ37,"")</f>
        <v>0</v>
      </c>
      <c r="M37" s="9">
        <f>IF('[1]Game Input'!$AK37&lt;&gt;"",'[1]Game Input'!$AK37,"")</f>
        <v>0</v>
      </c>
      <c r="N37" s="9">
        <f>IF('[1]Game Input'!$AN37&lt;&gt;"",'[1]Game Input'!$AN37,"")</f>
        <v>4</v>
      </c>
      <c r="O37" s="9">
        <f>IF('[1]Game Input'!$AO37&lt;&gt;"",'[1]Game Input'!$AO37,"")</f>
        <v>0</v>
      </c>
      <c r="P37" s="9">
        <f>IF('[1]Game Input'!$AP37&lt;&gt;"",'[1]Game Input'!$AP37,"")</f>
        <v>0</v>
      </c>
      <c r="Q37" s="9">
        <f>IF('[1]Game Input'!$AQ37&lt;&gt;"",'[1]Game Input'!$AQ37,"")</f>
        <v>0</v>
      </c>
      <c r="R37" s="9">
        <f>IF('[1]Game Input'!$AR37&lt;&gt;"",'[1]Game Input'!$AR37,"")</f>
        <v>0</v>
      </c>
      <c r="S37" s="9">
        <f>IF('[1]Game Input'!$AS37&lt;&gt;"",'[1]Game Input'!$AS37,"")</f>
        <v>0</v>
      </c>
      <c r="T37" s="10" t="str">
        <f>IF('[1]Game Input'!$BA37&lt;&gt;"",'[1]Game Input'!$BA37,"")</f>
        <v>MADISON</v>
      </c>
      <c r="U37" s="9">
        <f>IF('[1]Game Input'!$BU37&lt;&gt;"",'[1]Game Input'!$BU37,"")</f>
        <v>8</v>
      </c>
      <c r="V37" s="9">
        <f>IF('[1]Game Input'!$BV37&lt;&gt;"",'[1]Game Input'!$BV37,"")</f>
        <v>4</v>
      </c>
      <c r="W37" s="9">
        <f>IF('[1]Game Input'!$CB37&lt;&gt;"",'[1]Game Input'!$CB37,"")</f>
        <v>0</v>
      </c>
      <c r="X37" s="9">
        <f>IF('[1]Game Input'!$CC37&lt;&gt;"",'[1]Game Input'!$CC37,"")</f>
        <v>0</v>
      </c>
      <c r="Y37" s="9">
        <f>IF('[1]Game Input'!$CF37&lt;&gt;"",'[1]Game Input'!$CF37,"")</f>
        <v>4</v>
      </c>
      <c r="Z37" s="9">
        <f>IF('[1]Game Input'!$CG37&lt;&gt;"",'[1]Game Input'!$CG37,"")</f>
        <v>0</v>
      </c>
      <c r="AA37" s="9">
        <f>IF('[1]Game Input'!$CH37&lt;&gt;"",'[1]Game Input'!$CH37,"")</f>
        <v>0</v>
      </c>
      <c r="AB37" s="9">
        <f>IF('[1]Game Input'!$CI37&lt;&gt;"",'[1]Game Input'!$CI37,"")</f>
        <v>0</v>
      </c>
      <c r="AC37" s="9">
        <f>IF('[1]Game Input'!$CJ37&lt;&gt;"",'[1]Game Input'!$CJ37,"")</f>
        <v>0</v>
      </c>
      <c r="AD37" s="9">
        <f>IF('[1]Game Input'!$CK37&lt;&gt;"",'[1]Game Input'!$CK37,"")</f>
        <v>0</v>
      </c>
      <c r="AE37" s="8"/>
      <c r="AF37" s="8"/>
      <c r="AG37" s="8"/>
      <c r="AH37" s="8"/>
    </row>
    <row r="38" spans="1:34" x14ac:dyDescent="0.2">
      <c r="A38" s="6">
        <f>IF('[1]Game Input'!$A38&lt;&gt;"",'[1]Game Input'!$A38,"")</f>
        <v>43385</v>
      </c>
      <c r="B38" s="6" t="str">
        <f>IF(A38&gt;$B$1,VLOOKUP(MONTH($A38),DOTWMonth,2,FALSE),"")</f>
        <v>October</v>
      </c>
      <c r="C38" s="10" t="str">
        <f>IF(A38&gt;$B$1,VLOOKUP(WEEKDAY($A38),DOTWMonth,3,FALSE),"")</f>
        <v>Friday</v>
      </c>
      <c r="D38" s="7">
        <f>IF('[1]Game Input'!$B38&lt;&gt;"",'[1]Game Input'!$B38,"")</f>
        <v>0.83680555555555547</v>
      </c>
      <c r="E38" s="7">
        <f>IF('[1]Game Input'!$C38&lt;&gt;"",'[1]Game Input'!$C38,"")</f>
        <v>0.79513888888888884</v>
      </c>
      <c r="F38" s="8" t="str">
        <f>IF('[1]Game Input'!$D38&lt;&gt;"",'[1]Game Input'!$D38,"")</f>
        <v>Daylight</v>
      </c>
      <c r="G38" s="8" t="str">
        <f>IF('[1]Game Input'!$G38&lt;&gt;"",'[1]Game Input'!$G38,"")</f>
        <v>DM @ TC</v>
      </c>
      <c r="H38" s="8" t="str">
        <f>IF('[1]Game Input'!$H38&lt;&gt;"",'[1]Game Input'!$H38,"")</f>
        <v>Vs. Conference</v>
      </c>
      <c r="I38" s="8" t="str">
        <f>IF('[1]Game Input'!$I38&lt;&gt;"",'[1]Game Input'!$I38,"")</f>
        <v>DES MOINES</v>
      </c>
      <c r="J38" s="9">
        <f>IF('[1]Game Input'!$AC38&lt;&gt;"",'[1]Game Input'!$AC38,"")</f>
        <v>10</v>
      </c>
      <c r="K38" s="9">
        <f>IF('[1]Game Input'!$AD38&lt;&gt;"",'[1]Game Input'!$AD38,"")</f>
        <v>5</v>
      </c>
      <c r="L38" s="9">
        <f>IF('[1]Game Input'!$AJ38&lt;&gt;"",'[1]Game Input'!$AJ38,"")</f>
        <v>0</v>
      </c>
      <c r="M38" s="9">
        <f>IF('[1]Game Input'!$AK38&lt;&gt;"",'[1]Game Input'!$AK38,"")</f>
        <v>0</v>
      </c>
      <c r="N38" s="9">
        <f>IF('[1]Game Input'!$AN38&lt;&gt;"",'[1]Game Input'!$AN38,"")</f>
        <v>5</v>
      </c>
      <c r="O38" s="9">
        <f>IF('[1]Game Input'!$AO38&lt;&gt;"",'[1]Game Input'!$AO38,"")</f>
        <v>0</v>
      </c>
      <c r="P38" s="9">
        <f>IF('[1]Game Input'!$AP38&lt;&gt;"",'[1]Game Input'!$AP38,"")</f>
        <v>0</v>
      </c>
      <c r="Q38" s="9">
        <f>IF('[1]Game Input'!$AQ38&lt;&gt;"",'[1]Game Input'!$AQ38,"")</f>
        <v>0</v>
      </c>
      <c r="R38" s="9">
        <f>IF('[1]Game Input'!$AR38&lt;&gt;"",'[1]Game Input'!$AR38,"")</f>
        <v>0</v>
      </c>
      <c r="S38" s="9">
        <f>IF('[1]Game Input'!$AS38&lt;&gt;"",'[1]Game Input'!$AS38,"")</f>
        <v>0</v>
      </c>
      <c r="T38" s="10" t="str">
        <f>IF('[1]Game Input'!$BA38&lt;&gt;"",'[1]Game Input'!$BA38,"")</f>
        <v>TRI-CITY</v>
      </c>
      <c r="U38" s="9">
        <f>IF('[1]Game Input'!$BU38&lt;&gt;"",'[1]Game Input'!$BU38,"")</f>
        <v>12</v>
      </c>
      <c r="V38" s="9">
        <f>IF('[1]Game Input'!$BV38&lt;&gt;"",'[1]Game Input'!$BV38,"")</f>
        <v>6</v>
      </c>
      <c r="W38" s="9">
        <f>IF('[1]Game Input'!$CB38&lt;&gt;"",'[1]Game Input'!$CB38,"")</f>
        <v>0</v>
      </c>
      <c r="X38" s="9">
        <f>IF('[1]Game Input'!$CC38&lt;&gt;"",'[1]Game Input'!$CC38,"")</f>
        <v>0</v>
      </c>
      <c r="Y38" s="9">
        <f>IF('[1]Game Input'!$CF38&lt;&gt;"",'[1]Game Input'!$CF38,"")</f>
        <v>6</v>
      </c>
      <c r="Z38" s="9">
        <f>IF('[1]Game Input'!$CG38&lt;&gt;"",'[1]Game Input'!$CG38,"")</f>
        <v>0</v>
      </c>
      <c r="AA38" s="9">
        <f>IF('[1]Game Input'!$CH38&lt;&gt;"",'[1]Game Input'!$CH38,"")</f>
        <v>0</v>
      </c>
      <c r="AB38" s="9">
        <f>IF('[1]Game Input'!$CI38&lt;&gt;"",'[1]Game Input'!$CI38,"")</f>
        <v>0</v>
      </c>
      <c r="AC38" s="9">
        <f>IF('[1]Game Input'!$CJ38&lt;&gt;"",'[1]Game Input'!$CJ38,"")</f>
        <v>0</v>
      </c>
      <c r="AD38" s="9">
        <f>IF('[1]Game Input'!$CK38&lt;&gt;"",'[1]Game Input'!$CK38,"")</f>
        <v>0</v>
      </c>
      <c r="AE38" s="8" t="s">
        <v>97</v>
      </c>
      <c r="AF38" s="8" t="s">
        <v>131</v>
      </c>
      <c r="AG38" s="8" t="s">
        <v>111</v>
      </c>
      <c r="AH38" s="8" t="s">
        <v>117</v>
      </c>
    </row>
    <row r="39" spans="1:34" x14ac:dyDescent="0.2">
      <c r="A39" s="6">
        <f>IF('[1]Game Input'!$A39&lt;&gt;"",'[1]Game Input'!$A39,"")</f>
        <v>43385</v>
      </c>
      <c r="B39" s="6" t="str">
        <f>IF(A39&gt;$B$1,VLOOKUP(MONTH($A39),DOTWMonth,2,FALSE),"")</f>
        <v>October</v>
      </c>
      <c r="C39" s="10" t="str">
        <f>IF(A39&gt;$B$1,VLOOKUP(WEEKDAY($A39),DOTWMonth,3,FALSE),"")</f>
        <v>Friday</v>
      </c>
      <c r="D39" s="7">
        <f>IF('[1]Game Input'!$B39&lt;&gt;"",'[1]Game Input'!$B39,"")</f>
        <v>0.83680555555555547</v>
      </c>
      <c r="E39" s="7">
        <f>IF('[1]Game Input'!$C39&lt;&gt;"",'[1]Game Input'!$C39,"")</f>
        <v>0.79513888888888884</v>
      </c>
      <c r="F39" s="8" t="str">
        <f>IF('[1]Game Input'!$D39&lt;&gt;"",'[1]Game Input'!$D39,"")</f>
        <v>Daylight</v>
      </c>
      <c r="G39" s="8" t="str">
        <f>IF('[1]Game Input'!$G39&lt;&gt;"",'[1]Game Input'!$G39,"")</f>
        <v>DUB @ LIN</v>
      </c>
      <c r="H39" s="8" t="str">
        <f>IF('[1]Game Input'!$H39&lt;&gt;"",'[1]Game Input'!$H39,"")</f>
        <v>Vs. Non-Conference</v>
      </c>
      <c r="I39" s="8" t="str">
        <f>IF('[1]Game Input'!$I39&lt;&gt;"",'[1]Game Input'!$I39,"")</f>
        <v>DUBUQUE</v>
      </c>
      <c r="J39" s="9">
        <f>IF('[1]Game Input'!$AC39&lt;&gt;"",'[1]Game Input'!$AC39,"")</f>
        <v>8</v>
      </c>
      <c r="K39" s="9">
        <f>IF('[1]Game Input'!$AD39&lt;&gt;"",'[1]Game Input'!$AD39,"")</f>
        <v>4</v>
      </c>
      <c r="L39" s="9">
        <f>IF('[1]Game Input'!$AJ39&lt;&gt;"",'[1]Game Input'!$AJ39,"")</f>
        <v>0</v>
      </c>
      <c r="M39" s="9">
        <f>IF('[1]Game Input'!$AK39&lt;&gt;"",'[1]Game Input'!$AK39,"")</f>
        <v>0</v>
      </c>
      <c r="N39" s="9">
        <f>IF('[1]Game Input'!$AN39&lt;&gt;"",'[1]Game Input'!$AN39,"")</f>
        <v>4</v>
      </c>
      <c r="O39" s="9">
        <f>IF('[1]Game Input'!$AO39&lt;&gt;"",'[1]Game Input'!$AO39,"")</f>
        <v>0</v>
      </c>
      <c r="P39" s="9">
        <f>IF('[1]Game Input'!$AP39&lt;&gt;"",'[1]Game Input'!$AP39,"")</f>
        <v>0</v>
      </c>
      <c r="Q39" s="9">
        <f>IF('[1]Game Input'!$AQ39&lt;&gt;"",'[1]Game Input'!$AQ39,"")</f>
        <v>0</v>
      </c>
      <c r="R39" s="9">
        <f>IF('[1]Game Input'!$AR39&lt;&gt;"",'[1]Game Input'!$AR39,"")</f>
        <v>0</v>
      </c>
      <c r="S39" s="9">
        <f>IF('[1]Game Input'!$AS39&lt;&gt;"",'[1]Game Input'!$AS39,"")</f>
        <v>0</v>
      </c>
      <c r="T39" s="10" t="str">
        <f>IF('[1]Game Input'!$BA39&lt;&gt;"",'[1]Game Input'!$BA39,"")</f>
        <v>LINCOLN</v>
      </c>
      <c r="U39" s="9">
        <f>IF('[1]Game Input'!$BU39&lt;&gt;"",'[1]Game Input'!$BU39,"")</f>
        <v>4</v>
      </c>
      <c r="V39" s="9">
        <f>IF('[1]Game Input'!$BV39&lt;&gt;"",'[1]Game Input'!$BV39,"")</f>
        <v>2</v>
      </c>
      <c r="W39" s="9">
        <f>IF('[1]Game Input'!$CB39&lt;&gt;"",'[1]Game Input'!$CB39,"")</f>
        <v>0</v>
      </c>
      <c r="X39" s="9">
        <f>IF('[1]Game Input'!$CC39&lt;&gt;"",'[1]Game Input'!$CC39,"")</f>
        <v>0</v>
      </c>
      <c r="Y39" s="9">
        <f>IF('[1]Game Input'!$CF39&lt;&gt;"",'[1]Game Input'!$CF39,"")</f>
        <v>2</v>
      </c>
      <c r="Z39" s="9">
        <f>IF('[1]Game Input'!$CG39&lt;&gt;"",'[1]Game Input'!$CG39,"")</f>
        <v>0</v>
      </c>
      <c r="AA39" s="9">
        <f>IF('[1]Game Input'!$CH39&lt;&gt;"",'[1]Game Input'!$CH39,"")</f>
        <v>0</v>
      </c>
      <c r="AB39" s="9">
        <f>IF('[1]Game Input'!$CI39&lt;&gt;"",'[1]Game Input'!$CI39,"")</f>
        <v>0</v>
      </c>
      <c r="AC39" s="9">
        <f>IF('[1]Game Input'!$CJ39&lt;&gt;"",'[1]Game Input'!$CJ39,"")</f>
        <v>0</v>
      </c>
      <c r="AD39" s="9">
        <f>IF('[1]Game Input'!$CK39&lt;&gt;"",'[1]Game Input'!$CK39,"")</f>
        <v>0</v>
      </c>
      <c r="AE39" s="8"/>
      <c r="AF39" s="8"/>
      <c r="AG39" s="8"/>
      <c r="AH39" s="8"/>
    </row>
    <row r="40" spans="1:34" x14ac:dyDescent="0.2">
      <c r="A40" s="6">
        <f>IF('[1]Game Input'!$A40&lt;&gt;"",'[1]Game Input'!$A40,"")</f>
        <v>43385</v>
      </c>
      <c r="B40" s="6" t="str">
        <f>IF(A40&gt;$B$1,VLOOKUP(MONTH($A40),DOTWMonth,2,FALSE),"")</f>
        <v>October</v>
      </c>
      <c r="C40" s="10" t="str">
        <f>IF(A40&gt;$B$1,VLOOKUP(WEEKDAY($A40),DOTWMonth,3,FALSE),"")</f>
        <v>Friday</v>
      </c>
      <c r="D40" s="7">
        <f>IF('[1]Game Input'!$B40&lt;&gt;"",'[1]Game Input'!$B40,"")</f>
        <v>0.83819444444444446</v>
      </c>
      <c r="E40" s="7">
        <f>IF('[1]Game Input'!$C40&lt;&gt;"",'[1]Game Input'!$C40,"")</f>
        <v>0.79652777777777783</v>
      </c>
      <c r="F40" s="8" t="str">
        <f>IF('[1]Game Input'!$D40&lt;&gt;"",'[1]Game Input'!$D40,"")</f>
        <v>Daylight</v>
      </c>
      <c r="G40" s="8" t="str">
        <f>IF('[1]Game Input'!$G40&lt;&gt;"",'[1]Game Input'!$G40,"")</f>
        <v>GB @ CIL</v>
      </c>
      <c r="H40" s="8" t="str">
        <f>IF('[1]Game Input'!$H40&lt;&gt;"",'[1]Game Input'!$H40,"")</f>
        <v>Vs. Conference</v>
      </c>
      <c r="I40" s="8" t="str">
        <f>IF('[1]Game Input'!$I40&lt;&gt;"",'[1]Game Input'!$I40,"")</f>
        <v>GREEN BAY</v>
      </c>
      <c r="J40" s="9">
        <f>IF('[1]Game Input'!$AC40&lt;&gt;"",'[1]Game Input'!$AC40,"")</f>
        <v>16</v>
      </c>
      <c r="K40" s="9">
        <f>IF('[1]Game Input'!$AD40&lt;&gt;"",'[1]Game Input'!$AD40,"")</f>
        <v>4</v>
      </c>
      <c r="L40" s="9">
        <f>IF('[1]Game Input'!$AJ40&lt;&gt;"",'[1]Game Input'!$AJ40,"")</f>
        <v>0</v>
      </c>
      <c r="M40" s="9">
        <f>IF('[1]Game Input'!$AK40&lt;&gt;"",'[1]Game Input'!$AK40,"")</f>
        <v>0</v>
      </c>
      <c r="N40" s="9">
        <f>IF('[1]Game Input'!$AN40&lt;&gt;"",'[1]Game Input'!$AN40,"")</f>
        <v>3</v>
      </c>
      <c r="O40" s="9">
        <f>IF('[1]Game Input'!$AO40&lt;&gt;"",'[1]Game Input'!$AO40,"")</f>
        <v>0</v>
      </c>
      <c r="P40" s="9">
        <f>IF('[1]Game Input'!$AP40&lt;&gt;"",'[1]Game Input'!$AP40,"")</f>
        <v>1</v>
      </c>
      <c r="Q40" s="9">
        <f>IF('[1]Game Input'!$AQ40&lt;&gt;"",'[1]Game Input'!$AQ40,"")</f>
        <v>0</v>
      </c>
      <c r="R40" s="9">
        <f>IF('[1]Game Input'!$AR40&lt;&gt;"",'[1]Game Input'!$AR40,"")</f>
        <v>0</v>
      </c>
      <c r="S40" s="9">
        <f>IF('[1]Game Input'!$AS40&lt;&gt;"",'[1]Game Input'!$AS40,"")</f>
        <v>0</v>
      </c>
      <c r="T40" s="10" t="str">
        <f>IF('[1]Game Input'!$BA40&lt;&gt;"",'[1]Game Input'!$BA40,"")</f>
        <v>CENTRAL ILLINOIS</v>
      </c>
      <c r="U40" s="9">
        <f>IF('[1]Game Input'!$BU40&lt;&gt;"",'[1]Game Input'!$BU40,"")</f>
        <v>24</v>
      </c>
      <c r="V40" s="9">
        <f>IF('[1]Game Input'!$BV40&lt;&gt;"",'[1]Game Input'!$BV40,"")</f>
        <v>8</v>
      </c>
      <c r="W40" s="9">
        <f>IF('[1]Game Input'!$CB40&lt;&gt;"",'[1]Game Input'!$CB40,"")</f>
        <v>0</v>
      </c>
      <c r="X40" s="9">
        <f>IF('[1]Game Input'!$CC40&lt;&gt;"",'[1]Game Input'!$CC40,"")</f>
        <v>0</v>
      </c>
      <c r="Y40" s="9">
        <f>IF('[1]Game Input'!$CF40&lt;&gt;"",'[1]Game Input'!$CF40,"")</f>
        <v>7</v>
      </c>
      <c r="Z40" s="9">
        <f>IF('[1]Game Input'!$CG40&lt;&gt;"",'[1]Game Input'!$CG40,"")</f>
        <v>0</v>
      </c>
      <c r="AA40" s="9">
        <f>IF('[1]Game Input'!$CH40&lt;&gt;"",'[1]Game Input'!$CH40,"")</f>
        <v>1</v>
      </c>
      <c r="AB40" s="9">
        <f>IF('[1]Game Input'!$CI40&lt;&gt;"",'[1]Game Input'!$CI40,"")</f>
        <v>0</v>
      </c>
      <c r="AC40" s="9">
        <f>IF('[1]Game Input'!$CJ40&lt;&gt;"",'[1]Game Input'!$CJ40,"")</f>
        <v>0</v>
      </c>
      <c r="AD40" s="9">
        <f>IF('[1]Game Input'!$CK40&lt;&gt;"",'[1]Game Input'!$CK40,"")</f>
        <v>0</v>
      </c>
      <c r="AE40" s="8" t="s">
        <v>90</v>
      </c>
      <c r="AF40" s="8"/>
      <c r="AG40" s="8" t="s">
        <v>113</v>
      </c>
      <c r="AH40" s="8" t="s">
        <v>121</v>
      </c>
    </row>
    <row r="41" spans="1:34" x14ac:dyDescent="0.2">
      <c r="A41" s="6">
        <f>IF('[1]Game Input'!$A41&lt;&gt;"",'[1]Game Input'!$A41,"")</f>
        <v>43385</v>
      </c>
      <c r="B41" s="6" t="str">
        <f>IF(A41&gt;$B$1,VLOOKUP(MONTH($A41),DOTWMonth,2,FALSE),"")</f>
        <v>October</v>
      </c>
      <c r="C41" s="10" t="str">
        <f>IF(A41&gt;$B$1,VLOOKUP(WEEKDAY($A41),DOTWMonth,3,FALSE),"")</f>
        <v>Friday</v>
      </c>
      <c r="D41" s="7">
        <f>IF('[1]Game Input'!$B41&lt;&gt;"",'[1]Game Input'!$B41,"")</f>
        <v>0.85763888888888884</v>
      </c>
      <c r="E41" s="7">
        <f>IF('[1]Game Input'!$C41&lt;&gt;"",'[1]Game Input'!$C41,"")</f>
        <v>0.81597222222222221</v>
      </c>
      <c r="F41" s="8" t="str">
        <f>IF('[1]Game Input'!$D41&lt;&gt;"",'[1]Game Input'!$D41,"")</f>
        <v>Daylight</v>
      </c>
      <c r="G41" s="8" t="str">
        <f>IF('[1]Game Input'!$G41&lt;&gt;"",'[1]Game Input'!$G41,"")</f>
        <v>FGO @ OMA</v>
      </c>
      <c r="H41" s="8" t="str">
        <f>IF('[1]Game Input'!$H41&lt;&gt;"",'[1]Game Input'!$H41,"")</f>
        <v>Vs. Conference</v>
      </c>
      <c r="I41" s="8" t="str">
        <f>IF('[1]Game Input'!$I41&lt;&gt;"",'[1]Game Input'!$I41,"")</f>
        <v>FARGO</v>
      </c>
      <c r="J41" s="9">
        <f>IF('[1]Game Input'!$AC41&lt;&gt;"",'[1]Game Input'!$AC41,"")</f>
        <v>4</v>
      </c>
      <c r="K41" s="9">
        <f>IF('[1]Game Input'!$AD41&lt;&gt;"",'[1]Game Input'!$AD41,"")</f>
        <v>2</v>
      </c>
      <c r="L41" s="9">
        <f>IF('[1]Game Input'!$AJ41&lt;&gt;"",'[1]Game Input'!$AJ41,"")</f>
        <v>0</v>
      </c>
      <c r="M41" s="9">
        <f>IF('[1]Game Input'!$AK41&lt;&gt;"",'[1]Game Input'!$AK41,"")</f>
        <v>0</v>
      </c>
      <c r="N41" s="9">
        <f>IF('[1]Game Input'!$AN41&lt;&gt;"",'[1]Game Input'!$AN41,"")</f>
        <v>2</v>
      </c>
      <c r="O41" s="9">
        <f>IF('[1]Game Input'!$AO41&lt;&gt;"",'[1]Game Input'!$AO41,"")</f>
        <v>0</v>
      </c>
      <c r="P41" s="9">
        <f>IF('[1]Game Input'!$AP41&lt;&gt;"",'[1]Game Input'!$AP41,"")</f>
        <v>0</v>
      </c>
      <c r="Q41" s="9">
        <f>IF('[1]Game Input'!$AQ41&lt;&gt;"",'[1]Game Input'!$AQ41,"")</f>
        <v>0</v>
      </c>
      <c r="R41" s="9">
        <f>IF('[1]Game Input'!$AR41&lt;&gt;"",'[1]Game Input'!$AR41,"")</f>
        <v>0</v>
      </c>
      <c r="S41" s="9">
        <f>IF('[1]Game Input'!$AS41&lt;&gt;"",'[1]Game Input'!$AS41,"")</f>
        <v>0</v>
      </c>
      <c r="T41" s="10" t="str">
        <f>IF('[1]Game Input'!$BA41&lt;&gt;"",'[1]Game Input'!$BA41,"")</f>
        <v>OMAHA</v>
      </c>
      <c r="U41" s="9">
        <f>IF('[1]Game Input'!$BU41&lt;&gt;"",'[1]Game Input'!$BU41,"")</f>
        <v>18</v>
      </c>
      <c r="V41" s="9">
        <f>IF('[1]Game Input'!$BV41&lt;&gt;"",'[1]Game Input'!$BV41,"")</f>
        <v>5</v>
      </c>
      <c r="W41" s="9">
        <f>IF('[1]Game Input'!$CB41&lt;&gt;"",'[1]Game Input'!$CB41,"")</f>
        <v>0</v>
      </c>
      <c r="X41" s="9">
        <f>IF('[1]Game Input'!$CC41&lt;&gt;"",'[1]Game Input'!$CC41,"")</f>
        <v>0</v>
      </c>
      <c r="Y41" s="9">
        <f>IF('[1]Game Input'!$CF41&lt;&gt;"",'[1]Game Input'!$CF41,"")</f>
        <v>4</v>
      </c>
      <c r="Z41" s="9">
        <f>IF('[1]Game Input'!$CG41&lt;&gt;"",'[1]Game Input'!$CG41,"")</f>
        <v>0</v>
      </c>
      <c r="AA41" s="9">
        <f>IF('[1]Game Input'!$CH41&lt;&gt;"",'[1]Game Input'!$CH41,"")</f>
        <v>1</v>
      </c>
      <c r="AB41" s="9">
        <f>IF('[1]Game Input'!$CI41&lt;&gt;"",'[1]Game Input'!$CI41,"")</f>
        <v>0</v>
      </c>
      <c r="AC41" s="9">
        <f>IF('[1]Game Input'!$CJ41&lt;&gt;"",'[1]Game Input'!$CJ41,"")</f>
        <v>0</v>
      </c>
      <c r="AD41" s="9">
        <f>IF('[1]Game Input'!$CK41&lt;&gt;"",'[1]Game Input'!$CK41,"")</f>
        <v>0</v>
      </c>
      <c r="AE41" s="8"/>
      <c r="AF41" s="8"/>
      <c r="AG41" s="8"/>
      <c r="AH41" s="8"/>
    </row>
    <row r="42" spans="1:34" x14ac:dyDescent="0.2">
      <c r="A42" s="6">
        <f>IF('[1]Game Input'!$A42&lt;&gt;"",'[1]Game Input'!$A42,"")</f>
        <v>43386</v>
      </c>
      <c r="B42" s="6" t="str">
        <f>IF(A42&gt;$B$1,VLOOKUP(MONTH($A42),DOTWMonth,2,FALSE),"")</f>
        <v>October</v>
      </c>
      <c r="C42" s="10" t="str">
        <f>IF(A42&gt;$B$1,VLOOKUP(WEEKDAY($A42),DOTWMonth,3,FALSE),"")</f>
        <v>Saturday</v>
      </c>
      <c r="D42" s="7">
        <f>IF('[1]Game Input'!$B42&lt;&gt;"",'[1]Game Input'!$B42,"")</f>
        <v>0.80208333333333337</v>
      </c>
      <c r="E42" s="7">
        <f>IF('[1]Game Input'!$C42&lt;&gt;"",'[1]Game Input'!$C42,"")</f>
        <v>0.76041666666666674</v>
      </c>
      <c r="F42" s="8" t="str">
        <f>IF('[1]Game Input'!$D42&lt;&gt;"",'[1]Game Input'!$D42,"")</f>
        <v>Daylight</v>
      </c>
      <c r="G42" s="8" t="str">
        <f>IF('[1]Game Input'!$G42&lt;&gt;"",'[1]Game Input'!$G42,"")</f>
        <v>CHI @ MUS</v>
      </c>
      <c r="H42" s="8" t="str">
        <f>IF('[1]Game Input'!$H42&lt;&gt;"",'[1]Game Input'!$H42,"")</f>
        <v>Vs. Conference</v>
      </c>
      <c r="I42" s="8" t="str">
        <f>IF('[1]Game Input'!$I42&lt;&gt;"",'[1]Game Input'!$I42,"")</f>
        <v>CHICAGO</v>
      </c>
      <c r="J42" s="9">
        <f>IF('[1]Game Input'!$AC42&lt;&gt;"",'[1]Game Input'!$AC42,"")</f>
        <v>12</v>
      </c>
      <c r="K42" s="9">
        <f>IF('[1]Game Input'!$AD42&lt;&gt;"",'[1]Game Input'!$AD42,"")</f>
        <v>6</v>
      </c>
      <c r="L42" s="9">
        <f>IF('[1]Game Input'!$AJ42&lt;&gt;"",'[1]Game Input'!$AJ42,"")</f>
        <v>0</v>
      </c>
      <c r="M42" s="9">
        <f>IF('[1]Game Input'!$AK42&lt;&gt;"",'[1]Game Input'!$AK42,"")</f>
        <v>0</v>
      </c>
      <c r="N42" s="9">
        <f>IF('[1]Game Input'!$AN42&lt;&gt;"",'[1]Game Input'!$AN42,"")</f>
        <v>6</v>
      </c>
      <c r="O42" s="9">
        <f>IF('[1]Game Input'!$AO42&lt;&gt;"",'[1]Game Input'!$AO42,"")</f>
        <v>0</v>
      </c>
      <c r="P42" s="9">
        <f>IF('[1]Game Input'!$AP42&lt;&gt;"",'[1]Game Input'!$AP42,"")</f>
        <v>0</v>
      </c>
      <c r="Q42" s="9">
        <f>IF('[1]Game Input'!$AQ42&lt;&gt;"",'[1]Game Input'!$AQ42,"")</f>
        <v>0</v>
      </c>
      <c r="R42" s="9">
        <f>IF('[1]Game Input'!$AR42&lt;&gt;"",'[1]Game Input'!$AR42,"")</f>
        <v>0</v>
      </c>
      <c r="S42" s="9">
        <f>IF('[1]Game Input'!$AS42&lt;&gt;"",'[1]Game Input'!$AS42,"")</f>
        <v>0</v>
      </c>
      <c r="T42" s="10" t="str">
        <f>IF('[1]Game Input'!$BA42&lt;&gt;"",'[1]Game Input'!$BA42,"")</f>
        <v>MUSKEGON</v>
      </c>
      <c r="U42" s="9">
        <f>IF('[1]Game Input'!$BU42&lt;&gt;"",'[1]Game Input'!$BU42,"")</f>
        <v>10</v>
      </c>
      <c r="V42" s="9">
        <f>IF('[1]Game Input'!$BV42&lt;&gt;"",'[1]Game Input'!$BV42,"")</f>
        <v>5</v>
      </c>
      <c r="W42" s="9">
        <f>IF('[1]Game Input'!$CB42&lt;&gt;"",'[1]Game Input'!$CB42,"")</f>
        <v>0</v>
      </c>
      <c r="X42" s="9">
        <f>IF('[1]Game Input'!$CC42&lt;&gt;"",'[1]Game Input'!$CC42,"")</f>
        <v>0</v>
      </c>
      <c r="Y42" s="9">
        <f>IF('[1]Game Input'!$CF42&lt;&gt;"",'[1]Game Input'!$CF42,"")</f>
        <v>5</v>
      </c>
      <c r="Z42" s="9">
        <f>IF('[1]Game Input'!$CG42&lt;&gt;"",'[1]Game Input'!$CG42,"")</f>
        <v>0</v>
      </c>
      <c r="AA42" s="9">
        <f>IF('[1]Game Input'!$CH42&lt;&gt;"",'[1]Game Input'!$CH42,"")</f>
        <v>0</v>
      </c>
      <c r="AB42" s="9">
        <f>IF('[1]Game Input'!$CI42&lt;&gt;"",'[1]Game Input'!$CI42,"")</f>
        <v>0</v>
      </c>
      <c r="AC42" s="9">
        <f>IF('[1]Game Input'!$CJ42&lt;&gt;"",'[1]Game Input'!$CJ42,"")</f>
        <v>0</v>
      </c>
      <c r="AD42" s="9">
        <f>IF('[1]Game Input'!$CK42&lt;&gt;"",'[1]Game Input'!$CK42,"")</f>
        <v>0</v>
      </c>
      <c r="AE42" s="8"/>
      <c r="AF42" s="8"/>
      <c r="AG42" s="8"/>
      <c r="AH42" s="8"/>
    </row>
    <row r="43" spans="1:34" x14ac:dyDescent="0.2">
      <c r="A43" s="6">
        <f>IF('[1]Game Input'!$A43&lt;&gt;"",'[1]Game Input'!$A43,"")</f>
        <v>43386</v>
      </c>
      <c r="B43" s="6" t="str">
        <f>IF(A43&gt;$B$1,VLOOKUP(MONTH($A43),DOTWMonth,2,FALSE),"")</f>
        <v>October</v>
      </c>
      <c r="C43" s="10" t="str">
        <f>IF(A43&gt;$B$1,VLOOKUP(WEEKDAY($A43),DOTWMonth,3,FALSE),"")</f>
        <v>Saturday</v>
      </c>
      <c r="D43" s="7">
        <f>IF('[1]Game Input'!$B43&lt;&gt;"",'[1]Game Input'!$B43,"")</f>
        <v>0.83680555555555547</v>
      </c>
      <c r="E43" s="7">
        <f>IF('[1]Game Input'!$C43&lt;&gt;"",'[1]Game Input'!$C43,"")</f>
        <v>0.79513888888888884</v>
      </c>
      <c r="F43" s="8" t="str">
        <f>IF('[1]Game Input'!$D43&lt;&gt;"",'[1]Game Input'!$D43,"")</f>
        <v>Daylight</v>
      </c>
      <c r="G43" s="8" t="str">
        <f>IF('[1]Game Input'!$G43&lt;&gt;"",'[1]Game Input'!$G43,"")</f>
        <v>LIN @ DM</v>
      </c>
      <c r="H43" s="8" t="str">
        <f>IF('[1]Game Input'!$H43&lt;&gt;"",'[1]Game Input'!$H43,"")</f>
        <v>Vs. Conference</v>
      </c>
      <c r="I43" s="8" t="str">
        <f>IF('[1]Game Input'!$I43&lt;&gt;"",'[1]Game Input'!$I43,"")</f>
        <v>LINCOLN</v>
      </c>
      <c r="J43" s="9">
        <f>IF('[1]Game Input'!$AC43&lt;&gt;"",'[1]Game Input'!$AC43,"")</f>
        <v>8</v>
      </c>
      <c r="K43" s="9">
        <f>IF('[1]Game Input'!$AD43&lt;&gt;"",'[1]Game Input'!$AD43,"")</f>
        <v>4</v>
      </c>
      <c r="L43" s="9">
        <f>IF('[1]Game Input'!$AJ43&lt;&gt;"",'[1]Game Input'!$AJ43,"")</f>
        <v>0</v>
      </c>
      <c r="M43" s="9">
        <f>IF('[1]Game Input'!$AK43&lt;&gt;"",'[1]Game Input'!$AK43,"")</f>
        <v>0</v>
      </c>
      <c r="N43" s="9">
        <f>IF('[1]Game Input'!$AN43&lt;&gt;"",'[1]Game Input'!$AN43,"")</f>
        <v>4</v>
      </c>
      <c r="O43" s="9">
        <f>IF('[1]Game Input'!$AO43&lt;&gt;"",'[1]Game Input'!$AO43,"")</f>
        <v>0</v>
      </c>
      <c r="P43" s="9">
        <f>IF('[1]Game Input'!$AP43&lt;&gt;"",'[1]Game Input'!$AP43,"")</f>
        <v>0</v>
      </c>
      <c r="Q43" s="9">
        <f>IF('[1]Game Input'!$AQ43&lt;&gt;"",'[1]Game Input'!$AQ43,"")</f>
        <v>0</v>
      </c>
      <c r="R43" s="9">
        <f>IF('[1]Game Input'!$AR43&lt;&gt;"",'[1]Game Input'!$AR43,"")</f>
        <v>0</v>
      </c>
      <c r="S43" s="9">
        <f>IF('[1]Game Input'!$AS43&lt;&gt;"",'[1]Game Input'!$AS43,"")</f>
        <v>0</v>
      </c>
      <c r="T43" s="10" t="str">
        <f>IF('[1]Game Input'!$BA43&lt;&gt;"",'[1]Game Input'!$BA43,"")</f>
        <v>DES MOINES</v>
      </c>
      <c r="U43" s="9">
        <f>IF('[1]Game Input'!$BU43&lt;&gt;"",'[1]Game Input'!$BU43,"")</f>
        <v>10</v>
      </c>
      <c r="V43" s="9">
        <f>IF('[1]Game Input'!$BV43&lt;&gt;"",'[1]Game Input'!$BV43,"")</f>
        <v>5</v>
      </c>
      <c r="W43" s="9">
        <f>IF('[1]Game Input'!$CB43&lt;&gt;"",'[1]Game Input'!$CB43,"")</f>
        <v>0</v>
      </c>
      <c r="X43" s="9">
        <f>IF('[1]Game Input'!$CC43&lt;&gt;"",'[1]Game Input'!$CC43,"")</f>
        <v>0</v>
      </c>
      <c r="Y43" s="9">
        <f>IF('[1]Game Input'!$CF43&lt;&gt;"",'[1]Game Input'!$CF43,"")</f>
        <v>5</v>
      </c>
      <c r="Z43" s="9">
        <f>IF('[1]Game Input'!$CG43&lt;&gt;"",'[1]Game Input'!$CG43,"")</f>
        <v>0</v>
      </c>
      <c r="AA43" s="9">
        <f>IF('[1]Game Input'!$CH43&lt;&gt;"",'[1]Game Input'!$CH43,"")</f>
        <v>0</v>
      </c>
      <c r="AB43" s="9">
        <f>IF('[1]Game Input'!$CI43&lt;&gt;"",'[1]Game Input'!$CI43,"")</f>
        <v>0</v>
      </c>
      <c r="AC43" s="9">
        <f>IF('[1]Game Input'!$CJ43&lt;&gt;"",'[1]Game Input'!$CJ43,"")</f>
        <v>0</v>
      </c>
      <c r="AD43" s="9">
        <f>IF('[1]Game Input'!$CK43&lt;&gt;"",'[1]Game Input'!$CK43,"")</f>
        <v>0</v>
      </c>
      <c r="AE43" s="8" t="s">
        <v>98</v>
      </c>
      <c r="AF43" s="8" t="s">
        <v>106</v>
      </c>
      <c r="AG43" s="8" t="s">
        <v>118</v>
      </c>
      <c r="AH43" s="8" t="s">
        <v>124</v>
      </c>
    </row>
    <row r="44" spans="1:34" x14ac:dyDescent="0.2">
      <c r="A44" s="6">
        <f>IF('[1]Game Input'!$A44&lt;&gt;"",'[1]Game Input'!$A44,"")</f>
        <v>43386</v>
      </c>
      <c r="B44" s="6" t="str">
        <f>IF(A44&gt;$B$1,VLOOKUP(MONTH($A44),DOTWMonth,2,FALSE),"")</f>
        <v>October</v>
      </c>
      <c r="C44" s="10" t="str">
        <f>IF(A44&gt;$B$1,VLOOKUP(WEEKDAY($A44),DOTWMonth,3,FALSE),"")</f>
        <v>Saturday</v>
      </c>
      <c r="D44" s="7">
        <f>IF('[1]Game Input'!$B44&lt;&gt;"",'[1]Game Input'!$B44,"")</f>
        <v>0.83680555555555547</v>
      </c>
      <c r="E44" s="7">
        <f>IF('[1]Game Input'!$C44&lt;&gt;"",'[1]Game Input'!$C44,"")</f>
        <v>0.79513888888888884</v>
      </c>
      <c r="F44" s="8" t="str">
        <f>IF('[1]Game Input'!$D44&lt;&gt;"",'[1]Game Input'!$D44,"")</f>
        <v>Daylight</v>
      </c>
      <c r="G44" s="8" t="str">
        <f>IF('[1]Game Input'!$G44&lt;&gt;"",'[1]Game Input'!$G44,"")</f>
        <v>CIL @ MAD</v>
      </c>
      <c r="H44" s="8" t="str">
        <f>IF('[1]Game Input'!$H44&lt;&gt;"",'[1]Game Input'!$H44,"")</f>
        <v>Vs. Conference</v>
      </c>
      <c r="I44" s="8" t="str">
        <f>IF('[1]Game Input'!$I44&lt;&gt;"",'[1]Game Input'!$I44,"")</f>
        <v>CENTRAL ILLINOIS</v>
      </c>
      <c r="J44" s="9">
        <f>IF('[1]Game Input'!$AC44&lt;&gt;"",'[1]Game Input'!$AC44,"")</f>
        <v>14</v>
      </c>
      <c r="K44" s="9">
        <f>IF('[1]Game Input'!$AD44&lt;&gt;"",'[1]Game Input'!$AD44,"")</f>
        <v>7</v>
      </c>
      <c r="L44" s="9">
        <f>IF('[1]Game Input'!$AJ44&lt;&gt;"",'[1]Game Input'!$AJ44,"")</f>
        <v>0</v>
      </c>
      <c r="M44" s="9">
        <f>IF('[1]Game Input'!$AK44&lt;&gt;"",'[1]Game Input'!$AK44,"")</f>
        <v>0</v>
      </c>
      <c r="N44" s="9">
        <f>IF('[1]Game Input'!$AN44&lt;&gt;"",'[1]Game Input'!$AN44,"")</f>
        <v>7</v>
      </c>
      <c r="O44" s="9">
        <f>IF('[1]Game Input'!$AO44&lt;&gt;"",'[1]Game Input'!$AO44,"")</f>
        <v>0</v>
      </c>
      <c r="P44" s="9">
        <f>IF('[1]Game Input'!$AP44&lt;&gt;"",'[1]Game Input'!$AP44,"")</f>
        <v>0</v>
      </c>
      <c r="Q44" s="9">
        <f>IF('[1]Game Input'!$AQ44&lt;&gt;"",'[1]Game Input'!$AQ44,"")</f>
        <v>0</v>
      </c>
      <c r="R44" s="9">
        <f>IF('[1]Game Input'!$AR44&lt;&gt;"",'[1]Game Input'!$AR44,"")</f>
        <v>0</v>
      </c>
      <c r="S44" s="9">
        <f>IF('[1]Game Input'!$AS44&lt;&gt;"",'[1]Game Input'!$AS44,"")</f>
        <v>0</v>
      </c>
      <c r="T44" s="10" t="str">
        <f>IF('[1]Game Input'!$BA44&lt;&gt;"",'[1]Game Input'!$BA44,"")</f>
        <v>MADISON</v>
      </c>
      <c r="U44" s="9">
        <f>IF('[1]Game Input'!$BU44&lt;&gt;"",'[1]Game Input'!$BU44,"")</f>
        <v>27</v>
      </c>
      <c r="V44" s="9">
        <f>IF('[1]Game Input'!$BV44&lt;&gt;"",'[1]Game Input'!$BV44,"")</f>
        <v>8</v>
      </c>
      <c r="W44" s="9">
        <f>IF('[1]Game Input'!$CB44&lt;&gt;"",'[1]Game Input'!$CB44,"")</f>
        <v>0</v>
      </c>
      <c r="X44" s="9">
        <f>IF('[1]Game Input'!$CC44&lt;&gt;"",'[1]Game Input'!$CC44,"")</f>
        <v>0</v>
      </c>
      <c r="Y44" s="9">
        <f>IF('[1]Game Input'!$CF44&lt;&gt;"",'[1]Game Input'!$CF44,"")</f>
        <v>6</v>
      </c>
      <c r="Z44" s="9">
        <f>IF('[1]Game Input'!$CG44&lt;&gt;"",'[1]Game Input'!$CG44,"")</f>
        <v>1</v>
      </c>
      <c r="AA44" s="9">
        <f>IF('[1]Game Input'!$CH44&lt;&gt;"",'[1]Game Input'!$CH44,"")</f>
        <v>0</v>
      </c>
      <c r="AB44" s="9">
        <f>IF('[1]Game Input'!$CI44&lt;&gt;"",'[1]Game Input'!$CI44,"")</f>
        <v>1</v>
      </c>
      <c r="AC44" s="9">
        <f>IF('[1]Game Input'!$CJ44&lt;&gt;"",'[1]Game Input'!$CJ44,"")</f>
        <v>0</v>
      </c>
      <c r="AD44" s="9">
        <f>IF('[1]Game Input'!$CK44&lt;&gt;"",'[1]Game Input'!$CK44,"")</f>
        <v>0</v>
      </c>
      <c r="AE44" s="8" t="s">
        <v>133</v>
      </c>
      <c r="AF44" s="8"/>
      <c r="AG44" s="8" t="s">
        <v>141</v>
      </c>
      <c r="AH44" s="8" t="s">
        <v>113</v>
      </c>
    </row>
    <row r="45" spans="1:34" x14ac:dyDescent="0.2">
      <c r="A45" s="6">
        <f>IF('[1]Game Input'!$A45&lt;&gt;"",'[1]Game Input'!$A45,"")</f>
        <v>43386</v>
      </c>
      <c r="B45" s="6" t="str">
        <f>IF(A45&gt;$B$1,VLOOKUP(MONTH($A45),DOTWMonth,2,FALSE),"")</f>
        <v>October</v>
      </c>
      <c r="C45" s="10" t="str">
        <f>IF(A45&gt;$B$1,VLOOKUP(WEEKDAY($A45),DOTWMonth,3,FALSE),"")</f>
        <v>Saturday</v>
      </c>
      <c r="D45" s="7">
        <f>IF('[1]Game Input'!$B45&lt;&gt;"",'[1]Game Input'!$B45,"")</f>
        <v>0.83680555555555547</v>
      </c>
      <c r="E45" s="7">
        <f>IF('[1]Game Input'!$C45&lt;&gt;"",'[1]Game Input'!$C45,"")</f>
        <v>0.79513888888888884</v>
      </c>
      <c r="F45" s="8" t="str">
        <f>IF('[1]Game Input'!$D45&lt;&gt;"",'[1]Game Input'!$D45,"")</f>
        <v>Daylight</v>
      </c>
      <c r="G45" s="8" t="str">
        <f>IF('[1]Game Input'!$G45&lt;&gt;"",'[1]Game Input'!$G45,"")</f>
        <v>FGO @ SF</v>
      </c>
      <c r="H45" s="8" t="str">
        <f>IF('[1]Game Input'!$H45&lt;&gt;"",'[1]Game Input'!$H45,"")</f>
        <v>Vs. Conference</v>
      </c>
      <c r="I45" s="8" t="str">
        <f>IF('[1]Game Input'!$I45&lt;&gt;"",'[1]Game Input'!$I45,"")</f>
        <v>FARGO</v>
      </c>
      <c r="J45" s="9">
        <f>IF('[1]Game Input'!$AC45&lt;&gt;"",'[1]Game Input'!$AC45,"")</f>
        <v>2</v>
      </c>
      <c r="K45" s="9">
        <f>IF('[1]Game Input'!$AD45&lt;&gt;"",'[1]Game Input'!$AD45,"")</f>
        <v>1</v>
      </c>
      <c r="L45" s="9">
        <f>IF('[1]Game Input'!$AJ45&lt;&gt;"",'[1]Game Input'!$AJ45,"")</f>
        <v>0</v>
      </c>
      <c r="M45" s="9">
        <f>IF('[1]Game Input'!$AK45&lt;&gt;"",'[1]Game Input'!$AK45,"")</f>
        <v>0</v>
      </c>
      <c r="N45" s="9">
        <f>IF('[1]Game Input'!$AN45&lt;&gt;"",'[1]Game Input'!$AN45,"")</f>
        <v>1</v>
      </c>
      <c r="O45" s="9">
        <f>IF('[1]Game Input'!$AO45&lt;&gt;"",'[1]Game Input'!$AO45,"")</f>
        <v>0</v>
      </c>
      <c r="P45" s="9">
        <f>IF('[1]Game Input'!$AP45&lt;&gt;"",'[1]Game Input'!$AP45,"")</f>
        <v>0</v>
      </c>
      <c r="Q45" s="9">
        <f>IF('[1]Game Input'!$AQ45&lt;&gt;"",'[1]Game Input'!$AQ45,"")</f>
        <v>0</v>
      </c>
      <c r="R45" s="9">
        <f>IF('[1]Game Input'!$AR45&lt;&gt;"",'[1]Game Input'!$AR45,"")</f>
        <v>0</v>
      </c>
      <c r="S45" s="9">
        <f>IF('[1]Game Input'!$AS45&lt;&gt;"",'[1]Game Input'!$AS45,"")</f>
        <v>0</v>
      </c>
      <c r="T45" s="10" t="str">
        <f>IF('[1]Game Input'!$BA45&lt;&gt;"",'[1]Game Input'!$BA45,"")</f>
        <v>SIOUX FALLS</v>
      </c>
      <c r="U45" s="9">
        <f>IF('[1]Game Input'!$BU45&lt;&gt;"",'[1]Game Input'!$BU45,"")</f>
        <v>2</v>
      </c>
      <c r="V45" s="9">
        <f>IF('[1]Game Input'!$BV45&lt;&gt;"",'[1]Game Input'!$BV45,"")</f>
        <v>1</v>
      </c>
      <c r="W45" s="9">
        <f>IF('[1]Game Input'!$CB45&lt;&gt;"",'[1]Game Input'!$CB45,"")</f>
        <v>0</v>
      </c>
      <c r="X45" s="9">
        <f>IF('[1]Game Input'!$CC45&lt;&gt;"",'[1]Game Input'!$CC45,"")</f>
        <v>0</v>
      </c>
      <c r="Y45" s="9">
        <f>IF('[1]Game Input'!$CF45&lt;&gt;"",'[1]Game Input'!$CF45,"")</f>
        <v>1</v>
      </c>
      <c r="Z45" s="9">
        <f>IF('[1]Game Input'!$CG45&lt;&gt;"",'[1]Game Input'!$CG45,"")</f>
        <v>0</v>
      </c>
      <c r="AA45" s="9">
        <f>IF('[1]Game Input'!$CH45&lt;&gt;"",'[1]Game Input'!$CH45,"")</f>
        <v>0</v>
      </c>
      <c r="AB45" s="9">
        <f>IF('[1]Game Input'!$CI45&lt;&gt;"",'[1]Game Input'!$CI45,"")</f>
        <v>0</v>
      </c>
      <c r="AC45" s="9">
        <f>IF('[1]Game Input'!$CJ45&lt;&gt;"",'[1]Game Input'!$CJ45,"")</f>
        <v>0</v>
      </c>
      <c r="AD45" s="9">
        <f>IF('[1]Game Input'!$CK45&lt;&gt;"",'[1]Game Input'!$CK45,"")</f>
        <v>0</v>
      </c>
      <c r="AE45" s="8"/>
      <c r="AF45" s="8"/>
      <c r="AG45" s="8"/>
      <c r="AH45" s="8"/>
    </row>
    <row r="46" spans="1:34" x14ac:dyDescent="0.2">
      <c r="A46" s="6">
        <f>IF('[1]Game Input'!$A46&lt;&gt;"",'[1]Game Input'!$A46,"")</f>
        <v>43386</v>
      </c>
      <c r="B46" s="6" t="str">
        <f>IF(A46&gt;$B$1,VLOOKUP(MONTH($A46),DOTWMonth,2,FALSE),"")</f>
        <v>October</v>
      </c>
      <c r="C46" s="10" t="str">
        <f>IF(A46&gt;$B$1,VLOOKUP(WEEKDAY($A46),DOTWMonth,3,FALSE),"")</f>
        <v>Saturday</v>
      </c>
      <c r="D46" s="7">
        <f>IF('[1]Game Input'!$B46&lt;&gt;"",'[1]Game Input'!$B46,"")</f>
        <v>0.83680555555555547</v>
      </c>
      <c r="E46" s="7">
        <f>IF('[1]Game Input'!$C46&lt;&gt;"",'[1]Game Input'!$C46,"")</f>
        <v>0.79513888888888884</v>
      </c>
      <c r="F46" s="8" t="str">
        <f>IF('[1]Game Input'!$D46&lt;&gt;"",'[1]Game Input'!$D46,"")</f>
        <v>Daylight</v>
      </c>
      <c r="G46" s="8" t="str">
        <f>IF('[1]Game Input'!$G46&lt;&gt;"",'[1]Game Input'!$G46,"")</f>
        <v>SC @ CR</v>
      </c>
      <c r="H46" s="8" t="str">
        <f>IF('[1]Game Input'!$H46&lt;&gt;"",'[1]Game Input'!$H46,"")</f>
        <v>Vs. Non-Conference</v>
      </c>
      <c r="I46" s="8" t="str">
        <f>IF('[1]Game Input'!$I46&lt;&gt;"",'[1]Game Input'!$I46,"")</f>
        <v>SIOUX CITY</v>
      </c>
      <c r="J46" s="9">
        <f>IF('[1]Game Input'!$AC46&lt;&gt;"",'[1]Game Input'!$AC46,"")</f>
        <v>16</v>
      </c>
      <c r="K46" s="9">
        <f>IF('[1]Game Input'!$AD46&lt;&gt;"",'[1]Game Input'!$AD46,"")</f>
        <v>8</v>
      </c>
      <c r="L46" s="9">
        <f>IF('[1]Game Input'!$AJ46&lt;&gt;"",'[1]Game Input'!$AJ46,"")</f>
        <v>0</v>
      </c>
      <c r="M46" s="9">
        <f>IF('[1]Game Input'!$AK46&lt;&gt;"",'[1]Game Input'!$AK46,"")</f>
        <v>0</v>
      </c>
      <c r="N46" s="9">
        <f>IF('[1]Game Input'!$AN46&lt;&gt;"",'[1]Game Input'!$AN46,"")</f>
        <v>8</v>
      </c>
      <c r="O46" s="9">
        <f>IF('[1]Game Input'!$AO46&lt;&gt;"",'[1]Game Input'!$AO46,"")</f>
        <v>0</v>
      </c>
      <c r="P46" s="9">
        <f>IF('[1]Game Input'!$AP46&lt;&gt;"",'[1]Game Input'!$AP46,"")</f>
        <v>0</v>
      </c>
      <c r="Q46" s="9">
        <f>IF('[1]Game Input'!$AQ46&lt;&gt;"",'[1]Game Input'!$AQ46,"")</f>
        <v>0</v>
      </c>
      <c r="R46" s="9">
        <f>IF('[1]Game Input'!$AR46&lt;&gt;"",'[1]Game Input'!$AR46,"")</f>
        <v>0</v>
      </c>
      <c r="S46" s="9">
        <f>IF('[1]Game Input'!$AS46&lt;&gt;"",'[1]Game Input'!$AS46,"")</f>
        <v>0</v>
      </c>
      <c r="T46" s="10" t="str">
        <f>IF('[1]Game Input'!$BA46&lt;&gt;"",'[1]Game Input'!$BA46,"")</f>
        <v>CEDAR RAPIDS</v>
      </c>
      <c r="U46" s="9">
        <f>IF('[1]Game Input'!$BU46&lt;&gt;"",'[1]Game Input'!$BU46,"")</f>
        <v>16</v>
      </c>
      <c r="V46" s="9">
        <f>IF('[1]Game Input'!$BV46&lt;&gt;"",'[1]Game Input'!$BV46,"")</f>
        <v>8</v>
      </c>
      <c r="W46" s="9">
        <f>IF('[1]Game Input'!$CB46&lt;&gt;"",'[1]Game Input'!$CB46,"")</f>
        <v>0</v>
      </c>
      <c r="X46" s="9">
        <f>IF('[1]Game Input'!$CC46&lt;&gt;"",'[1]Game Input'!$CC46,"")</f>
        <v>0</v>
      </c>
      <c r="Y46" s="9">
        <f>IF('[1]Game Input'!$CF46&lt;&gt;"",'[1]Game Input'!$CF46,"")</f>
        <v>8</v>
      </c>
      <c r="Z46" s="9">
        <f>IF('[1]Game Input'!$CG46&lt;&gt;"",'[1]Game Input'!$CG46,"")</f>
        <v>0</v>
      </c>
      <c r="AA46" s="9">
        <f>IF('[1]Game Input'!$CH46&lt;&gt;"",'[1]Game Input'!$CH46,"")</f>
        <v>0</v>
      </c>
      <c r="AB46" s="9">
        <f>IF('[1]Game Input'!$CI46&lt;&gt;"",'[1]Game Input'!$CI46,"")</f>
        <v>0</v>
      </c>
      <c r="AC46" s="9">
        <f>IF('[1]Game Input'!$CJ46&lt;&gt;"",'[1]Game Input'!$CJ46,"")</f>
        <v>0</v>
      </c>
      <c r="AD46" s="9">
        <f>IF('[1]Game Input'!$CK46&lt;&gt;"",'[1]Game Input'!$CK46,"")</f>
        <v>0</v>
      </c>
      <c r="AE46" s="8" t="s">
        <v>103</v>
      </c>
      <c r="AF46" s="8"/>
      <c r="AG46" s="8" t="s">
        <v>128</v>
      </c>
      <c r="AH46" s="8" t="s">
        <v>107</v>
      </c>
    </row>
    <row r="47" spans="1:34" x14ac:dyDescent="0.2">
      <c r="A47" s="6">
        <f>IF('[1]Game Input'!$A47&lt;&gt;"",'[1]Game Input'!$A47,"")</f>
        <v>43386</v>
      </c>
      <c r="B47" s="6" t="str">
        <f>IF(A47&gt;$B$1,VLOOKUP(MONTH($A47),DOTWMonth,2,FALSE),"")</f>
        <v>October</v>
      </c>
      <c r="C47" s="10" t="str">
        <f>IF(A47&gt;$B$1,VLOOKUP(WEEKDAY($A47),DOTWMonth,3,FALSE),"")</f>
        <v>Saturday</v>
      </c>
      <c r="D47" s="7">
        <f>IF('[1]Game Input'!$B47&lt;&gt;"",'[1]Game Input'!$B47,"")</f>
        <v>0.83680555555555547</v>
      </c>
      <c r="E47" s="7">
        <f>IF('[1]Game Input'!$C47&lt;&gt;"",'[1]Game Input'!$C47,"")</f>
        <v>0.79513888888888884</v>
      </c>
      <c r="F47" s="8" t="str">
        <f>IF('[1]Game Input'!$D47&lt;&gt;"",'[1]Game Input'!$D47,"")</f>
        <v>Daylight</v>
      </c>
      <c r="G47" s="8" t="str">
        <f>IF('[1]Game Input'!$G47&lt;&gt;"",'[1]Game Input'!$G47,"")</f>
        <v>DUB @ OMA</v>
      </c>
      <c r="H47" s="8" t="str">
        <f>IF('[1]Game Input'!$H47&lt;&gt;"",'[1]Game Input'!$H47,"")</f>
        <v>Vs. Non-Conference</v>
      </c>
      <c r="I47" s="8" t="str">
        <f>IF('[1]Game Input'!$I47&lt;&gt;"",'[1]Game Input'!$I47,"")</f>
        <v>DUBUQUE</v>
      </c>
      <c r="J47" s="9">
        <f>IF('[1]Game Input'!$AC47&lt;&gt;"",'[1]Game Input'!$AC47,"")</f>
        <v>6</v>
      </c>
      <c r="K47" s="9">
        <f>IF('[1]Game Input'!$AD47&lt;&gt;"",'[1]Game Input'!$AD47,"")</f>
        <v>3</v>
      </c>
      <c r="L47" s="9">
        <f>IF('[1]Game Input'!$AJ47&lt;&gt;"",'[1]Game Input'!$AJ47,"")</f>
        <v>0</v>
      </c>
      <c r="M47" s="9">
        <f>IF('[1]Game Input'!$AK47&lt;&gt;"",'[1]Game Input'!$AK47,"")</f>
        <v>0</v>
      </c>
      <c r="N47" s="9">
        <f>IF('[1]Game Input'!$AN47&lt;&gt;"",'[1]Game Input'!$AN47,"")</f>
        <v>3</v>
      </c>
      <c r="O47" s="9">
        <f>IF('[1]Game Input'!$AO47&lt;&gt;"",'[1]Game Input'!$AO47,"")</f>
        <v>0</v>
      </c>
      <c r="P47" s="9">
        <f>IF('[1]Game Input'!$AP47&lt;&gt;"",'[1]Game Input'!$AP47,"")</f>
        <v>0</v>
      </c>
      <c r="Q47" s="9">
        <f>IF('[1]Game Input'!$AQ47&lt;&gt;"",'[1]Game Input'!$AQ47,"")</f>
        <v>0</v>
      </c>
      <c r="R47" s="9">
        <f>IF('[1]Game Input'!$AR47&lt;&gt;"",'[1]Game Input'!$AR47,"")</f>
        <v>0</v>
      </c>
      <c r="S47" s="9">
        <f>IF('[1]Game Input'!$AS47&lt;&gt;"",'[1]Game Input'!$AS47,"")</f>
        <v>0</v>
      </c>
      <c r="T47" s="10" t="str">
        <f>IF('[1]Game Input'!$BA47&lt;&gt;"",'[1]Game Input'!$BA47,"")</f>
        <v>OMAHA</v>
      </c>
      <c r="U47" s="9">
        <f>IF('[1]Game Input'!$BU47&lt;&gt;"",'[1]Game Input'!$BU47,"")</f>
        <v>23</v>
      </c>
      <c r="V47" s="9">
        <f>IF('[1]Game Input'!$BV47&lt;&gt;"",'[1]Game Input'!$BV47,"")</f>
        <v>6</v>
      </c>
      <c r="W47" s="9">
        <f>IF('[1]Game Input'!$CB47&lt;&gt;"",'[1]Game Input'!$CB47,"")</f>
        <v>0</v>
      </c>
      <c r="X47" s="9">
        <f>IF('[1]Game Input'!$CC47&lt;&gt;"",'[1]Game Input'!$CC47,"")</f>
        <v>0</v>
      </c>
      <c r="Y47" s="9">
        <f>IF('[1]Game Input'!$CF47&lt;&gt;"",'[1]Game Input'!$CF47,"")</f>
        <v>4</v>
      </c>
      <c r="Z47" s="9">
        <f>IF('[1]Game Input'!$CG47&lt;&gt;"",'[1]Game Input'!$CG47,"")</f>
        <v>1</v>
      </c>
      <c r="AA47" s="9">
        <f>IF('[1]Game Input'!$CH47&lt;&gt;"",'[1]Game Input'!$CH47,"")</f>
        <v>0</v>
      </c>
      <c r="AB47" s="9">
        <f>IF('[1]Game Input'!$CI47&lt;&gt;"",'[1]Game Input'!$CI47,"")</f>
        <v>1</v>
      </c>
      <c r="AC47" s="9">
        <f>IF('[1]Game Input'!$CJ47&lt;&gt;"",'[1]Game Input'!$CJ47,"")</f>
        <v>0</v>
      </c>
      <c r="AD47" s="9">
        <f>IF('[1]Game Input'!$CK47&lt;&gt;"",'[1]Game Input'!$CK47,"")</f>
        <v>0</v>
      </c>
      <c r="AE47" s="8"/>
      <c r="AF47" s="8"/>
      <c r="AG47" s="8"/>
      <c r="AH47" s="8"/>
    </row>
    <row r="48" spans="1:34" x14ac:dyDescent="0.2">
      <c r="A48" s="6">
        <f>IF('[1]Game Input'!$A48&lt;&gt;"",'[1]Game Input'!$A48,"")</f>
        <v>43386</v>
      </c>
      <c r="B48" s="6" t="str">
        <f>IF(A48&gt;$B$1,VLOOKUP(MONTH($A48),DOTWMonth,2,FALSE),"")</f>
        <v>October</v>
      </c>
      <c r="C48" s="10" t="str">
        <f>IF(A48&gt;$B$1,VLOOKUP(WEEKDAY($A48),DOTWMonth,3,FALSE),"")</f>
        <v>Saturday</v>
      </c>
      <c r="D48" s="7">
        <f>IF('[1]Game Input'!$B48&lt;&gt;"",'[1]Game Input'!$B48,"")</f>
        <v>0.83680555555555547</v>
      </c>
      <c r="E48" s="7">
        <f>IF('[1]Game Input'!$C48&lt;&gt;"",'[1]Game Input'!$C48,"")</f>
        <v>0.79513888888888884</v>
      </c>
      <c r="F48" s="8" t="str">
        <f>IF('[1]Game Input'!$D48&lt;&gt;"",'[1]Game Input'!$D48,"")</f>
        <v>Daylight</v>
      </c>
      <c r="G48" s="8" t="str">
        <f>IF('[1]Game Input'!$G48&lt;&gt;"",'[1]Game Input'!$G48,"")</f>
        <v>GB @ WAT</v>
      </c>
      <c r="H48" s="8" t="str">
        <f>IF('[1]Game Input'!$H48&lt;&gt;"",'[1]Game Input'!$H48,"")</f>
        <v>Vs. Non-Conference</v>
      </c>
      <c r="I48" s="8" t="str">
        <f>IF('[1]Game Input'!$I48&lt;&gt;"",'[1]Game Input'!$I48,"")</f>
        <v>GREEN BAY</v>
      </c>
      <c r="J48" s="9">
        <f>IF('[1]Game Input'!$AC48&lt;&gt;"",'[1]Game Input'!$AC48,"")</f>
        <v>27</v>
      </c>
      <c r="K48" s="9">
        <f>IF('[1]Game Input'!$AD48&lt;&gt;"",'[1]Game Input'!$AD48,"")</f>
        <v>8</v>
      </c>
      <c r="L48" s="9">
        <f>IF('[1]Game Input'!$AJ48&lt;&gt;"",'[1]Game Input'!$AJ48,"")</f>
        <v>0</v>
      </c>
      <c r="M48" s="9">
        <f>IF('[1]Game Input'!$AK48&lt;&gt;"",'[1]Game Input'!$AK48,"")</f>
        <v>0</v>
      </c>
      <c r="N48" s="9">
        <f>IF('[1]Game Input'!$AN48&lt;&gt;"",'[1]Game Input'!$AN48,"")</f>
        <v>6</v>
      </c>
      <c r="O48" s="9">
        <f>IF('[1]Game Input'!$AO48&lt;&gt;"",'[1]Game Input'!$AO48,"")</f>
        <v>1</v>
      </c>
      <c r="P48" s="9">
        <f>IF('[1]Game Input'!$AP48&lt;&gt;"",'[1]Game Input'!$AP48,"")</f>
        <v>1</v>
      </c>
      <c r="Q48" s="9">
        <f>IF('[1]Game Input'!$AQ48&lt;&gt;"",'[1]Game Input'!$AQ48,"")</f>
        <v>0</v>
      </c>
      <c r="R48" s="9">
        <f>IF('[1]Game Input'!$AR48&lt;&gt;"",'[1]Game Input'!$AR48,"")</f>
        <v>0</v>
      </c>
      <c r="S48" s="9">
        <f>IF('[1]Game Input'!$AS48&lt;&gt;"",'[1]Game Input'!$AS48,"")</f>
        <v>0</v>
      </c>
      <c r="T48" s="10" t="str">
        <f>IF('[1]Game Input'!$BA48&lt;&gt;"",'[1]Game Input'!$BA48,"")</f>
        <v>WATERLOO</v>
      </c>
      <c r="U48" s="9">
        <f>IF('[1]Game Input'!$BU48&lt;&gt;"",'[1]Game Input'!$BU48,"")</f>
        <v>25</v>
      </c>
      <c r="V48" s="9">
        <f>IF('[1]Game Input'!$BV48&lt;&gt;"",'[1]Game Input'!$BV48,"")</f>
        <v>7</v>
      </c>
      <c r="W48" s="9">
        <f>IF('[1]Game Input'!$CB48&lt;&gt;"",'[1]Game Input'!$CB48,"")</f>
        <v>0</v>
      </c>
      <c r="X48" s="9">
        <f>IF('[1]Game Input'!$CC48&lt;&gt;"",'[1]Game Input'!$CC48,"")</f>
        <v>0</v>
      </c>
      <c r="Y48" s="9">
        <f>IF('[1]Game Input'!$CF48&lt;&gt;"",'[1]Game Input'!$CF48,"")</f>
        <v>5</v>
      </c>
      <c r="Z48" s="9">
        <f>IF('[1]Game Input'!$CG48&lt;&gt;"",'[1]Game Input'!$CG48,"")</f>
        <v>1</v>
      </c>
      <c r="AA48" s="9">
        <f>IF('[1]Game Input'!$CH48&lt;&gt;"",'[1]Game Input'!$CH48,"")</f>
        <v>1</v>
      </c>
      <c r="AB48" s="9">
        <f>IF('[1]Game Input'!$CI48&lt;&gt;"",'[1]Game Input'!$CI48,"")</f>
        <v>0</v>
      </c>
      <c r="AC48" s="9">
        <f>IF('[1]Game Input'!$CJ48&lt;&gt;"",'[1]Game Input'!$CJ48,"")</f>
        <v>0</v>
      </c>
      <c r="AD48" s="9">
        <f>IF('[1]Game Input'!$CK48&lt;&gt;"",'[1]Game Input'!$CK48,"")</f>
        <v>0</v>
      </c>
      <c r="AE48" s="8"/>
      <c r="AF48" s="8"/>
      <c r="AG48" s="8"/>
      <c r="AH48" s="8"/>
    </row>
    <row r="49" spans="1:34" x14ac:dyDescent="0.2">
      <c r="A49" s="6">
        <f>IF('[1]Game Input'!$A49&lt;&gt;"",'[1]Game Input'!$A49,"")</f>
        <v>43387</v>
      </c>
      <c r="B49" s="6" t="str">
        <f>IF(A49&gt;$B$1,VLOOKUP(MONTH($A49),DOTWMonth,2,FALSE),"")</f>
        <v>October</v>
      </c>
      <c r="C49" s="10" t="str">
        <f>IF(A49&gt;$B$1,VLOOKUP(WEEKDAY($A49),DOTWMonth,3,FALSE),"")</f>
        <v>Sunday</v>
      </c>
      <c r="D49" s="7">
        <f>IF('[1]Game Input'!$B49&lt;&gt;"",'[1]Game Input'!$B49,"")</f>
        <v>0.63541666666666663</v>
      </c>
      <c r="E49" s="7">
        <f>IF('[1]Game Input'!$C49&lt;&gt;"",'[1]Game Input'!$C49,"")</f>
        <v>0.59375</v>
      </c>
      <c r="F49" s="8" t="str">
        <f>IF('[1]Game Input'!$D49&lt;&gt;"",'[1]Game Input'!$D49,"")</f>
        <v>Daylight</v>
      </c>
      <c r="G49" s="8" t="str">
        <f>IF('[1]Game Input'!$G49&lt;&gt;"",'[1]Game Input'!$G49,"")</f>
        <v>YNG @ MUS</v>
      </c>
      <c r="H49" s="8" t="str">
        <f>IF('[1]Game Input'!$H49&lt;&gt;"",'[1]Game Input'!$H49,"")</f>
        <v>Vs. Conference</v>
      </c>
      <c r="I49" s="8" t="str">
        <f>IF('[1]Game Input'!$I49&lt;&gt;"",'[1]Game Input'!$I49,"")</f>
        <v>YOUNGSTOWN</v>
      </c>
      <c r="J49" s="9">
        <f>IF('[1]Game Input'!$AC49&lt;&gt;"",'[1]Game Input'!$AC49,"")</f>
        <v>29</v>
      </c>
      <c r="K49" s="9">
        <f>IF('[1]Game Input'!$AD49&lt;&gt;"",'[1]Game Input'!$AD49,"")</f>
        <v>9</v>
      </c>
      <c r="L49" s="9">
        <f>IF('[1]Game Input'!$AJ49&lt;&gt;"",'[1]Game Input'!$AJ49,"")</f>
        <v>0</v>
      </c>
      <c r="M49" s="9">
        <f>IF('[1]Game Input'!$AK49&lt;&gt;"",'[1]Game Input'!$AK49,"")</f>
        <v>0</v>
      </c>
      <c r="N49" s="9">
        <f>IF('[1]Game Input'!$AN49&lt;&gt;"",'[1]Game Input'!$AN49,"")</f>
        <v>7</v>
      </c>
      <c r="O49" s="9">
        <f>IF('[1]Game Input'!$AO49&lt;&gt;"",'[1]Game Input'!$AO49,"")</f>
        <v>1</v>
      </c>
      <c r="P49" s="9">
        <f>IF('[1]Game Input'!$AP49&lt;&gt;"",'[1]Game Input'!$AP49,"")</f>
        <v>1</v>
      </c>
      <c r="Q49" s="9">
        <f>IF('[1]Game Input'!$AQ49&lt;&gt;"",'[1]Game Input'!$AQ49,"")</f>
        <v>0</v>
      </c>
      <c r="R49" s="9">
        <f>IF('[1]Game Input'!$AR49&lt;&gt;"",'[1]Game Input'!$AR49,"")</f>
        <v>0</v>
      </c>
      <c r="S49" s="9">
        <f>IF('[1]Game Input'!$AS49&lt;&gt;"",'[1]Game Input'!$AS49,"")</f>
        <v>0</v>
      </c>
      <c r="T49" s="10" t="str">
        <f>IF('[1]Game Input'!$BA49&lt;&gt;"",'[1]Game Input'!$BA49,"")</f>
        <v>MUSKEGON</v>
      </c>
      <c r="U49" s="9">
        <f>IF('[1]Game Input'!$BU49&lt;&gt;"",'[1]Game Input'!$BU49,"")</f>
        <v>23</v>
      </c>
      <c r="V49" s="9">
        <f>IF('[1]Game Input'!$BV49&lt;&gt;"",'[1]Game Input'!$BV49,"")</f>
        <v>6</v>
      </c>
      <c r="W49" s="9">
        <f>IF('[1]Game Input'!$CB49&lt;&gt;"",'[1]Game Input'!$CB49,"")</f>
        <v>0</v>
      </c>
      <c r="X49" s="9">
        <f>IF('[1]Game Input'!$CC49&lt;&gt;"",'[1]Game Input'!$CC49,"")</f>
        <v>0</v>
      </c>
      <c r="Y49" s="9">
        <f>IF('[1]Game Input'!$CF49&lt;&gt;"",'[1]Game Input'!$CF49,"")</f>
        <v>4</v>
      </c>
      <c r="Z49" s="9">
        <f>IF('[1]Game Input'!$CG49&lt;&gt;"",'[1]Game Input'!$CG49,"")</f>
        <v>1</v>
      </c>
      <c r="AA49" s="9">
        <f>IF('[1]Game Input'!$CH49&lt;&gt;"",'[1]Game Input'!$CH49,"")</f>
        <v>1</v>
      </c>
      <c r="AB49" s="9">
        <f>IF('[1]Game Input'!$CI49&lt;&gt;"",'[1]Game Input'!$CI49,"")</f>
        <v>0</v>
      </c>
      <c r="AC49" s="9">
        <f>IF('[1]Game Input'!$CJ49&lt;&gt;"",'[1]Game Input'!$CJ49,"")</f>
        <v>0</v>
      </c>
      <c r="AD49" s="9">
        <f>IF('[1]Game Input'!$CK49&lt;&gt;"",'[1]Game Input'!$CK49,"")</f>
        <v>0</v>
      </c>
      <c r="AE49" s="8"/>
      <c r="AF49" s="8"/>
      <c r="AG49" s="8"/>
      <c r="AH49" s="8"/>
    </row>
    <row r="50" spans="1:34" x14ac:dyDescent="0.2">
      <c r="A50" s="6">
        <f>IF('[1]Game Input'!$A50&lt;&gt;"",'[1]Game Input'!$A50,"")</f>
        <v>43389</v>
      </c>
      <c r="B50" s="6" t="str">
        <f>IF(A50&gt;$B$1,VLOOKUP(MONTH($A50),DOTWMonth,2,FALSE),"")</f>
        <v>October</v>
      </c>
      <c r="C50" s="10" t="str">
        <f>IF(A50&gt;$B$1,VLOOKUP(WEEKDAY($A50),DOTWMonth,3,FALSE),"")</f>
        <v>Tuesday</v>
      </c>
      <c r="D50" s="7">
        <f>IF('[1]Game Input'!$B50&lt;&gt;"",'[1]Game Input'!$B50,"")</f>
        <v>0.83680555555555547</v>
      </c>
      <c r="E50" s="7">
        <f>IF('[1]Game Input'!$C50&lt;&gt;"",'[1]Game Input'!$C50,"")</f>
        <v>0.79513888888888884</v>
      </c>
      <c r="F50" s="8" t="str">
        <f>IF('[1]Game Input'!$D50&lt;&gt;"",'[1]Game Input'!$D50,"")</f>
        <v>Daylight</v>
      </c>
      <c r="G50" s="8" t="str">
        <f>IF('[1]Game Input'!$G50&lt;&gt;"",'[1]Game Input'!$G50,"")</f>
        <v>LIN @ TC</v>
      </c>
      <c r="H50" s="8" t="str">
        <f>IF('[1]Game Input'!$H50&lt;&gt;"",'[1]Game Input'!$H50,"")</f>
        <v>Vs. Conference</v>
      </c>
      <c r="I50" s="8" t="str">
        <f>IF('[1]Game Input'!$I50&lt;&gt;"",'[1]Game Input'!$I50,"")</f>
        <v>LINCOLN</v>
      </c>
      <c r="J50" s="9">
        <f>IF('[1]Game Input'!$AC50&lt;&gt;"",'[1]Game Input'!$AC50,"")</f>
        <v>16</v>
      </c>
      <c r="K50" s="9">
        <f>IF('[1]Game Input'!$AD50&lt;&gt;"",'[1]Game Input'!$AD50,"")</f>
        <v>4</v>
      </c>
      <c r="L50" s="9">
        <f>IF('[1]Game Input'!$AJ50&lt;&gt;"",'[1]Game Input'!$AJ50,"")</f>
        <v>0</v>
      </c>
      <c r="M50" s="9">
        <f>IF('[1]Game Input'!$AK50&lt;&gt;"",'[1]Game Input'!$AK50,"")</f>
        <v>0</v>
      </c>
      <c r="N50" s="9">
        <f>IF('[1]Game Input'!$AN50&lt;&gt;"",'[1]Game Input'!$AN50,"")</f>
        <v>3</v>
      </c>
      <c r="O50" s="9">
        <f>IF('[1]Game Input'!$AO50&lt;&gt;"",'[1]Game Input'!$AO50,"")</f>
        <v>0</v>
      </c>
      <c r="P50" s="9">
        <f>IF('[1]Game Input'!$AP50&lt;&gt;"",'[1]Game Input'!$AP50,"")</f>
        <v>1</v>
      </c>
      <c r="Q50" s="9">
        <f>IF('[1]Game Input'!$AQ50&lt;&gt;"",'[1]Game Input'!$AQ50,"")</f>
        <v>0</v>
      </c>
      <c r="R50" s="9">
        <f>IF('[1]Game Input'!$AR50&lt;&gt;"",'[1]Game Input'!$AR50,"")</f>
        <v>0</v>
      </c>
      <c r="S50" s="9">
        <f>IF('[1]Game Input'!$AS50&lt;&gt;"",'[1]Game Input'!$AS50,"")</f>
        <v>0</v>
      </c>
      <c r="T50" s="10" t="str">
        <f>IF('[1]Game Input'!$BA50&lt;&gt;"",'[1]Game Input'!$BA50,"")</f>
        <v>TRI-CITY</v>
      </c>
      <c r="U50" s="9">
        <f>IF('[1]Game Input'!$BU50&lt;&gt;"",'[1]Game Input'!$BU50,"")</f>
        <v>6</v>
      </c>
      <c r="V50" s="9">
        <f>IF('[1]Game Input'!$BV50&lt;&gt;"",'[1]Game Input'!$BV50,"")</f>
        <v>3</v>
      </c>
      <c r="W50" s="9">
        <f>IF('[1]Game Input'!$CB50&lt;&gt;"",'[1]Game Input'!$CB50,"")</f>
        <v>0</v>
      </c>
      <c r="X50" s="9">
        <f>IF('[1]Game Input'!$CC50&lt;&gt;"",'[1]Game Input'!$CC50,"")</f>
        <v>0</v>
      </c>
      <c r="Y50" s="9">
        <f>IF('[1]Game Input'!$CF50&lt;&gt;"",'[1]Game Input'!$CF50,"")</f>
        <v>3</v>
      </c>
      <c r="Z50" s="9">
        <f>IF('[1]Game Input'!$CG50&lt;&gt;"",'[1]Game Input'!$CG50,"")</f>
        <v>0</v>
      </c>
      <c r="AA50" s="9">
        <f>IF('[1]Game Input'!$CH50&lt;&gt;"",'[1]Game Input'!$CH50,"")</f>
        <v>0</v>
      </c>
      <c r="AB50" s="9">
        <f>IF('[1]Game Input'!$CI50&lt;&gt;"",'[1]Game Input'!$CI50,"")</f>
        <v>0</v>
      </c>
      <c r="AC50" s="9">
        <f>IF('[1]Game Input'!$CJ50&lt;&gt;"",'[1]Game Input'!$CJ50,"")</f>
        <v>0</v>
      </c>
      <c r="AD50" s="9">
        <f>IF('[1]Game Input'!$CK50&lt;&gt;"",'[1]Game Input'!$CK50,"")</f>
        <v>0</v>
      </c>
      <c r="AE50" s="8"/>
      <c r="AF50" s="8"/>
      <c r="AG50" s="8"/>
      <c r="AH50" s="8"/>
    </row>
    <row r="51" spans="1:34" x14ac:dyDescent="0.2">
      <c r="A51" s="6">
        <f>IF('[1]Game Input'!$A51&lt;&gt;"",'[1]Game Input'!$A51,"")</f>
        <v>43390</v>
      </c>
      <c r="B51" s="6" t="str">
        <f>IF(A51&gt;$B$1,VLOOKUP(MONTH($A51),DOTWMonth,2,FALSE),"")</f>
        <v>October</v>
      </c>
      <c r="C51" s="10" t="str">
        <f>IF(A51&gt;$B$1,VLOOKUP(WEEKDAY($A51),DOTWMonth,3,FALSE),"")</f>
        <v>Wednesday</v>
      </c>
      <c r="D51" s="7">
        <f>IF('[1]Game Input'!$B51&lt;&gt;"",'[1]Game Input'!$B51,"")</f>
        <v>0.83680555555555547</v>
      </c>
      <c r="E51" s="7">
        <f>IF('[1]Game Input'!$C51&lt;&gt;"",'[1]Game Input'!$C51,"")</f>
        <v>0.79513888888888884</v>
      </c>
      <c r="F51" s="8" t="str">
        <f>IF('[1]Game Input'!$D51&lt;&gt;"",'[1]Game Input'!$D51,"")</f>
        <v>Daylight</v>
      </c>
      <c r="G51" s="8" t="str">
        <f>IF('[1]Game Input'!$G51&lt;&gt;"",'[1]Game Input'!$G51,"")</f>
        <v>DUB @ CR</v>
      </c>
      <c r="H51" s="8" t="str">
        <f>IF('[1]Game Input'!$H51&lt;&gt;"",'[1]Game Input'!$H51,"")</f>
        <v>Vs. Conference</v>
      </c>
      <c r="I51" s="8" t="str">
        <f>IF('[1]Game Input'!$I51&lt;&gt;"",'[1]Game Input'!$I51,"")</f>
        <v>DUBUQUE</v>
      </c>
      <c r="J51" s="9">
        <f>IF('[1]Game Input'!$AC51&lt;&gt;"",'[1]Game Input'!$AC51,"")</f>
        <v>14</v>
      </c>
      <c r="K51" s="9">
        <f>IF('[1]Game Input'!$AD51&lt;&gt;"",'[1]Game Input'!$AD51,"")</f>
        <v>7</v>
      </c>
      <c r="L51" s="9">
        <f>IF('[1]Game Input'!$AJ51&lt;&gt;"",'[1]Game Input'!$AJ51,"")</f>
        <v>0</v>
      </c>
      <c r="M51" s="9">
        <f>IF('[1]Game Input'!$AK51&lt;&gt;"",'[1]Game Input'!$AK51,"")</f>
        <v>0</v>
      </c>
      <c r="N51" s="9">
        <f>IF('[1]Game Input'!$AN51&lt;&gt;"",'[1]Game Input'!$AN51,"")</f>
        <v>7</v>
      </c>
      <c r="O51" s="9">
        <f>IF('[1]Game Input'!$AO51&lt;&gt;"",'[1]Game Input'!$AO51,"")</f>
        <v>0</v>
      </c>
      <c r="P51" s="9">
        <f>IF('[1]Game Input'!$AP51&lt;&gt;"",'[1]Game Input'!$AP51,"")</f>
        <v>0</v>
      </c>
      <c r="Q51" s="9">
        <f>IF('[1]Game Input'!$AQ51&lt;&gt;"",'[1]Game Input'!$AQ51,"")</f>
        <v>0</v>
      </c>
      <c r="R51" s="9">
        <f>IF('[1]Game Input'!$AR51&lt;&gt;"",'[1]Game Input'!$AR51,"")</f>
        <v>0</v>
      </c>
      <c r="S51" s="9">
        <f>IF('[1]Game Input'!$AS51&lt;&gt;"",'[1]Game Input'!$AS51,"")</f>
        <v>0</v>
      </c>
      <c r="T51" s="10" t="str">
        <f>IF('[1]Game Input'!$BA51&lt;&gt;"",'[1]Game Input'!$BA51,"")</f>
        <v>CEDAR RAPIDS</v>
      </c>
      <c r="U51" s="9">
        <f>IF('[1]Game Input'!$BU51&lt;&gt;"",'[1]Game Input'!$BU51,"")</f>
        <v>8</v>
      </c>
      <c r="V51" s="9">
        <f>IF('[1]Game Input'!$BV51&lt;&gt;"",'[1]Game Input'!$BV51,"")</f>
        <v>4</v>
      </c>
      <c r="W51" s="9">
        <f>IF('[1]Game Input'!$CB51&lt;&gt;"",'[1]Game Input'!$CB51,"")</f>
        <v>0</v>
      </c>
      <c r="X51" s="9">
        <f>IF('[1]Game Input'!$CC51&lt;&gt;"",'[1]Game Input'!$CC51,"")</f>
        <v>0</v>
      </c>
      <c r="Y51" s="9">
        <f>IF('[1]Game Input'!$CF51&lt;&gt;"",'[1]Game Input'!$CF51,"")</f>
        <v>4</v>
      </c>
      <c r="Z51" s="9">
        <f>IF('[1]Game Input'!$CG51&lt;&gt;"",'[1]Game Input'!$CG51,"")</f>
        <v>0</v>
      </c>
      <c r="AA51" s="9">
        <f>IF('[1]Game Input'!$CH51&lt;&gt;"",'[1]Game Input'!$CH51,"")</f>
        <v>0</v>
      </c>
      <c r="AB51" s="9">
        <f>IF('[1]Game Input'!$CI51&lt;&gt;"",'[1]Game Input'!$CI51,"")</f>
        <v>0</v>
      </c>
      <c r="AC51" s="9">
        <f>IF('[1]Game Input'!$CJ51&lt;&gt;"",'[1]Game Input'!$CJ51,"")</f>
        <v>0</v>
      </c>
      <c r="AD51" s="9">
        <f>IF('[1]Game Input'!$CK51&lt;&gt;"",'[1]Game Input'!$CK51,"")</f>
        <v>0</v>
      </c>
      <c r="AE51" s="8" t="s">
        <v>89</v>
      </c>
      <c r="AF51" s="8" t="s">
        <v>99</v>
      </c>
      <c r="AG51" s="8" t="s">
        <v>112</v>
      </c>
      <c r="AH51" s="8" t="s">
        <v>108</v>
      </c>
    </row>
    <row r="52" spans="1:34" x14ac:dyDescent="0.2">
      <c r="A52" s="6">
        <f>IF('[1]Game Input'!$A52&lt;&gt;"",'[1]Game Input'!$A52,"")</f>
        <v>43391</v>
      </c>
      <c r="B52" s="6" t="str">
        <f>IF(A52&gt;$B$1,VLOOKUP(MONTH($A52),DOTWMonth,2,FALSE),"")</f>
        <v>October</v>
      </c>
      <c r="C52" s="10" t="str">
        <f>IF(A52&gt;$B$1,VLOOKUP(WEEKDAY($A52),DOTWMonth,3,FALSE),"")</f>
        <v>Thursday</v>
      </c>
      <c r="D52" s="7">
        <f>IF('[1]Game Input'!$B52&lt;&gt;"",'[1]Game Input'!$B52,"")</f>
        <v>0.83680555555555547</v>
      </c>
      <c r="E52" s="7">
        <f>IF('[1]Game Input'!$C52&lt;&gt;"",'[1]Game Input'!$C52,"")</f>
        <v>0.79513888888888884</v>
      </c>
      <c r="F52" s="8" t="str">
        <f>IF('[1]Game Input'!$D52&lt;&gt;"",'[1]Game Input'!$D52,"")</f>
        <v>Daylight</v>
      </c>
      <c r="G52" s="8" t="str">
        <f>IF('[1]Game Input'!$G52&lt;&gt;"",'[1]Game Input'!$G52,"")</f>
        <v>SC @ FGO</v>
      </c>
      <c r="H52" s="8" t="str">
        <f>IF('[1]Game Input'!$H52&lt;&gt;"",'[1]Game Input'!$H52,"")</f>
        <v>Vs. Conference</v>
      </c>
      <c r="I52" s="8" t="str">
        <f>IF('[1]Game Input'!$I52&lt;&gt;"",'[1]Game Input'!$I52,"")</f>
        <v>SIOUX CITY</v>
      </c>
      <c r="J52" s="9">
        <f>IF('[1]Game Input'!$AC52&lt;&gt;"",'[1]Game Input'!$AC52,"")</f>
        <v>12</v>
      </c>
      <c r="K52" s="9">
        <f>IF('[1]Game Input'!$AD52&lt;&gt;"",'[1]Game Input'!$AD52,"")</f>
        <v>6</v>
      </c>
      <c r="L52" s="9">
        <f>IF('[1]Game Input'!$AJ52&lt;&gt;"",'[1]Game Input'!$AJ52,"")</f>
        <v>0</v>
      </c>
      <c r="M52" s="9">
        <f>IF('[1]Game Input'!$AK52&lt;&gt;"",'[1]Game Input'!$AK52,"")</f>
        <v>0</v>
      </c>
      <c r="N52" s="9">
        <f>IF('[1]Game Input'!$AN52&lt;&gt;"",'[1]Game Input'!$AN52,"")</f>
        <v>6</v>
      </c>
      <c r="O52" s="9">
        <f>IF('[1]Game Input'!$AO52&lt;&gt;"",'[1]Game Input'!$AO52,"")</f>
        <v>0</v>
      </c>
      <c r="P52" s="9">
        <f>IF('[1]Game Input'!$AP52&lt;&gt;"",'[1]Game Input'!$AP52,"")</f>
        <v>0</v>
      </c>
      <c r="Q52" s="9">
        <f>IF('[1]Game Input'!$AQ52&lt;&gt;"",'[1]Game Input'!$AQ52,"")</f>
        <v>0</v>
      </c>
      <c r="R52" s="9">
        <f>IF('[1]Game Input'!$AR52&lt;&gt;"",'[1]Game Input'!$AR52,"")</f>
        <v>0</v>
      </c>
      <c r="S52" s="9">
        <f>IF('[1]Game Input'!$AS52&lt;&gt;"",'[1]Game Input'!$AS52,"")</f>
        <v>0</v>
      </c>
      <c r="T52" s="10" t="str">
        <f>IF('[1]Game Input'!$BA52&lt;&gt;"",'[1]Game Input'!$BA52,"")</f>
        <v>FARGO</v>
      </c>
      <c r="U52" s="9">
        <f>IF('[1]Game Input'!$BU52&lt;&gt;"",'[1]Game Input'!$BU52,"")</f>
        <v>10</v>
      </c>
      <c r="V52" s="9">
        <f>IF('[1]Game Input'!$BV52&lt;&gt;"",'[1]Game Input'!$BV52,"")</f>
        <v>5</v>
      </c>
      <c r="W52" s="9">
        <f>IF('[1]Game Input'!$CB52&lt;&gt;"",'[1]Game Input'!$CB52,"")</f>
        <v>0</v>
      </c>
      <c r="X52" s="9">
        <f>IF('[1]Game Input'!$CC52&lt;&gt;"",'[1]Game Input'!$CC52,"")</f>
        <v>0</v>
      </c>
      <c r="Y52" s="9">
        <f>IF('[1]Game Input'!$CF52&lt;&gt;"",'[1]Game Input'!$CF52,"")</f>
        <v>5</v>
      </c>
      <c r="Z52" s="9">
        <f>IF('[1]Game Input'!$CG52&lt;&gt;"",'[1]Game Input'!$CG52,"")</f>
        <v>0</v>
      </c>
      <c r="AA52" s="9">
        <f>IF('[1]Game Input'!$CH52&lt;&gt;"",'[1]Game Input'!$CH52,"")</f>
        <v>0</v>
      </c>
      <c r="AB52" s="9">
        <f>IF('[1]Game Input'!$CI52&lt;&gt;"",'[1]Game Input'!$CI52,"")</f>
        <v>0</v>
      </c>
      <c r="AC52" s="9">
        <f>IF('[1]Game Input'!$CJ52&lt;&gt;"",'[1]Game Input'!$CJ52,"")</f>
        <v>0</v>
      </c>
      <c r="AD52" s="9">
        <f>IF('[1]Game Input'!$CK52&lt;&gt;"",'[1]Game Input'!$CK52,"")</f>
        <v>0</v>
      </c>
      <c r="AE52" s="8"/>
      <c r="AF52" s="8"/>
      <c r="AG52" s="8"/>
      <c r="AH52" s="8"/>
    </row>
    <row r="53" spans="1:34" x14ac:dyDescent="0.2">
      <c r="A53" s="6">
        <f>IF('[1]Game Input'!$A53&lt;&gt;"",'[1]Game Input'!$A53,"")</f>
        <v>43391</v>
      </c>
      <c r="B53" s="6" t="str">
        <f>IF(A53&gt;$B$1,VLOOKUP(MONTH($A53),DOTWMonth,2,FALSE),"")</f>
        <v>October</v>
      </c>
      <c r="C53" s="10" t="str">
        <f>IF(A53&gt;$B$1,VLOOKUP(WEEKDAY($A53),DOTWMonth,3,FALSE),"")</f>
        <v>Thursday</v>
      </c>
      <c r="D53" s="7">
        <f>IF('[1]Game Input'!$B53&lt;&gt;"",'[1]Game Input'!$B53,"")</f>
        <v>0.83680555555555547</v>
      </c>
      <c r="E53" s="7">
        <f>IF('[1]Game Input'!$C53&lt;&gt;"",'[1]Game Input'!$C53,"")</f>
        <v>0.79513888888888884</v>
      </c>
      <c r="F53" s="8" t="str">
        <f>IF('[1]Game Input'!$D53&lt;&gt;"",'[1]Game Input'!$D53,"")</f>
        <v>Daylight</v>
      </c>
      <c r="G53" s="8" t="str">
        <f>IF('[1]Game Input'!$G53&lt;&gt;"",'[1]Game Input'!$G53,"")</f>
        <v>YNG @ WAT</v>
      </c>
      <c r="H53" s="8" t="str">
        <f>IF('[1]Game Input'!$H53&lt;&gt;"",'[1]Game Input'!$H53,"")</f>
        <v>Vs. Non-Conference</v>
      </c>
      <c r="I53" s="8" t="str">
        <f>IF('[1]Game Input'!$I53&lt;&gt;"",'[1]Game Input'!$I53,"")</f>
        <v>YOUNGSTOWN</v>
      </c>
      <c r="J53" s="9">
        <f>IF('[1]Game Input'!$AC53&lt;&gt;"",'[1]Game Input'!$AC53,"")</f>
        <v>34</v>
      </c>
      <c r="K53" s="9">
        <f>IF('[1]Game Input'!$AD53&lt;&gt;"",'[1]Game Input'!$AD53,"")</f>
        <v>9</v>
      </c>
      <c r="L53" s="9">
        <f>IF('[1]Game Input'!$AJ53&lt;&gt;"",'[1]Game Input'!$AJ53,"")</f>
        <v>0</v>
      </c>
      <c r="M53" s="9">
        <f>IF('[1]Game Input'!$AK53&lt;&gt;"",'[1]Game Input'!$AK53,"")</f>
        <v>0</v>
      </c>
      <c r="N53" s="9">
        <f>IF('[1]Game Input'!$AN53&lt;&gt;"",'[1]Game Input'!$AN53,"")</f>
        <v>7</v>
      </c>
      <c r="O53" s="9">
        <f>IF('[1]Game Input'!$AO53&lt;&gt;"",'[1]Game Input'!$AO53,"")</f>
        <v>0</v>
      </c>
      <c r="P53" s="9">
        <f>IF('[1]Game Input'!$AP53&lt;&gt;"",'[1]Game Input'!$AP53,"")</f>
        <v>2</v>
      </c>
      <c r="Q53" s="9">
        <f>IF('[1]Game Input'!$AQ53&lt;&gt;"",'[1]Game Input'!$AQ53,"")</f>
        <v>0</v>
      </c>
      <c r="R53" s="9">
        <f>IF('[1]Game Input'!$AR53&lt;&gt;"",'[1]Game Input'!$AR53,"")</f>
        <v>0</v>
      </c>
      <c r="S53" s="9">
        <f>IF('[1]Game Input'!$AS53&lt;&gt;"",'[1]Game Input'!$AS53,"")</f>
        <v>0</v>
      </c>
      <c r="T53" s="10" t="str">
        <f>IF('[1]Game Input'!$BA53&lt;&gt;"",'[1]Game Input'!$BA53,"")</f>
        <v>WATERLOO</v>
      </c>
      <c r="U53" s="9">
        <f>IF('[1]Game Input'!$BU53&lt;&gt;"",'[1]Game Input'!$BU53,"")</f>
        <v>58</v>
      </c>
      <c r="V53" s="9">
        <f>IF('[1]Game Input'!$BV53&lt;&gt;"",'[1]Game Input'!$BV53,"")</f>
        <v>10</v>
      </c>
      <c r="W53" s="9">
        <f>IF('[1]Game Input'!$CB53&lt;&gt;"",'[1]Game Input'!$CB53,"")</f>
        <v>0</v>
      </c>
      <c r="X53" s="9">
        <f>IF('[1]Game Input'!$CC53&lt;&gt;"",'[1]Game Input'!$CC53,"")</f>
        <v>0</v>
      </c>
      <c r="Y53" s="9">
        <f>IF('[1]Game Input'!$CF53&lt;&gt;"",'[1]Game Input'!$CF53,"")</f>
        <v>4</v>
      </c>
      <c r="Z53" s="9">
        <f>IF('[1]Game Input'!$CG53&lt;&gt;"",'[1]Game Input'!$CG53,"")</f>
        <v>2</v>
      </c>
      <c r="AA53" s="9">
        <f>IF('[1]Game Input'!$CH53&lt;&gt;"",'[1]Game Input'!$CH53,"")</f>
        <v>2</v>
      </c>
      <c r="AB53" s="9">
        <f>IF('[1]Game Input'!$CI53&lt;&gt;"",'[1]Game Input'!$CI53,"")</f>
        <v>2</v>
      </c>
      <c r="AC53" s="9">
        <f>IF('[1]Game Input'!$CJ53&lt;&gt;"",'[1]Game Input'!$CJ53,"")</f>
        <v>0</v>
      </c>
      <c r="AD53" s="9">
        <f>IF('[1]Game Input'!$CK53&lt;&gt;"",'[1]Game Input'!$CK53,"")</f>
        <v>0</v>
      </c>
      <c r="AE53" s="8"/>
      <c r="AF53" s="8"/>
      <c r="AG53" s="8"/>
      <c r="AH53" s="8"/>
    </row>
    <row r="54" spans="1:34" x14ac:dyDescent="0.2">
      <c r="A54" s="6">
        <f>IF('[1]Game Input'!$A54&lt;&gt;"",'[1]Game Input'!$A54,"")</f>
        <v>43392</v>
      </c>
      <c r="B54" s="6" t="str">
        <f>IF(A54&gt;$B$1,VLOOKUP(MONTH($A54),DOTWMonth,2,FALSE),"")</f>
        <v>October</v>
      </c>
      <c r="C54" s="10" t="str">
        <f>IF(A54&gt;$B$1,VLOOKUP(WEEKDAY($A54),DOTWMonth,3,FALSE),"")</f>
        <v>Friday</v>
      </c>
      <c r="D54" s="7">
        <f>IF('[1]Game Input'!$B54&lt;&gt;"",'[1]Game Input'!$B54,"")</f>
        <v>0.83680555555555547</v>
      </c>
      <c r="E54" s="7">
        <f>IF('[1]Game Input'!$C54&lt;&gt;"",'[1]Game Input'!$C54,"")</f>
        <v>0.79513888888888884</v>
      </c>
      <c r="F54" s="8" t="str">
        <f>IF('[1]Game Input'!$D54&lt;&gt;"",'[1]Game Input'!$D54,"")</f>
        <v>Daylight</v>
      </c>
      <c r="G54" s="8" t="str">
        <f>IF('[1]Game Input'!$G54&lt;&gt;"",'[1]Game Input'!$G54,"")</f>
        <v>MUS @ CHI</v>
      </c>
      <c r="H54" s="8" t="str">
        <f>IF('[1]Game Input'!$H54&lt;&gt;"",'[1]Game Input'!$H54,"")</f>
        <v>Vs. Conference</v>
      </c>
      <c r="I54" s="8" t="str">
        <f>IF('[1]Game Input'!$I54&lt;&gt;"",'[1]Game Input'!$I54,"")</f>
        <v>MUSKEGON</v>
      </c>
      <c r="J54" s="9">
        <f>IF('[1]Game Input'!$AC54&lt;&gt;"",'[1]Game Input'!$AC54,"")</f>
        <v>12</v>
      </c>
      <c r="K54" s="9">
        <f>IF('[1]Game Input'!$AD54&lt;&gt;"",'[1]Game Input'!$AD54,"")</f>
        <v>6</v>
      </c>
      <c r="L54" s="9">
        <f>IF('[1]Game Input'!$AJ54&lt;&gt;"",'[1]Game Input'!$AJ54,"")</f>
        <v>0</v>
      </c>
      <c r="M54" s="9">
        <f>IF('[1]Game Input'!$AK54&lt;&gt;"",'[1]Game Input'!$AK54,"")</f>
        <v>0</v>
      </c>
      <c r="N54" s="9">
        <f>IF('[1]Game Input'!$AN54&lt;&gt;"",'[1]Game Input'!$AN54,"")</f>
        <v>6</v>
      </c>
      <c r="O54" s="9">
        <f>IF('[1]Game Input'!$AO54&lt;&gt;"",'[1]Game Input'!$AO54,"")</f>
        <v>0</v>
      </c>
      <c r="P54" s="9">
        <f>IF('[1]Game Input'!$AP54&lt;&gt;"",'[1]Game Input'!$AP54,"")</f>
        <v>0</v>
      </c>
      <c r="Q54" s="9">
        <f>IF('[1]Game Input'!$AQ54&lt;&gt;"",'[1]Game Input'!$AQ54,"")</f>
        <v>0</v>
      </c>
      <c r="R54" s="9">
        <f>IF('[1]Game Input'!$AR54&lt;&gt;"",'[1]Game Input'!$AR54,"")</f>
        <v>0</v>
      </c>
      <c r="S54" s="9">
        <f>IF('[1]Game Input'!$AS54&lt;&gt;"",'[1]Game Input'!$AS54,"")</f>
        <v>0</v>
      </c>
      <c r="T54" s="10" t="str">
        <f>IF('[1]Game Input'!$BA54&lt;&gt;"",'[1]Game Input'!$BA54,"")</f>
        <v>CHICAGO</v>
      </c>
      <c r="U54" s="9">
        <f>IF('[1]Game Input'!$BU54&lt;&gt;"",'[1]Game Input'!$BU54,"")</f>
        <v>4</v>
      </c>
      <c r="V54" s="9">
        <f>IF('[1]Game Input'!$BV54&lt;&gt;"",'[1]Game Input'!$BV54,"")</f>
        <v>2</v>
      </c>
      <c r="W54" s="9">
        <f>IF('[1]Game Input'!$CB54&lt;&gt;"",'[1]Game Input'!$CB54,"")</f>
        <v>0</v>
      </c>
      <c r="X54" s="9">
        <f>IF('[1]Game Input'!$CC54&lt;&gt;"",'[1]Game Input'!$CC54,"")</f>
        <v>0</v>
      </c>
      <c r="Y54" s="9">
        <f>IF('[1]Game Input'!$CF54&lt;&gt;"",'[1]Game Input'!$CF54,"")</f>
        <v>2</v>
      </c>
      <c r="Z54" s="9">
        <f>IF('[1]Game Input'!$CG54&lt;&gt;"",'[1]Game Input'!$CG54,"")</f>
        <v>0</v>
      </c>
      <c r="AA54" s="9">
        <f>IF('[1]Game Input'!$CH54&lt;&gt;"",'[1]Game Input'!$CH54,"")</f>
        <v>0</v>
      </c>
      <c r="AB54" s="9">
        <f>IF('[1]Game Input'!$CI54&lt;&gt;"",'[1]Game Input'!$CI54,"")</f>
        <v>0</v>
      </c>
      <c r="AC54" s="9">
        <f>IF('[1]Game Input'!$CJ54&lt;&gt;"",'[1]Game Input'!$CJ54,"")</f>
        <v>0</v>
      </c>
      <c r="AD54" s="9">
        <f>IF('[1]Game Input'!$CK54&lt;&gt;"",'[1]Game Input'!$CK54,"")</f>
        <v>0</v>
      </c>
      <c r="AE54" s="8"/>
      <c r="AF54" s="8"/>
      <c r="AG54" s="8"/>
      <c r="AH54" s="8"/>
    </row>
    <row r="55" spans="1:34" x14ac:dyDescent="0.2">
      <c r="A55" s="6">
        <f>IF('[1]Game Input'!$A55&lt;&gt;"",'[1]Game Input'!$A55,"")</f>
        <v>43392</v>
      </c>
      <c r="B55" s="6" t="str">
        <f>IF(A55&gt;$B$1,VLOOKUP(MONTH($A55),DOTWMonth,2,FALSE),"")</f>
        <v>October</v>
      </c>
      <c r="C55" s="10" t="str">
        <f>IF(A55&gt;$B$1,VLOOKUP(WEEKDAY($A55),DOTWMonth,3,FALSE),"")</f>
        <v>Friday</v>
      </c>
      <c r="D55" s="7">
        <f>IF('[1]Game Input'!$B55&lt;&gt;"",'[1]Game Input'!$B55,"")</f>
        <v>0.83680555555555547</v>
      </c>
      <c r="E55" s="7">
        <f>IF('[1]Game Input'!$C55&lt;&gt;"",'[1]Game Input'!$C55,"")</f>
        <v>0.79513888888888884</v>
      </c>
      <c r="F55" s="8" t="str">
        <f>IF('[1]Game Input'!$D55&lt;&gt;"",'[1]Game Input'!$D55,"")</f>
        <v>Daylight</v>
      </c>
      <c r="G55" s="8" t="str">
        <f>IF('[1]Game Input'!$G55&lt;&gt;"",'[1]Game Input'!$G55,"")</f>
        <v>TC @ DM</v>
      </c>
      <c r="H55" s="8" t="str">
        <f>IF('[1]Game Input'!$H55&lt;&gt;"",'[1]Game Input'!$H55,"")</f>
        <v>Vs. Conference</v>
      </c>
      <c r="I55" s="8" t="str">
        <f>IF('[1]Game Input'!$I55&lt;&gt;"",'[1]Game Input'!$I55,"")</f>
        <v>TRI-CITY</v>
      </c>
      <c r="J55" s="9">
        <f>IF('[1]Game Input'!$AC55&lt;&gt;"",'[1]Game Input'!$AC55,"")</f>
        <v>29</v>
      </c>
      <c r="K55" s="9">
        <f>IF('[1]Game Input'!$AD55&lt;&gt;"",'[1]Game Input'!$AD55,"")</f>
        <v>9</v>
      </c>
      <c r="L55" s="9">
        <f>IF('[1]Game Input'!$AJ55&lt;&gt;"",'[1]Game Input'!$AJ55,"")</f>
        <v>0</v>
      </c>
      <c r="M55" s="9">
        <f>IF('[1]Game Input'!$AK55&lt;&gt;"",'[1]Game Input'!$AK55,"")</f>
        <v>0</v>
      </c>
      <c r="N55" s="9">
        <f>IF('[1]Game Input'!$AN55&lt;&gt;"",'[1]Game Input'!$AN55,"")</f>
        <v>7</v>
      </c>
      <c r="O55" s="9">
        <f>IF('[1]Game Input'!$AO55&lt;&gt;"",'[1]Game Input'!$AO55,"")</f>
        <v>1</v>
      </c>
      <c r="P55" s="9">
        <f>IF('[1]Game Input'!$AP55&lt;&gt;"",'[1]Game Input'!$AP55,"")</f>
        <v>1</v>
      </c>
      <c r="Q55" s="9">
        <f>IF('[1]Game Input'!$AQ55&lt;&gt;"",'[1]Game Input'!$AQ55,"")</f>
        <v>0</v>
      </c>
      <c r="R55" s="9">
        <f>IF('[1]Game Input'!$AR55&lt;&gt;"",'[1]Game Input'!$AR55,"")</f>
        <v>0</v>
      </c>
      <c r="S55" s="9">
        <f>IF('[1]Game Input'!$AS55&lt;&gt;"",'[1]Game Input'!$AS55,"")</f>
        <v>0</v>
      </c>
      <c r="T55" s="10" t="str">
        <f>IF('[1]Game Input'!$BA55&lt;&gt;"",'[1]Game Input'!$BA55,"")</f>
        <v>DES MOINES</v>
      </c>
      <c r="U55" s="9">
        <f>IF('[1]Game Input'!$BU55&lt;&gt;"",'[1]Game Input'!$BU55,"")</f>
        <v>33</v>
      </c>
      <c r="V55" s="9">
        <f>IF('[1]Game Input'!$BV55&lt;&gt;"",'[1]Game Input'!$BV55,"")</f>
        <v>7</v>
      </c>
      <c r="W55" s="9">
        <f>IF('[1]Game Input'!$CB55&lt;&gt;"",'[1]Game Input'!$CB55,"")</f>
        <v>0</v>
      </c>
      <c r="X55" s="9">
        <f>IF('[1]Game Input'!$CC55&lt;&gt;"",'[1]Game Input'!$CC55,"")</f>
        <v>0</v>
      </c>
      <c r="Y55" s="9">
        <f>IF('[1]Game Input'!$CF55&lt;&gt;"",'[1]Game Input'!$CF55,"")</f>
        <v>4</v>
      </c>
      <c r="Z55" s="9">
        <f>IF('[1]Game Input'!$CG55&lt;&gt;"",'[1]Game Input'!$CG55,"")</f>
        <v>1</v>
      </c>
      <c r="AA55" s="9">
        <f>IF('[1]Game Input'!$CH55&lt;&gt;"",'[1]Game Input'!$CH55,"")</f>
        <v>2</v>
      </c>
      <c r="AB55" s="9">
        <f>IF('[1]Game Input'!$CI55&lt;&gt;"",'[1]Game Input'!$CI55,"")</f>
        <v>0</v>
      </c>
      <c r="AC55" s="9">
        <f>IF('[1]Game Input'!$CJ55&lt;&gt;"",'[1]Game Input'!$CJ55,"")</f>
        <v>0</v>
      </c>
      <c r="AD55" s="9">
        <f>IF('[1]Game Input'!$CK55&lt;&gt;"",'[1]Game Input'!$CK55,"")</f>
        <v>0</v>
      </c>
      <c r="AE55" s="8" t="s">
        <v>95</v>
      </c>
      <c r="AF55" s="8"/>
      <c r="AG55" s="8" t="s">
        <v>115</v>
      </c>
      <c r="AH55" s="8" t="s">
        <v>111</v>
      </c>
    </row>
    <row r="56" spans="1:34" x14ac:dyDescent="0.2">
      <c r="A56" s="6">
        <f>IF('[1]Game Input'!$A56&lt;&gt;"",'[1]Game Input'!$A56,"")</f>
        <v>43392</v>
      </c>
      <c r="B56" s="6" t="str">
        <f>IF(A56&gt;$B$1,VLOOKUP(MONTH($A56),DOTWMonth,2,FALSE),"")</f>
        <v>October</v>
      </c>
      <c r="C56" s="10" t="str">
        <f>IF(A56&gt;$B$1,VLOOKUP(WEEKDAY($A56),DOTWMonth,3,FALSE),"")</f>
        <v>Friday</v>
      </c>
      <c r="D56" s="7">
        <f>IF('[1]Game Input'!$B56&lt;&gt;"",'[1]Game Input'!$B56,"")</f>
        <v>0.83680555555555547</v>
      </c>
      <c r="E56" s="7">
        <f>IF('[1]Game Input'!$C56&lt;&gt;"",'[1]Game Input'!$C56,"")</f>
        <v>0.79513888888888884</v>
      </c>
      <c r="F56" s="8" t="str">
        <f>IF('[1]Game Input'!$D56&lt;&gt;"",'[1]Game Input'!$D56,"")</f>
        <v>Daylight</v>
      </c>
      <c r="G56" s="8" t="str">
        <f>IF('[1]Game Input'!$G56&lt;&gt;"",'[1]Game Input'!$G56,"")</f>
        <v>YNG @ DUB</v>
      </c>
      <c r="H56" s="8" t="str">
        <f>IF('[1]Game Input'!$H56&lt;&gt;"",'[1]Game Input'!$H56,"")</f>
        <v>Vs. Conference</v>
      </c>
      <c r="I56" s="8" t="str">
        <f>IF('[1]Game Input'!$I56&lt;&gt;"",'[1]Game Input'!$I56,"")</f>
        <v>YOUNGSTOWN</v>
      </c>
      <c r="J56" s="9">
        <f>IF('[1]Game Input'!$AC56&lt;&gt;"",'[1]Game Input'!$AC56,"")</f>
        <v>12</v>
      </c>
      <c r="K56" s="9">
        <f>IF('[1]Game Input'!$AD56&lt;&gt;"",'[1]Game Input'!$AD56,"")</f>
        <v>6</v>
      </c>
      <c r="L56" s="9">
        <f>IF('[1]Game Input'!$AJ56&lt;&gt;"",'[1]Game Input'!$AJ56,"")</f>
        <v>0</v>
      </c>
      <c r="M56" s="9">
        <f>IF('[1]Game Input'!$AK56&lt;&gt;"",'[1]Game Input'!$AK56,"")</f>
        <v>0</v>
      </c>
      <c r="N56" s="9">
        <f>IF('[1]Game Input'!$AN56&lt;&gt;"",'[1]Game Input'!$AN56,"")</f>
        <v>6</v>
      </c>
      <c r="O56" s="9">
        <f>IF('[1]Game Input'!$AO56&lt;&gt;"",'[1]Game Input'!$AO56,"")</f>
        <v>0</v>
      </c>
      <c r="P56" s="9">
        <f>IF('[1]Game Input'!$AP56&lt;&gt;"",'[1]Game Input'!$AP56,"")</f>
        <v>0</v>
      </c>
      <c r="Q56" s="9">
        <f>IF('[1]Game Input'!$AQ56&lt;&gt;"",'[1]Game Input'!$AQ56,"")</f>
        <v>0</v>
      </c>
      <c r="R56" s="9">
        <f>IF('[1]Game Input'!$AR56&lt;&gt;"",'[1]Game Input'!$AR56,"")</f>
        <v>0</v>
      </c>
      <c r="S56" s="9">
        <f>IF('[1]Game Input'!$AS56&lt;&gt;"",'[1]Game Input'!$AS56,"")</f>
        <v>0</v>
      </c>
      <c r="T56" s="10" t="str">
        <f>IF('[1]Game Input'!$BA56&lt;&gt;"",'[1]Game Input'!$BA56,"")</f>
        <v>DUBUQUE</v>
      </c>
      <c r="U56" s="9">
        <f>IF('[1]Game Input'!$BU56&lt;&gt;"",'[1]Game Input'!$BU56,"")</f>
        <v>20</v>
      </c>
      <c r="V56" s="9">
        <f>IF('[1]Game Input'!$BV56&lt;&gt;"",'[1]Game Input'!$BV56,"")</f>
        <v>10</v>
      </c>
      <c r="W56" s="9">
        <f>IF('[1]Game Input'!$CB56&lt;&gt;"",'[1]Game Input'!$CB56,"")</f>
        <v>0</v>
      </c>
      <c r="X56" s="9">
        <f>IF('[1]Game Input'!$CC56&lt;&gt;"",'[1]Game Input'!$CC56,"")</f>
        <v>0</v>
      </c>
      <c r="Y56" s="9">
        <f>IF('[1]Game Input'!$CF56&lt;&gt;"",'[1]Game Input'!$CF56,"")</f>
        <v>10</v>
      </c>
      <c r="Z56" s="9">
        <f>IF('[1]Game Input'!$CG56&lt;&gt;"",'[1]Game Input'!$CG56,"")</f>
        <v>0</v>
      </c>
      <c r="AA56" s="9">
        <f>IF('[1]Game Input'!$CH56&lt;&gt;"",'[1]Game Input'!$CH56,"")</f>
        <v>0</v>
      </c>
      <c r="AB56" s="9">
        <f>IF('[1]Game Input'!$CI56&lt;&gt;"",'[1]Game Input'!$CI56,"")</f>
        <v>0</v>
      </c>
      <c r="AC56" s="9">
        <f>IF('[1]Game Input'!$CJ56&lt;&gt;"",'[1]Game Input'!$CJ56,"")</f>
        <v>0</v>
      </c>
      <c r="AD56" s="9">
        <f>IF('[1]Game Input'!$CK56&lt;&gt;"",'[1]Game Input'!$CK56,"")</f>
        <v>0</v>
      </c>
      <c r="AE56" s="8"/>
      <c r="AF56" s="8"/>
      <c r="AG56" s="8"/>
      <c r="AH56" s="8"/>
    </row>
    <row r="57" spans="1:34" x14ac:dyDescent="0.2">
      <c r="A57" s="6">
        <f>IF('[1]Game Input'!$A57&lt;&gt;"",'[1]Game Input'!$A57,"")</f>
        <v>43392</v>
      </c>
      <c r="B57" s="6" t="str">
        <f>IF(A57&gt;$B$1,VLOOKUP(MONTH($A57),DOTWMonth,2,FALSE),"")</f>
        <v>October</v>
      </c>
      <c r="C57" s="10" t="str">
        <f>IF(A57&gt;$B$1,VLOOKUP(WEEKDAY($A57),DOTWMonth,3,FALSE),"")</f>
        <v>Friday</v>
      </c>
      <c r="D57" s="7">
        <f>IF('[1]Game Input'!$B57&lt;&gt;"",'[1]Game Input'!$B57,"")</f>
        <v>0.83680555555555547</v>
      </c>
      <c r="E57" s="7">
        <f>IF('[1]Game Input'!$C57&lt;&gt;"",'[1]Game Input'!$C57,"")</f>
        <v>0.79513888888888884</v>
      </c>
      <c r="F57" s="8" t="str">
        <f>IF('[1]Game Input'!$D57&lt;&gt;"",'[1]Game Input'!$D57,"")</f>
        <v>Daylight</v>
      </c>
      <c r="G57" s="8" t="str">
        <f>IF('[1]Game Input'!$G57&lt;&gt;"",'[1]Game Input'!$G57,"")</f>
        <v>SC @ FGO</v>
      </c>
      <c r="H57" s="8" t="str">
        <f>IF('[1]Game Input'!$H57&lt;&gt;"",'[1]Game Input'!$H57,"")</f>
        <v>Vs. Conference</v>
      </c>
      <c r="I57" s="8" t="str">
        <f>IF('[1]Game Input'!$I57&lt;&gt;"",'[1]Game Input'!$I57,"")</f>
        <v>SIOUX CITY</v>
      </c>
      <c r="J57" s="9">
        <f>IF('[1]Game Input'!$AC57&lt;&gt;"",'[1]Game Input'!$AC57,"")</f>
        <v>16</v>
      </c>
      <c r="K57" s="9">
        <f>IF('[1]Game Input'!$AD57&lt;&gt;"",'[1]Game Input'!$AD57,"")</f>
        <v>8</v>
      </c>
      <c r="L57" s="9">
        <f>IF('[1]Game Input'!$AJ57&lt;&gt;"",'[1]Game Input'!$AJ57,"")</f>
        <v>0</v>
      </c>
      <c r="M57" s="9">
        <f>IF('[1]Game Input'!$AK57&lt;&gt;"",'[1]Game Input'!$AK57,"")</f>
        <v>0</v>
      </c>
      <c r="N57" s="9">
        <f>IF('[1]Game Input'!$AN57&lt;&gt;"",'[1]Game Input'!$AN57,"")</f>
        <v>8</v>
      </c>
      <c r="O57" s="9">
        <f>IF('[1]Game Input'!$AO57&lt;&gt;"",'[1]Game Input'!$AO57,"")</f>
        <v>0</v>
      </c>
      <c r="P57" s="9">
        <f>IF('[1]Game Input'!$AP57&lt;&gt;"",'[1]Game Input'!$AP57,"")</f>
        <v>0</v>
      </c>
      <c r="Q57" s="9">
        <f>IF('[1]Game Input'!$AQ57&lt;&gt;"",'[1]Game Input'!$AQ57,"")</f>
        <v>0</v>
      </c>
      <c r="R57" s="9">
        <f>IF('[1]Game Input'!$AR57&lt;&gt;"",'[1]Game Input'!$AR57,"")</f>
        <v>0</v>
      </c>
      <c r="S57" s="9">
        <f>IF('[1]Game Input'!$AS57&lt;&gt;"",'[1]Game Input'!$AS57,"")</f>
        <v>0</v>
      </c>
      <c r="T57" s="10" t="str">
        <f>IF('[1]Game Input'!$BA57&lt;&gt;"",'[1]Game Input'!$BA57,"")</f>
        <v>FARGO</v>
      </c>
      <c r="U57" s="9">
        <f>IF('[1]Game Input'!$BU57&lt;&gt;"",'[1]Game Input'!$BU57,"")</f>
        <v>16</v>
      </c>
      <c r="V57" s="9">
        <f>IF('[1]Game Input'!$BV57&lt;&gt;"",'[1]Game Input'!$BV57,"")</f>
        <v>8</v>
      </c>
      <c r="W57" s="9">
        <f>IF('[1]Game Input'!$CB57&lt;&gt;"",'[1]Game Input'!$CB57,"")</f>
        <v>0</v>
      </c>
      <c r="X57" s="9">
        <f>IF('[1]Game Input'!$CC57&lt;&gt;"",'[1]Game Input'!$CC57,"")</f>
        <v>0</v>
      </c>
      <c r="Y57" s="9">
        <f>IF('[1]Game Input'!$CF57&lt;&gt;"",'[1]Game Input'!$CF57,"")</f>
        <v>8</v>
      </c>
      <c r="Z57" s="9">
        <f>IF('[1]Game Input'!$CG57&lt;&gt;"",'[1]Game Input'!$CG57,"")</f>
        <v>0</v>
      </c>
      <c r="AA57" s="9">
        <f>IF('[1]Game Input'!$CH57&lt;&gt;"",'[1]Game Input'!$CH57,"")</f>
        <v>0</v>
      </c>
      <c r="AB57" s="9">
        <f>IF('[1]Game Input'!$CI57&lt;&gt;"",'[1]Game Input'!$CI57,"")</f>
        <v>0</v>
      </c>
      <c r="AC57" s="9">
        <f>IF('[1]Game Input'!$CJ57&lt;&gt;"",'[1]Game Input'!$CJ57,"")</f>
        <v>0</v>
      </c>
      <c r="AD57" s="9">
        <f>IF('[1]Game Input'!$CK57&lt;&gt;"",'[1]Game Input'!$CK57,"")</f>
        <v>0</v>
      </c>
      <c r="AE57" s="8"/>
      <c r="AF57" s="8"/>
      <c r="AG57" s="8"/>
      <c r="AH57" s="8"/>
    </row>
    <row r="58" spans="1:34" x14ac:dyDescent="0.2">
      <c r="A58" s="6">
        <f>IF('[1]Game Input'!$A58&lt;&gt;"",'[1]Game Input'!$A58,"")</f>
        <v>43392</v>
      </c>
      <c r="B58" s="6" t="str">
        <f>IF(A58&gt;$B$1,VLOOKUP(MONTH($A58),DOTWMonth,2,FALSE),"")</f>
        <v>October</v>
      </c>
      <c r="C58" s="10" t="str">
        <f>IF(A58&gt;$B$1,VLOOKUP(WEEKDAY($A58),DOTWMonth,3,FALSE),"")</f>
        <v>Friday</v>
      </c>
      <c r="D58" s="7">
        <f>IF('[1]Game Input'!$B58&lt;&gt;"",'[1]Game Input'!$B58,"")</f>
        <v>0.83680555555555547</v>
      </c>
      <c r="E58" s="7">
        <f>IF('[1]Game Input'!$C58&lt;&gt;"",'[1]Game Input'!$C58,"")</f>
        <v>0.79513888888888884</v>
      </c>
      <c r="F58" s="8" t="str">
        <f>IF('[1]Game Input'!$D58&lt;&gt;"",'[1]Game Input'!$D58,"")</f>
        <v>Daylight</v>
      </c>
      <c r="G58" s="8" t="str">
        <f>IF('[1]Game Input'!$G58&lt;&gt;"",'[1]Game Input'!$G58,"")</f>
        <v>WAT @ SF</v>
      </c>
      <c r="H58" s="8" t="str">
        <f>IF('[1]Game Input'!$H58&lt;&gt;"",'[1]Game Input'!$H58,"")</f>
        <v>Vs. Conference</v>
      </c>
      <c r="I58" s="8" t="str">
        <f>IF('[1]Game Input'!$I58&lt;&gt;"",'[1]Game Input'!$I58,"")</f>
        <v>WATERLOO</v>
      </c>
      <c r="J58" s="9">
        <f>IF('[1]Game Input'!$AC58&lt;&gt;"",'[1]Game Input'!$AC58,"")</f>
        <v>23</v>
      </c>
      <c r="K58" s="9">
        <f>IF('[1]Game Input'!$AD58&lt;&gt;"",'[1]Game Input'!$AD58,"")</f>
        <v>6</v>
      </c>
      <c r="L58" s="9">
        <f>IF('[1]Game Input'!$AJ58&lt;&gt;"",'[1]Game Input'!$AJ58,"")</f>
        <v>0</v>
      </c>
      <c r="M58" s="9">
        <f>IF('[1]Game Input'!$AK58&lt;&gt;"",'[1]Game Input'!$AK58,"")</f>
        <v>0</v>
      </c>
      <c r="N58" s="9">
        <f>IF('[1]Game Input'!$AN58&lt;&gt;"",'[1]Game Input'!$AN58,"")</f>
        <v>4</v>
      </c>
      <c r="O58" s="9">
        <f>IF('[1]Game Input'!$AO58&lt;&gt;"",'[1]Game Input'!$AO58,"")</f>
        <v>1</v>
      </c>
      <c r="P58" s="9">
        <f>IF('[1]Game Input'!$AP58&lt;&gt;"",'[1]Game Input'!$AP58,"")</f>
        <v>1</v>
      </c>
      <c r="Q58" s="9">
        <f>IF('[1]Game Input'!$AQ58&lt;&gt;"",'[1]Game Input'!$AQ58,"")</f>
        <v>0</v>
      </c>
      <c r="R58" s="9">
        <f>IF('[1]Game Input'!$AR58&lt;&gt;"",'[1]Game Input'!$AR58,"")</f>
        <v>0</v>
      </c>
      <c r="S58" s="9">
        <f>IF('[1]Game Input'!$AS58&lt;&gt;"",'[1]Game Input'!$AS58,"")</f>
        <v>0</v>
      </c>
      <c r="T58" s="10" t="str">
        <f>IF('[1]Game Input'!$BA58&lt;&gt;"",'[1]Game Input'!$BA58,"")</f>
        <v>SIOUX FALLS</v>
      </c>
      <c r="U58" s="9">
        <f>IF('[1]Game Input'!$BU58&lt;&gt;"",'[1]Game Input'!$BU58,"")</f>
        <v>25</v>
      </c>
      <c r="V58" s="9">
        <f>IF('[1]Game Input'!$BV58&lt;&gt;"",'[1]Game Input'!$BV58,"")</f>
        <v>7</v>
      </c>
      <c r="W58" s="9">
        <f>IF('[1]Game Input'!$CB58&lt;&gt;"",'[1]Game Input'!$CB58,"")</f>
        <v>0</v>
      </c>
      <c r="X58" s="9">
        <f>IF('[1]Game Input'!$CC58&lt;&gt;"",'[1]Game Input'!$CC58,"")</f>
        <v>0</v>
      </c>
      <c r="Y58" s="9">
        <f>IF('[1]Game Input'!$CF58&lt;&gt;"",'[1]Game Input'!$CF58,"")</f>
        <v>5</v>
      </c>
      <c r="Z58" s="9">
        <f>IF('[1]Game Input'!$CG58&lt;&gt;"",'[1]Game Input'!$CG58,"")</f>
        <v>1</v>
      </c>
      <c r="AA58" s="9">
        <f>IF('[1]Game Input'!$CH58&lt;&gt;"",'[1]Game Input'!$CH58,"")</f>
        <v>1</v>
      </c>
      <c r="AB58" s="9">
        <f>IF('[1]Game Input'!$CI58&lt;&gt;"",'[1]Game Input'!$CI58,"")</f>
        <v>0</v>
      </c>
      <c r="AC58" s="9">
        <f>IF('[1]Game Input'!$CJ58&lt;&gt;"",'[1]Game Input'!$CJ58,"")</f>
        <v>0</v>
      </c>
      <c r="AD58" s="9">
        <f>IF('[1]Game Input'!$CK58&lt;&gt;"",'[1]Game Input'!$CK58,"")</f>
        <v>0</v>
      </c>
      <c r="AE58" s="8"/>
      <c r="AF58" s="8"/>
      <c r="AG58" s="8"/>
      <c r="AH58" s="8"/>
    </row>
    <row r="59" spans="1:34" x14ac:dyDescent="0.2">
      <c r="A59" s="6">
        <f>IF('[1]Game Input'!$A59&lt;&gt;"",'[1]Game Input'!$A59,"")</f>
        <v>43392</v>
      </c>
      <c r="B59" s="6" t="str">
        <f>IF(A59&gt;$B$1,VLOOKUP(MONTH($A59),DOTWMonth,2,FALSE),"")</f>
        <v>October</v>
      </c>
      <c r="C59" s="10" t="str">
        <f>IF(A59&gt;$B$1,VLOOKUP(WEEKDAY($A59),DOTWMonth,3,FALSE),"")</f>
        <v>Friday</v>
      </c>
      <c r="D59" s="7">
        <f>IF('[1]Game Input'!$B59&lt;&gt;"",'[1]Game Input'!$B59,"")</f>
        <v>0.83680555555555547</v>
      </c>
      <c r="E59" s="7">
        <f>IF('[1]Game Input'!$C59&lt;&gt;"",'[1]Game Input'!$C59,"")</f>
        <v>0.79513888888888884</v>
      </c>
      <c r="F59" s="8" t="str">
        <f>IF('[1]Game Input'!$D59&lt;&gt;"",'[1]Game Input'!$D59,"")</f>
        <v>Daylight</v>
      </c>
      <c r="G59" s="8" t="str">
        <f>IF('[1]Game Input'!$G59&lt;&gt;"",'[1]Game Input'!$G59,"")</f>
        <v>MAD @ LIN</v>
      </c>
      <c r="H59" s="8" t="str">
        <f>IF('[1]Game Input'!$H59&lt;&gt;"",'[1]Game Input'!$H59,"")</f>
        <v>Vs. Non-Conference</v>
      </c>
      <c r="I59" s="8" t="str">
        <f>IF('[1]Game Input'!$I59&lt;&gt;"",'[1]Game Input'!$I59,"")</f>
        <v>MADISON</v>
      </c>
      <c r="J59" s="9">
        <f>IF('[1]Game Input'!$AC59&lt;&gt;"",'[1]Game Input'!$AC59,"")</f>
        <v>4</v>
      </c>
      <c r="K59" s="9">
        <f>IF('[1]Game Input'!$AD59&lt;&gt;"",'[1]Game Input'!$AD59,"")</f>
        <v>3</v>
      </c>
      <c r="L59" s="9">
        <f>IF('[1]Game Input'!$AJ59&lt;&gt;"",'[1]Game Input'!$AJ59,"")</f>
        <v>0</v>
      </c>
      <c r="M59" s="9">
        <f>IF('[1]Game Input'!$AK59&lt;&gt;"",'[1]Game Input'!$AK59,"")</f>
        <v>0</v>
      </c>
      <c r="N59" s="9">
        <f>IF('[1]Game Input'!$AN59&lt;&gt;"",'[1]Game Input'!$AN59,"")</f>
        <v>2</v>
      </c>
      <c r="O59" s="9">
        <f>IF('[1]Game Input'!$AO59&lt;&gt;"",'[1]Game Input'!$AO59,"")</f>
        <v>0</v>
      </c>
      <c r="P59" s="9">
        <f>IF('[1]Game Input'!$AP59&lt;&gt;"",'[1]Game Input'!$AP59,"")</f>
        <v>0</v>
      </c>
      <c r="Q59" s="9">
        <f>IF('[1]Game Input'!$AQ59&lt;&gt;"",'[1]Game Input'!$AQ59,"")</f>
        <v>0</v>
      </c>
      <c r="R59" s="9">
        <f>IF('[1]Game Input'!$AR59&lt;&gt;"",'[1]Game Input'!$AR59,"")</f>
        <v>0</v>
      </c>
      <c r="S59" s="9">
        <f>IF('[1]Game Input'!$AS59&lt;&gt;"",'[1]Game Input'!$AS59,"")</f>
        <v>0</v>
      </c>
      <c r="T59" s="10" t="str">
        <f>IF('[1]Game Input'!$BA59&lt;&gt;"",'[1]Game Input'!$BA59,"")</f>
        <v>LINCOLN</v>
      </c>
      <c r="U59" s="9">
        <f>IF('[1]Game Input'!$BU59&lt;&gt;"",'[1]Game Input'!$BU59,"")</f>
        <v>9</v>
      </c>
      <c r="V59" s="9">
        <f>IF('[1]Game Input'!$BV59&lt;&gt;"",'[1]Game Input'!$BV59,"")</f>
        <v>3</v>
      </c>
      <c r="W59" s="9">
        <f>IF('[1]Game Input'!$CB59&lt;&gt;"",'[1]Game Input'!$CB59,"")</f>
        <v>1</v>
      </c>
      <c r="X59" s="9">
        <f>IF('[1]Game Input'!$CC59&lt;&gt;"",'[1]Game Input'!$CC59,"")</f>
        <v>1</v>
      </c>
      <c r="Y59" s="9">
        <f>IF('[1]Game Input'!$CF59&lt;&gt;"",'[1]Game Input'!$CF59,"")</f>
        <v>2</v>
      </c>
      <c r="Z59" s="9">
        <f>IF('[1]Game Input'!$CG59&lt;&gt;"",'[1]Game Input'!$CG59,"")</f>
        <v>1</v>
      </c>
      <c r="AA59" s="9">
        <f>IF('[1]Game Input'!$CH59&lt;&gt;"",'[1]Game Input'!$CH59,"")</f>
        <v>0</v>
      </c>
      <c r="AB59" s="9">
        <f>IF('[1]Game Input'!$CI59&lt;&gt;"",'[1]Game Input'!$CI59,"")</f>
        <v>0</v>
      </c>
      <c r="AC59" s="9">
        <f>IF('[1]Game Input'!$CJ59&lt;&gt;"",'[1]Game Input'!$CJ59,"")</f>
        <v>0</v>
      </c>
      <c r="AD59" s="9">
        <f>IF('[1]Game Input'!$CK59&lt;&gt;"",'[1]Game Input'!$CK59,"")</f>
        <v>1</v>
      </c>
      <c r="AE59" s="8"/>
      <c r="AF59" s="8"/>
      <c r="AG59" s="8"/>
      <c r="AH59" s="8"/>
    </row>
    <row r="60" spans="1:34" x14ac:dyDescent="0.2">
      <c r="A60" s="6">
        <f>IF('[1]Game Input'!$A60&lt;&gt;"",'[1]Game Input'!$A60,"")</f>
        <v>43392</v>
      </c>
      <c r="B60" s="6" t="str">
        <f>IF(A60&gt;$B$1,VLOOKUP(MONTH($A60),DOTWMonth,2,FALSE),"")</f>
        <v>October</v>
      </c>
      <c r="C60" s="10" t="str">
        <f>IF(A60&gt;$B$1,VLOOKUP(WEEKDAY($A60),DOTWMonth,3,FALSE),"")</f>
        <v>Friday</v>
      </c>
      <c r="D60" s="7">
        <f>IF('[1]Game Input'!$B60&lt;&gt;"",'[1]Game Input'!$B60,"")</f>
        <v>0.83819444444444446</v>
      </c>
      <c r="E60" s="7">
        <f>IF('[1]Game Input'!$C60&lt;&gt;"",'[1]Game Input'!$C60,"")</f>
        <v>0.79652777777777783</v>
      </c>
      <c r="F60" s="8" t="str">
        <f>IF('[1]Game Input'!$D60&lt;&gt;"",'[1]Game Input'!$D60,"")</f>
        <v>Daylight</v>
      </c>
      <c r="G60" s="8" t="str">
        <f>IF('[1]Game Input'!$G60&lt;&gt;"",'[1]Game Input'!$G60,"")</f>
        <v>USA @ CIL</v>
      </c>
      <c r="H60" s="8" t="str">
        <f>IF('[1]Game Input'!$H60&lt;&gt;"",'[1]Game Input'!$H60,"")</f>
        <v>Vs. Conference</v>
      </c>
      <c r="I60" s="8" t="str">
        <f>IF('[1]Game Input'!$I60&lt;&gt;"",'[1]Game Input'!$I60,"")</f>
        <v>TEAM USA</v>
      </c>
      <c r="J60" s="9">
        <f>IF('[1]Game Input'!$AC60&lt;&gt;"",'[1]Game Input'!$AC60,"")</f>
        <v>8</v>
      </c>
      <c r="K60" s="9">
        <f>IF('[1]Game Input'!$AD60&lt;&gt;"",'[1]Game Input'!$AD60,"")</f>
        <v>4</v>
      </c>
      <c r="L60" s="9">
        <f>IF('[1]Game Input'!$AJ60&lt;&gt;"",'[1]Game Input'!$AJ60,"")</f>
        <v>0</v>
      </c>
      <c r="M60" s="9">
        <f>IF('[1]Game Input'!$AK60&lt;&gt;"",'[1]Game Input'!$AK60,"")</f>
        <v>0</v>
      </c>
      <c r="N60" s="9">
        <f>IF('[1]Game Input'!$AN60&lt;&gt;"",'[1]Game Input'!$AN60,"")</f>
        <v>4</v>
      </c>
      <c r="O60" s="9">
        <f>IF('[1]Game Input'!$AO60&lt;&gt;"",'[1]Game Input'!$AO60,"")</f>
        <v>0</v>
      </c>
      <c r="P60" s="9">
        <f>IF('[1]Game Input'!$AP60&lt;&gt;"",'[1]Game Input'!$AP60,"")</f>
        <v>0</v>
      </c>
      <c r="Q60" s="9">
        <f>IF('[1]Game Input'!$AQ60&lt;&gt;"",'[1]Game Input'!$AQ60,"")</f>
        <v>0</v>
      </c>
      <c r="R60" s="9">
        <f>IF('[1]Game Input'!$AR60&lt;&gt;"",'[1]Game Input'!$AR60,"")</f>
        <v>0</v>
      </c>
      <c r="S60" s="9">
        <f>IF('[1]Game Input'!$AS60&lt;&gt;"",'[1]Game Input'!$AS60,"")</f>
        <v>0</v>
      </c>
      <c r="T60" s="10" t="str">
        <f>IF('[1]Game Input'!$BA60&lt;&gt;"",'[1]Game Input'!$BA60,"")</f>
        <v>CENTRAL ILLINOIS</v>
      </c>
      <c r="U60" s="9">
        <f>IF('[1]Game Input'!$BU60&lt;&gt;"",'[1]Game Input'!$BU60,"")</f>
        <v>10</v>
      </c>
      <c r="V60" s="9">
        <f>IF('[1]Game Input'!$BV60&lt;&gt;"",'[1]Game Input'!$BV60,"")</f>
        <v>5</v>
      </c>
      <c r="W60" s="9">
        <f>IF('[1]Game Input'!$CB60&lt;&gt;"",'[1]Game Input'!$CB60,"")</f>
        <v>0</v>
      </c>
      <c r="X60" s="9">
        <f>IF('[1]Game Input'!$CC60&lt;&gt;"",'[1]Game Input'!$CC60,"")</f>
        <v>0</v>
      </c>
      <c r="Y60" s="9">
        <f>IF('[1]Game Input'!$CF60&lt;&gt;"",'[1]Game Input'!$CF60,"")</f>
        <v>5</v>
      </c>
      <c r="Z60" s="9">
        <f>IF('[1]Game Input'!$CG60&lt;&gt;"",'[1]Game Input'!$CG60,"")</f>
        <v>0</v>
      </c>
      <c r="AA60" s="9">
        <f>IF('[1]Game Input'!$CH60&lt;&gt;"",'[1]Game Input'!$CH60,"")</f>
        <v>0</v>
      </c>
      <c r="AB60" s="9">
        <f>IF('[1]Game Input'!$CI60&lt;&gt;"",'[1]Game Input'!$CI60,"")</f>
        <v>0</v>
      </c>
      <c r="AC60" s="9">
        <f>IF('[1]Game Input'!$CJ60&lt;&gt;"",'[1]Game Input'!$CJ60,"")</f>
        <v>0</v>
      </c>
      <c r="AD60" s="9">
        <f>IF('[1]Game Input'!$CK60&lt;&gt;"",'[1]Game Input'!$CK60,"")</f>
        <v>0</v>
      </c>
      <c r="AE60" s="8" t="s">
        <v>92</v>
      </c>
      <c r="AF60" s="8" t="s">
        <v>127</v>
      </c>
      <c r="AG60" s="8" t="s">
        <v>113</v>
      </c>
      <c r="AH60" s="8" t="s">
        <v>122</v>
      </c>
    </row>
    <row r="61" spans="1:34" x14ac:dyDescent="0.2">
      <c r="A61" s="6">
        <f>IF('[1]Game Input'!$A61&lt;&gt;"",'[1]Game Input'!$A61,"")</f>
        <v>43393</v>
      </c>
      <c r="B61" s="6" t="str">
        <f>IF(A61&gt;$B$1,VLOOKUP(MONTH($A61),DOTWMonth,2,FALSE),"")</f>
        <v>October</v>
      </c>
      <c r="C61" s="10" t="str">
        <f>IF(A61&gt;$B$1,VLOOKUP(WEEKDAY($A61),DOTWMonth,3,FALSE),"")</f>
        <v>Saturday</v>
      </c>
      <c r="D61" s="7">
        <f>IF('[1]Game Input'!$B61&lt;&gt;"",'[1]Game Input'!$B61,"")</f>
        <v>0.83680555555555547</v>
      </c>
      <c r="E61" s="7">
        <f>IF('[1]Game Input'!$C61&lt;&gt;"",'[1]Game Input'!$C61,"")</f>
        <v>0.79513888888888884</v>
      </c>
      <c r="F61" s="8" t="str">
        <f>IF('[1]Game Input'!$D61&lt;&gt;"",'[1]Game Input'!$D61,"")</f>
        <v>Daylight</v>
      </c>
      <c r="G61" s="8" t="str">
        <f>IF('[1]Game Input'!$G61&lt;&gt;"",'[1]Game Input'!$G61,"")</f>
        <v>YNG @ CR</v>
      </c>
      <c r="H61" s="8" t="str">
        <f>IF('[1]Game Input'!$H61&lt;&gt;"",'[1]Game Input'!$H61,"")</f>
        <v>Vs. Conference</v>
      </c>
      <c r="I61" s="8" t="str">
        <f>IF('[1]Game Input'!$I61&lt;&gt;"",'[1]Game Input'!$I61,"")</f>
        <v>YOUNGSTOWN</v>
      </c>
      <c r="J61" s="9">
        <f>IF('[1]Game Input'!$AC61&lt;&gt;"",'[1]Game Input'!$AC61,"")</f>
        <v>27</v>
      </c>
      <c r="K61" s="9">
        <f>IF('[1]Game Input'!$AD61&lt;&gt;"",'[1]Game Input'!$AD61,"")</f>
        <v>8</v>
      </c>
      <c r="L61" s="9">
        <f>IF('[1]Game Input'!$AJ61&lt;&gt;"",'[1]Game Input'!$AJ61,"")</f>
        <v>0</v>
      </c>
      <c r="M61" s="9">
        <f>IF('[1]Game Input'!$AK61&lt;&gt;"",'[1]Game Input'!$AK61,"")</f>
        <v>0</v>
      </c>
      <c r="N61" s="9">
        <f>IF('[1]Game Input'!$AN61&lt;&gt;"",'[1]Game Input'!$AN61,"")</f>
        <v>6</v>
      </c>
      <c r="O61" s="9">
        <f>IF('[1]Game Input'!$AO61&lt;&gt;"",'[1]Game Input'!$AO61,"")</f>
        <v>1</v>
      </c>
      <c r="P61" s="9">
        <f>IF('[1]Game Input'!$AP61&lt;&gt;"",'[1]Game Input'!$AP61,"")</f>
        <v>1</v>
      </c>
      <c r="Q61" s="9">
        <f>IF('[1]Game Input'!$AQ61&lt;&gt;"",'[1]Game Input'!$AQ61,"")</f>
        <v>0</v>
      </c>
      <c r="R61" s="9">
        <f>IF('[1]Game Input'!$AR61&lt;&gt;"",'[1]Game Input'!$AR61,"")</f>
        <v>0</v>
      </c>
      <c r="S61" s="9">
        <f>IF('[1]Game Input'!$AS61&lt;&gt;"",'[1]Game Input'!$AS61,"")</f>
        <v>0</v>
      </c>
      <c r="T61" s="10" t="str">
        <f>IF('[1]Game Input'!$BA61&lt;&gt;"",'[1]Game Input'!$BA61,"")</f>
        <v>CEDAR RAPIDS</v>
      </c>
      <c r="U61" s="9">
        <f>IF('[1]Game Input'!$BU61&lt;&gt;"",'[1]Game Input'!$BU61,"")</f>
        <v>23</v>
      </c>
      <c r="V61" s="9">
        <f>IF('[1]Game Input'!$BV61&lt;&gt;"",'[1]Game Input'!$BV61,"")</f>
        <v>6</v>
      </c>
      <c r="W61" s="9">
        <f>IF('[1]Game Input'!$CB61&lt;&gt;"",'[1]Game Input'!$CB61,"")</f>
        <v>0</v>
      </c>
      <c r="X61" s="9">
        <f>IF('[1]Game Input'!$CC61&lt;&gt;"",'[1]Game Input'!$CC61,"")</f>
        <v>0</v>
      </c>
      <c r="Y61" s="9">
        <f>IF('[1]Game Input'!$CF61&lt;&gt;"",'[1]Game Input'!$CF61,"")</f>
        <v>4</v>
      </c>
      <c r="Z61" s="9">
        <f>IF('[1]Game Input'!$CG61&lt;&gt;"",'[1]Game Input'!$CG61,"")</f>
        <v>1</v>
      </c>
      <c r="AA61" s="9">
        <f>IF('[1]Game Input'!$CH61&lt;&gt;"",'[1]Game Input'!$CH61,"")</f>
        <v>1</v>
      </c>
      <c r="AB61" s="9">
        <f>IF('[1]Game Input'!$CI61&lt;&gt;"",'[1]Game Input'!$CI61,"")</f>
        <v>0</v>
      </c>
      <c r="AC61" s="9">
        <f>IF('[1]Game Input'!$CJ61&lt;&gt;"",'[1]Game Input'!$CJ61,"")</f>
        <v>0</v>
      </c>
      <c r="AD61" s="9">
        <f>IF('[1]Game Input'!$CK61&lt;&gt;"",'[1]Game Input'!$CK61,"")</f>
        <v>0</v>
      </c>
      <c r="AE61" s="8" t="s">
        <v>92</v>
      </c>
      <c r="AF61" s="8"/>
      <c r="AG61" s="8" t="s">
        <v>116</v>
      </c>
      <c r="AH61" s="8" t="s">
        <v>117</v>
      </c>
    </row>
    <row r="62" spans="1:34" x14ac:dyDescent="0.2">
      <c r="A62" s="6">
        <f>IF('[1]Game Input'!$A62&lt;&gt;"",'[1]Game Input'!$A62,"")</f>
        <v>43393</v>
      </c>
      <c r="B62" s="6" t="str">
        <f>IF(A62&gt;$B$1,VLOOKUP(MONTH($A62),DOTWMonth,2,FALSE),"")</f>
        <v>October</v>
      </c>
      <c r="C62" s="10" t="str">
        <f>IF(A62&gt;$B$1,VLOOKUP(WEEKDAY($A62),DOTWMonth,3,FALSE),"")</f>
        <v>Saturday</v>
      </c>
      <c r="D62" s="7">
        <f>IF('[1]Game Input'!$B62&lt;&gt;"",'[1]Game Input'!$B62,"")</f>
        <v>0.83680555555555547</v>
      </c>
      <c r="E62" s="7">
        <f>IF('[1]Game Input'!$C62&lt;&gt;"",'[1]Game Input'!$C62,"")</f>
        <v>0.79513888888888884</v>
      </c>
      <c r="F62" s="8" t="str">
        <f>IF('[1]Game Input'!$D62&lt;&gt;"",'[1]Game Input'!$D62,"")</f>
        <v>Daylight</v>
      </c>
      <c r="G62" s="8" t="str">
        <f>IF('[1]Game Input'!$G62&lt;&gt;"",'[1]Game Input'!$G62,"")</f>
        <v>CHI @ GB</v>
      </c>
      <c r="H62" s="8" t="str">
        <f>IF('[1]Game Input'!$H62&lt;&gt;"",'[1]Game Input'!$H62,"")</f>
        <v>Vs. Conference</v>
      </c>
      <c r="I62" s="8" t="str">
        <f>IF('[1]Game Input'!$I62&lt;&gt;"",'[1]Game Input'!$I62,"")</f>
        <v>CHICAGO</v>
      </c>
      <c r="J62" s="9">
        <f>IF('[1]Game Input'!$AC62&lt;&gt;"",'[1]Game Input'!$AC62,"")</f>
        <v>10</v>
      </c>
      <c r="K62" s="9">
        <f>IF('[1]Game Input'!$AD62&lt;&gt;"",'[1]Game Input'!$AD62,"")</f>
        <v>5</v>
      </c>
      <c r="L62" s="9">
        <f>IF('[1]Game Input'!$AJ62&lt;&gt;"",'[1]Game Input'!$AJ62,"")</f>
        <v>0</v>
      </c>
      <c r="M62" s="9">
        <f>IF('[1]Game Input'!$AK62&lt;&gt;"",'[1]Game Input'!$AK62,"")</f>
        <v>0</v>
      </c>
      <c r="N62" s="9">
        <f>IF('[1]Game Input'!$AN62&lt;&gt;"",'[1]Game Input'!$AN62,"")</f>
        <v>5</v>
      </c>
      <c r="O62" s="9">
        <f>IF('[1]Game Input'!$AO62&lt;&gt;"",'[1]Game Input'!$AO62,"")</f>
        <v>0</v>
      </c>
      <c r="P62" s="9">
        <f>IF('[1]Game Input'!$AP62&lt;&gt;"",'[1]Game Input'!$AP62,"")</f>
        <v>0</v>
      </c>
      <c r="Q62" s="9">
        <f>IF('[1]Game Input'!$AQ62&lt;&gt;"",'[1]Game Input'!$AQ62,"")</f>
        <v>0</v>
      </c>
      <c r="R62" s="9">
        <f>IF('[1]Game Input'!$AR62&lt;&gt;"",'[1]Game Input'!$AR62,"")</f>
        <v>0</v>
      </c>
      <c r="S62" s="9">
        <f>IF('[1]Game Input'!$AS62&lt;&gt;"",'[1]Game Input'!$AS62,"")</f>
        <v>0</v>
      </c>
      <c r="T62" s="10" t="str">
        <f>IF('[1]Game Input'!$BA62&lt;&gt;"",'[1]Game Input'!$BA62,"")</f>
        <v>GREEN BAY</v>
      </c>
      <c r="U62" s="9">
        <f>IF('[1]Game Input'!$BU62&lt;&gt;"",'[1]Game Input'!$BU62,"")</f>
        <v>8</v>
      </c>
      <c r="V62" s="9">
        <f>IF('[1]Game Input'!$BV62&lt;&gt;"",'[1]Game Input'!$BV62,"")</f>
        <v>4</v>
      </c>
      <c r="W62" s="9">
        <f>IF('[1]Game Input'!$CB62&lt;&gt;"",'[1]Game Input'!$CB62,"")</f>
        <v>0</v>
      </c>
      <c r="X62" s="9">
        <f>IF('[1]Game Input'!$CC62&lt;&gt;"",'[1]Game Input'!$CC62,"")</f>
        <v>0</v>
      </c>
      <c r="Y62" s="9">
        <f>IF('[1]Game Input'!$CF62&lt;&gt;"",'[1]Game Input'!$CF62,"")</f>
        <v>4</v>
      </c>
      <c r="Z62" s="9">
        <f>IF('[1]Game Input'!$CG62&lt;&gt;"",'[1]Game Input'!$CG62,"")</f>
        <v>0</v>
      </c>
      <c r="AA62" s="9">
        <f>IF('[1]Game Input'!$CH62&lt;&gt;"",'[1]Game Input'!$CH62,"")</f>
        <v>0</v>
      </c>
      <c r="AB62" s="9">
        <f>IF('[1]Game Input'!$CI62&lt;&gt;"",'[1]Game Input'!$CI62,"")</f>
        <v>0</v>
      </c>
      <c r="AC62" s="9">
        <f>IF('[1]Game Input'!$CJ62&lt;&gt;"",'[1]Game Input'!$CJ62,"")</f>
        <v>0</v>
      </c>
      <c r="AD62" s="9">
        <f>IF('[1]Game Input'!$CK62&lt;&gt;"",'[1]Game Input'!$CK62,"")</f>
        <v>0</v>
      </c>
      <c r="AE62" s="8"/>
      <c r="AF62" s="8"/>
      <c r="AG62" s="8"/>
      <c r="AH62" s="8"/>
    </row>
    <row r="63" spans="1:34" x14ac:dyDescent="0.2">
      <c r="A63" s="6">
        <f>IF('[1]Game Input'!$A63&lt;&gt;"",'[1]Game Input'!$A63,"")</f>
        <v>43393</v>
      </c>
      <c r="B63" s="6" t="str">
        <f>IF(A63&gt;$B$1,VLOOKUP(MONTH($A63),DOTWMonth,2,FALSE),"")</f>
        <v>October</v>
      </c>
      <c r="C63" s="10" t="str">
        <f>IF(A63&gt;$B$1,VLOOKUP(WEEKDAY($A63),DOTWMonth,3,FALSE),"")</f>
        <v>Saturday</v>
      </c>
      <c r="D63" s="7">
        <f>IF('[1]Game Input'!$B63&lt;&gt;"",'[1]Game Input'!$B63,"")</f>
        <v>0.83680555555555547</v>
      </c>
      <c r="E63" s="7">
        <f>IF('[1]Game Input'!$C63&lt;&gt;"",'[1]Game Input'!$C63,"")</f>
        <v>0.79513888888888884</v>
      </c>
      <c r="F63" s="8" t="str">
        <f>IF('[1]Game Input'!$D63&lt;&gt;"",'[1]Game Input'!$D63,"")</f>
        <v>Daylight</v>
      </c>
      <c r="G63" s="8" t="str">
        <f>IF('[1]Game Input'!$G63&lt;&gt;"",'[1]Game Input'!$G63,"")</f>
        <v>WAT @ SC</v>
      </c>
      <c r="H63" s="8" t="str">
        <f>IF('[1]Game Input'!$H63&lt;&gt;"",'[1]Game Input'!$H63,"")</f>
        <v>Vs. Conference</v>
      </c>
      <c r="I63" s="8" t="str">
        <f>IF('[1]Game Input'!$I63&lt;&gt;"",'[1]Game Input'!$I63,"")</f>
        <v>WATERLOO</v>
      </c>
      <c r="J63" s="9">
        <f>IF('[1]Game Input'!$AC63&lt;&gt;"",'[1]Game Input'!$AC63,"")</f>
        <v>4</v>
      </c>
      <c r="K63" s="9">
        <f>IF('[1]Game Input'!$AD63&lt;&gt;"",'[1]Game Input'!$AD63,"")</f>
        <v>2</v>
      </c>
      <c r="L63" s="9">
        <f>IF('[1]Game Input'!$AJ63&lt;&gt;"",'[1]Game Input'!$AJ63,"")</f>
        <v>0</v>
      </c>
      <c r="M63" s="9">
        <f>IF('[1]Game Input'!$AK63&lt;&gt;"",'[1]Game Input'!$AK63,"")</f>
        <v>0</v>
      </c>
      <c r="N63" s="9">
        <f>IF('[1]Game Input'!$AN63&lt;&gt;"",'[1]Game Input'!$AN63,"")</f>
        <v>2</v>
      </c>
      <c r="O63" s="9">
        <f>IF('[1]Game Input'!$AO63&lt;&gt;"",'[1]Game Input'!$AO63,"")</f>
        <v>0</v>
      </c>
      <c r="P63" s="9">
        <f>IF('[1]Game Input'!$AP63&lt;&gt;"",'[1]Game Input'!$AP63,"")</f>
        <v>0</v>
      </c>
      <c r="Q63" s="9">
        <f>IF('[1]Game Input'!$AQ63&lt;&gt;"",'[1]Game Input'!$AQ63,"")</f>
        <v>0</v>
      </c>
      <c r="R63" s="9">
        <f>IF('[1]Game Input'!$AR63&lt;&gt;"",'[1]Game Input'!$AR63,"")</f>
        <v>0</v>
      </c>
      <c r="S63" s="9">
        <f>IF('[1]Game Input'!$AS63&lt;&gt;"",'[1]Game Input'!$AS63,"")</f>
        <v>0</v>
      </c>
      <c r="T63" s="10" t="str">
        <f>IF('[1]Game Input'!$BA63&lt;&gt;"",'[1]Game Input'!$BA63,"")</f>
        <v>SIOUX CITY</v>
      </c>
      <c r="U63" s="9">
        <f>IF('[1]Game Input'!$BU63&lt;&gt;"",'[1]Game Input'!$BU63,"")</f>
        <v>19</v>
      </c>
      <c r="V63" s="9">
        <f>IF('[1]Game Input'!$BV63&lt;&gt;"",'[1]Game Input'!$BV63,"")</f>
        <v>4</v>
      </c>
      <c r="W63" s="9">
        <f>IF('[1]Game Input'!$CB63&lt;&gt;"",'[1]Game Input'!$CB63,"")</f>
        <v>0</v>
      </c>
      <c r="X63" s="9">
        <f>IF('[1]Game Input'!$CC63&lt;&gt;"",'[1]Game Input'!$CC63,"")</f>
        <v>0</v>
      </c>
      <c r="Y63" s="9">
        <f>IF('[1]Game Input'!$CF63&lt;&gt;"",'[1]Game Input'!$CF63,"")</f>
        <v>2</v>
      </c>
      <c r="Z63" s="9">
        <f>IF('[1]Game Input'!$CG63&lt;&gt;"",'[1]Game Input'!$CG63,"")</f>
        <v>1</v>
      </c>
      <c r="AA63" s="9">
        <f>IF('[1]Game Input'!$CH63&lt;&gt;"",'[1]Game Input'!$CH63,"")</f>
        <v>0</v>
      </c>
      <c r="AB63" s="9">
        <f>IF('[1]Game Input'!$CI63&lt;&gt;"",'[1]Game Input'!$CI63,"")</f>
        <v>1</v>
      </c>
      <c r="AC63" s="9">
        <f>IF('[1]Game Input'!$CJ63&lt;&gt;"",'[1]Game Input'!$CJ63,"")</f>
        <v>0</v>
      </c>
      <c r="AD63" s="9">
        <f>IF('[1]Game Input'!$CK63&lt;&gt;"",'[1]Game Input'!$CK63,"")</f>
        <v>0</v>
      </c>
      <c r="AE63" s="8"/>
      <c r="AF63" s="8"/>
      <c r="AG63" s="8"/>
      <c r="AH63" s="8"/>
    </row>
    <row r="64" spans="1:34" x14ac:dyDescent="0.2">
      <c r="A64" s="6">
        <f>IF('[1]Game Input'!$A64&lt;&gt;"",'[1]Game Input'!$A64,"")</f>
        <v>43393</v>
      </c>
      <c r="B64" s="6" t="str">
        <f>IF(A64&gt;$B$1,VLOOKUP(MONTH($A64),DOTWMonth,2,FALSE),"")</f>
        <v>October</v>
      </c>
      <c r="C64" s="10" t="str">
        <f>IF(A64&gt;$B$1,VLOOKUP(WEEKDAY($A64),DOTWMonth,3,FALSE),"")</f>
        <v>Saturday</v>
      </c>
      <c r="D64" s="7">
        <f>IF('[1]Game Input'!$B64&lt;&gt;"",'[1]Game Input'!$B64,"")</f>
        <v>0.83680555555555547</v>
      </c>
      <c r="E64" s="7">
        <f>IF('[1]Game Input'!$C64&lt;&gt;"",'[1]Game Input'!$C64,"")</f>
        <v>0.79513888888888884</v>
      </c>
      <c r="F64" s="8" t="str">
        <f>IF('[1]Game Input'!$D64&lt;&gt;"",'[1]Game Input'!$D64,"")</f>
        <v>Daylight</v>
      </c>
      <c r="G64" s="8" t="str">
        <f>IF('[1]Game Input'!$G64&lt;&gt;"",'[1]Game Input'!$G64,"")</f>
        <v>DM @ TC</v>
      </c>
      <c r="H64" s="8" t="str">
        <f>IF('[1]Game Input'!$H64&lt;&gt;"",'[1]Game Input'!$H64,"")</f>
        <v>Vs. Conference</v>
      </c>
      <c r="I64" s="8" t="str">
        <f>IF('[1]Game Input'!$I64&lt;&gt;"",'[1]Game Input'!$I64,"")</f>
        <v>DES MOINES</v>
      </c>
      <c r="J64" s="9">
        <f>IF('[1]Game Input'!$AC64&lt;&gt;"",'[1]Game Input'!$AC64,"")</f>
        <v>12</v>
      </c>
      <c r="K64" s="9">
        <f>IF('[1]Game Input'!$AD64&lt;&gt;"",'[1]Game Input'!$AD64,"")</f>
        <v>6</v>
      </c>
      <c r="L64" s="9">
        <f>IF('[1]Game Input'!$AJ64&lt;&gt;"",'[1]Game Input'!$AJ64,"")</f>
        <v>0</v>
      </c>
      <c r="M64" s="9">
        <f>IF('[1]Game Input'!$AK64&lt;&gt;"",'[1]Game Input'!$AK64,"")</f>
        <v>0</v>
      </c>
      <c r="N64" s="9">
        <f>IF('[1]Game Input'!$AN64&lt;&gt;"",'[1]Game Input'!$AN64,"")</f>
        <v>6</v>
      </c>
      <c r="O64" s="9">
        <f>IF('[1]Game Input'!$AO64&lt;&gt;"",'[1]Game Input'!$AO64,"")</f>
        <v>0</v>
      </c>
      <c r="P64" s="9">
        <f>IF('[1]Game Input'!$AP64&lt;&gt;"",'[1]Game Input'!$AP64,"")</f>
        <v>0</v>
      </c>
      <c r="Q64" s="9">
        <f>IF('[1]Game Input'!$AQ64&lt;&gt;"",'[1]Game Input'!$AQ64,"")</f>
        <v>0</v>
      </c>
      <c r="R64" s="9">
        <f>IF('[1]Game Input'!$AR64&lt;&gt;"",'[1]Game Input'!$AR64,"")</f>
        <v>0</v>
      </c>
      <c r="S64" s="9">
        <f>IF('[1]Game Input'!$AS64&lt;&gt;"",'[1]Game Input'!$AS64,"")</f>
        <v>0</v>
      </c>
      <c r="T64" s="10" t="str">
        <f>IF('[1]Game Input'!$BA64&lt;&gt;"",'[1]Game Input'!$BA64,"")</f>
        <v>TRI-CITY</v>
      </c>
      <c r="U64" s="9">
        <f>IF('[1]Game Input'!$BU64&lt;&gt;"",'[1]Game Input'!$BU64,"")</f>
        <v>6</v>
      </c>
      <c r="V64" s="9">
        <f>IF('[1]Game Input'!$BV64&lt;&gt;"",'[1]Game Input'!$BV64,"")</f>
        <v>3</v>
      </c>
      <c r="W64" s="9">
        <f>IF('[1]Game Input'!$CB64&lt;&gt;"",'[1]Game Input'!$CB64,"")</f>
        <v>0</v>
      </c>
      <c r="X64" s="9">
        <f>IF('[1]Game Input'!$CC64&lt;&gt;"",'[1]Game Input'!$CC64,"")</f>
        <v>0</v>
      </c>
      <c r="Y64" s="9">
        <f>IF('[1]Game Input'!$CF64&lt;&gt;"",'[1]Game Input'!$CF64,"")</f>
        <v>3</v>
      </c>
      <c r="Z64" s="9">
        <f>IF('[1]Game Input'!$CG64&lt;&gt;"",'[1]Game Input'!$CG64,"")</f>
        <v>0</v>
      </c>
      <c r="AA64" s="9">
        <f>IF('[1]Game Input'!$CH64&lt;&gt;"",'[1]Game Input'!$CH64,"")</f>
        <v>0</v>
      </c>
      <c r="AB64" s="9">
        <f>IF('[1]Game Input'!$CI64&lt;&gt;"",'[1]Game Input'!$CI64,"")</f>
        <v>0</v>
      </c>
      <c r="AC64" s="9">
        <f>IF('[1]Game Input'!$CJ64&lt;&gt;"",'[1]Game Input'!$CJ64,"")</f>
        <v>0</v>
      </c>
      <c r="AD64" s="9">
        <f>IF('[1]Game Input'!$CK64&lt;&gt;"",'[1]Game Input'!$CK64,"")</f>
        <v>0</v>
      </c>
      <c r="AE64" s="8" t="s">
        <v>102</v>
      </c>
      <c r="AF64" s="8"/>
      <c r="AG64" s="8" t="s">
        <v>118</v>
      </c>
      <c r="AH64" s="8" t="s">
        <v>114</v>
      </c>
    </row>
    <row r="65" spans="1:34" x14ac:dyDescent="0.2">
      <c r="A65" s="6">
        <f>IF('[1]Game Input'!$A65&lt;&gt;"",'[1]Game Input'!$A65,"")</f>
        <v>43393</v>
      </c>
      <c r="B65" s="6" t="str">
        <f>IF(A65&gt;$B$1,VLOOKUP(MONTH($A65),DOTWMonth,2,FALSE),"")</f>
        <v>October</v>
      </c>
      <c r="C65" s="10" t="str">
        <f>IF(A65&gt;$B$1,VLOOKUP(WEEKDAY($A65),DOTWMonth,3,FALSE),"")</f>
        <v>Saturday</v>
      </c>
      <c r="D65" s="7">
        <f>IF('[1]Game Input'!$B65&lt;&gt;"",'[1]Game Input'!$B65,"")</f>
        <v>0.83680555555555547</v>
      </c>
      <c r="E65" s="7">
        <f>IF('[1]Game Input'!$C65&lt;&gt;"",'[1]Game Input'!$C65,"")</f>
        <v>0.79513888888888884</v>
      </c>
      <c r="F65" s="8" t="str">
        <f>IF('[1]Game Input'!$D65&lt;&gt;"",'[1]Game Input'!$D65,"")</f>
        <v>Daylight</v>
      </c>
      <c r="G65" s="8" t="str">
        <f>IF('[1]Game Input'!$G65&lt;&gt;"",'[1]Game Input'!$G65,"")</f>
        <v>MAD @ SF</v>
      </c>
      <c r="H65" s="8" t="str">
        <f>IF('[1]Game Input'!$H65&lt;&gt;"",'[1]Game Input'!$H65,"")</f>
        <v>Vs. Non-Conference</v>
      </c>
      <c r="I65" s="8" t="str">
        <f>IF('[1]Game Input'!$I65&lt;&gt;"",'[1]Game Input'!$I65,"")</f>
        <v>MADISON</v>
      </c>
      <c r="J65" s="9">
        <f>IF('[1]Game Input'!$AC65&lt;&gt;"",'[1]Game Input'!$AC65,"")</f>
        <v>12</v>
      </c>
      <c r="K65" s="9">
        <f>IF('[1]Game Input'!$AD65&lt;&gt;"",'[1]Game Input'!$AD65,"")</f>
        <v>6</v>
      </c>
      <c r="L65" s="9">
        <f>IF('[1]Game Input'!$AJ65&lt;&gt;"",'[1]Game Input'!$AJ65,"")</f>
        <v>0</v>
      </c>
      <c r="M65" s="9">
        <f>IF('[1]Game Input'!$AK65&lt;&gt;"",'[1]Game Input'!$AK65,"")</f>
        <v>0</v>
      </c>
      <c r="N65" s="9">
        <f>IF('[1]Game Input'!$AN65&lt;&gt;"",'[1]Game Input'!$AN65,"")</f>
        <v>6</v>
      </c>
      <c r="O65" s="9">
        <f>IF('[1]Game Input'!$AO65&lt;&gt;"",'[1]Game Input'!$AO65,"")</f>
        <v>0</v>
      </c>
      <c r="P65" s="9">
        <f>IF('[1]Game Input'!$AP65&lt;&gt;"",'[1]Game Input'!$AP65,"")</f>
        <v>0</v>
      </c>
      <c r="Q65" s="9">
        <f>IF('[1]Game Input'!$AQ65&lt;&gt;"",'[1]Game Input'!$AQ65,"")</f>
        <v>0</v>
      </c>
      <c r="R65" s="9">
        <f>IF('[1]Game Input'!$AR65&lt;&gt;"",'[1]Game Input'!$AR65,"")</f>
        <v>0</v>
      </c>
      <c r="S65" s="9">
        <f>IF('[1]Game Input'!$AS65&lt;&gt;"",'[1]Game Input'!$AS65,"")</f>
        <v>0</v>
      </c>
      <c r="T65" s="10" t="str">
        <f>IF('[1]Game Input'!$BA65&lt;&gt;"",'[1]Game Input'!$BA65,"")</f>
        <v>SIOUX FALLS</v>
      </c>
      <c r="U65" s="9">
        <f>IF('[1]Game Input'!$BU65&lt;&gt;"",'[1]Game Input'!$BU65,"")</f>
        <v>12</v>
      </c>
      <c r="V65" s="9">
        <f>IF('[1]Game Input'!$BV65&lt;&gt;"",'[1]Game Input'!$BV65,"")</f>
        <v>6</v>
      </c>
      <c r="W65" s="9">
        <f>IF('[1]Game Input'!$CB65&lt;&gt;"",'[1]Game Input'!$CB65,"")</f>
        <v>0</v>
      </c>
      <c r="X65" s="9">
        <f>IF('[1]Game Input'!$CC65&lt;&gt;"",'[1]Game Input'!$CC65,"")</f>
        <v>0</v>
      </c>
      <c r="Y65" s="9">
        <f>IF('[1]Game Input'!$CF65&lt;&gt;"",'[1]Game Input'!$CF65,"")</f>
        <v>6</v>
      </c>
      <c r="Z65" s="9">
        <f>IF('[1]Game Input'!$CG65&lt;&gt;"",'[1]Game Input'!$CG65,"")</f>
        <v>0</v>
      </c>
      <c r="AA65" s="9">
        <f>IF('[1]Game Input'!$CH65&lt;&gt;"",'[1]Game Input'!$CH65,"")</f>
        <v>0</v>
      </c>
      <c r="AB65" s="9">
        <f>IF('[1]Game Input'!$CI65&lt;&gt;"",'[1]Game Input'!$CI65,"")</f>
        <v>0</v>
      </c>
      <c r="AC65" s="9">
        <f>IF('[1]Game Input'!$CJ65&lt;&gt;"",'[1]Game Input'!$CJ65,"")</f>
        <v>0</v>
      </c>
      <c r="AD65" s="9">
        <f>IF('[1]Game Input'!$CK65&lt;&gt;"",'[1]Game Input'!$CK65,"")</f>
        <v>0</v>
      </c>
      <c r="AE65" s="8"/>
      <c r="AF65" s="8"/>
      <c r="AG65" s="8"/>
      <c r="AH65" s="8"/>
    </row>
    <row r="66" spans="1:34" x14ac:dyDescent="0.2">
      <c r="A66" s="6">
        <f>IF('[1]Game Input'!$A66&lt;&gt;"",'[1]Game Input'!$A66,"")</f>
        <v>43393</v>
      </c>
      <c r="B66" s="6" t="str">
        <f>IF(A66&gt;$B$1,VLOOKUP(MONTH($A66),DOTWMonth,2,FALSE),"")</f>
        <v>October</v>
      </c>
      <c r="C66" s="10" t="str">
        <f>IF(A66&gt;$B$1,VLOOKUP(WEEKDAY($A66),DOTWMonth,3,FALSE),"")</f>
        <v>Saturday</v>
      </c>
      <c r="D66" s="7">
        <f>IF('[1]Game Input'!$B66&lt;&gt;"",'[1]Game Input'!$B66,"")</f>
        <v>0.83819444444444446</v>
      </c>
      <c r="E66" s="7">
        <f>IF('[1]Game Input'!$C66&lt;&gt;"",'[1]Game Input'!$C66,"")</f>
        <v>0.79652777777777783</v>
      </c>
      <c r="F66" s="8" t="str">
        <f>IF('[1]Game Input'!$D66&lt;&gt;"",'[1]Game Input'!$D66,"")</f>
        <v>Daylight</v>
      </c>
      <c r="G66" s="8" t="str">
        <f>IF('[1]Game Input'!$G66&lt;&gt;"",'[1]Game Input'!$G66,"")</f>
        <v>USA @ CIL</v>
      </c>
      <c r="H66" s="8" t="str">
        <f>IF('[1]Game Input'!$H66&lt;&gt;"",'[1]Game Input'!$H66,"")</f>
        <v>Vs. Conference</v>
      </c>
      <c r="I66" s="8" t="str">
        <f>IF('[1]Game Input'!$I66&lt;&gt;"",'[1]Game Input'!$I66,"")</f>
        <v>TEAM USA</v>
      </c>
      <c r="J66" s="9">
        <f>IF('[1]Game Input'!$AC66&lt;&gt;"",'[1]Game Input'!$AC66,"")</f>
        <v>37</v>
      </c>
      <c r="K66" s="9">
        <f>IF('[1]Game Input'!$AD66&lt;&gt;"",'[1]Game Input'!$AD66,"")</f>
        <v>9</v>
      </c>
      <c r="L66" s="9">
        <f>IF('[1]Game Input'!$AJ66&lt;&gt;"",'[1]Game Input'!$AJ66,"")</f>
        <v>0</v>
      </c>
      <c r="M66" s="9">
        <f>IF('[1]Game Input'!$AK66&lt;&gt;"",'[1]Game Input'!$AK66,"")</f>
        <v>0</v>
      </c>
      <c r="N66" s="9">
        <f>IF('[1]Game Input'!$AN66&lt;&gt;"",'[1]Game Input'!$AN66,"")</f>
        <v>6</v>
      </c>
      <c r="O66" s="9">
        <f>IF('[1]Game Input'!$AO66&lt;&gt;"",'[1]Game Input'!$AO66,"")</f>
        <v>1</v>
      </c>
      <c r="P66" s="9">
        <f>IF('[1]Game Input'!$AP66&lt;&gt;"",'[1]Game Input'!$AP66,"")</f>
        <v>1</v>
      </c>
      <c r="Q66" s="9">
        <f>IF('[1]Game Input'!$AQ66&lt;&gt;"",'[1]Game Input'!$AQ66,"")</f>
        <v>1</v>
      </c>
      <c r="R66" s="9">
        <f>IF('[1]Game Input'!$AR66&lt;&gt;"",'[1]Game Input'!$AR66,"")</f>
        <v>0</v>
      </c>
      <c r="S66" s="9">
        <f>IF('[1]Game Input'!$AS66&lt;&gt;"",'[1]Game Input'!$AS66,"")</f>
        <v>0</v>
      </c>
      <c r="T66" s="10" t="str">
        <f>IF('[1]Game Input'!$BA66&lt;&gt;"",'[1]Game Input'!$BA66,"")</f>
        <v>CENTRAL ILLINOIS</v>
      </c>
      <c r="U66" s="9">
        <f>IF('[1]Game Input'!$BU66&lt;&gt;"",'[1]Game Input'!$BU66,"")</f>
        <v>31</v>
      </c>
      <c r="V66" s="9">
        <f>IF('[1]Game Input'!$BV66&lt;&gt;"",'[1]Game Input'!$BV66,"")</f>
        <v>6</v>
      </c>
      <c r="W66" s="9">
        <f>IF('[1]Game Input'!$CB66&lt;&gt;"",'[1]Game Input'!$CB66,"")</f>
        <v>0</v>
      </c>
      <c r="X66" s="9">
        <f>IF('[1]Game Input'!$CC66&lt;&gt;"",'[1]Game Input'!$CC66,"")</f>
        <v>0</v>
      </c>
      <c r="Y66" s="9">
        <f>IF('[1]Game Input'!$CF66&lt;&gt;"",'[1]Game Input'!$CF66,"")</f>
        <v>3</v>
      </c>
      <c r="Z66" s="9">
        <f>IF('[1]Game Input'!$CG66&lt;&gt;"",'[1]Game Input'!$CG66,"")</f>
        <v>1</v>
      </c>
      <c r="AA66" s="9">
        <f>IF('[1]Game Input'!$CH66&lt;&gt;"",'[1]Game Input'!$CH66,"")</f>
        <v>1</v>
      </c>
      <c r="AB66" s="9">
        <f>IF('[1]Game Input'!$CI66&lt;&gt;"",'[1]Game Input'!$CI66,"")</f>
        <v>1</v>
      </c>
      <c r="AC66" s="9">
        <f>IF('[1]Game Input'!$CJ66&lt;&gt;"",'[1]Game Input'!$CJ66,"")</f>
        <v>0</v>
      </c>
      <c r="AD66" s="9">
        <f>IF('[1]Game Input'!$CK66&lt;&gt;"",'[1]Game Input'!$CK66,"")</f>
        <v>0</v>
      </c>
      <c r="AE66" s="8" t="s">
        <v>89</v>
      </c>
      <c r="AF66" s="8" t="s">
        <v>105</v>
      </c>
      <c r="AG66" s="8" t="s">
        <v>113</v>
      </c>
      <c r="AH66" s="8" t="s">
        <v>122</v>
      </c>
    </row>
    <row r="67" spans="1:34" x14ac:dyDescent="0.2">
      <c r="A67" s="6">
        <f>IF('[1]Game Input'!$A67&lt;&gt;"",'[1]Game Input'!$A67,"")</f>
        <v>43394</v>
      </c>
      <c r="B67" s="6" t="str">
        <f>IF(A67&gt;$B$1,VLOOKUP(MONTH($A67),DOTWMonth,2,FALSE),"")</f>
        <v>October</v>
      </c>
      <c r="C67" s="10" t="str">
        <f>IF(A67&gt;$B$1,VLOOKUP(WEEKDAY($A67),DOTWMonth,3,FALSE),"")</f>
        <v>Sunday</v>
      </c>
      <c r="D67" s="7">
        <f>IF('[1]Game Input'!$B67&lt;&gt;"",'[1]Game Input'!$B67,"")</f>
        <v>0.67013888888888884</v>
      </c>
      <c r="E67" s="7">
        <f>IF('[1]Game Input'!$C67&lt;&gt;"",'[1]Game Input'!$C67,"")</f>
        <v>0.62847222222222221</v>
      </c>
      <c r="F67" s="8" t="str">
        <f>IF('[1]Game Input'!$D67&lt;&gt;"",'[1]Game Input'!$D67,"")</f>
        <v>Daylight</v>
      </c>
      <c r="G67" s="8" t="str">
        <f>IF('[1]Game Input'!$G67&lt;&gt;"",'[1]Game Input'!$G67,"")</f>
        <v>DUB @ GB</v>
      </c>
      <c r="H67" s="8" t="str">
        <f>IF('[1]Game Input'!$H67&lt;&gt;"",'[1]Game Input'!$H67,"")</f>
        <v>Vs. Conference</v>
      </c>
      <c r="I67" s="8" t="str">
        <f>IF('[1]Game Input'!$I67&lt;&gt;"",'[1]Game Input'!$I67,"")</f>
        <v>DUBUQUE</v>
      </c>
      <c r="J67" s="9">
        <f>IF('[1]Game Input'!$AC67&lt;&gt;"",'[1]Game Input'!$AC67,"")</f>
        <v>4</v>
      </c>
      <c r="K67" s="9">
        <f>IF('[1]Game Input'!$AD67&lt;&gt;"",'[1]Game Input'!$AD67,"")</f>
        <v>2</v>
      </c>
      <c r="L67" s="9">
        <f>IF('[1]Game Input'!$AJ67&lt;&gt;"",'[1]Game Input'!$AJ67,"")</f>
        <v>0</v>
      </c>
      <c r="M67" s="9">
        <f>IF('[1]Game Input'!$AK67&lt;&gt;"",'[1]Game Input'!$AK67,"")</f>
        <v>0</v>
      </c>
      <c r="N67" s="9">
        <f>IF('[1]Game Input'!$AN67&lt;&gt;"",'[1]Game Input'!$AN67,"")</f>
        <v>2</v>
      </c>
      <c r="O67" s="9">
        <f>IF('[1]Game Input'!$AO67&lt;&gt;"",'[1]Game Input'!$AO67,"")</f>
        <v>0</v>
      </c>
      <c r="P67" s="9">
        <f>IF('[1]Game Input'!$AP67&lt;&gt;"",'[1]Game Input'!$AP67,"")</f>
        <v>0</v>
      </c>
      <c r="Q67" s="9">
        <f>IF('[1]Game Input'!$AQ67&lt;&gt;"",'[1]Game Input'!$AQ67,"")</f>
        <v>0</v>
      </c>
      <c r="R67" s="9">
        <f>IF('[1]Game Input'!$AR67&lt;&gt;"",'[1]Game Input'!$AR67,"")</f>
        <v>0</v>
      </c>
      <c r="S67" s="9">
        <f>IF('[1]Game Input'!$AS67&lt;&gt;"",'[1]Game Input'!$AS67,"")</f>
        <v>0</v>
      </c>
      <c r="T67" s="10" t="str">
        <f>IF('[1]Game Input'!$BA67&lt;&gt;"",'[1]Game Input'!$BA67,"")</f>
        <v>GREEN BAY</v>
      </c>
      <c r="U67" s="9">
        <f>IF('[1]Game Input'!$BU67&lt;&gt;"",'[1]Game Input'!$BU67,"")</f>
        <v>6</v>
      </c>
      <c r="V67" s="9">
        <f>IF('[1]Game Input'!$BV67&lt;&gt;"",'[1]Game Input'!$BV67,"")</f>
        <v>3</v>
      </c>
      <c r="W67" s="9">
        <f>IF('[1]Game Input'!$CB67&lt;&gt;"",'[1]Game Input'!$CB67,"")</f>
        <v>0</v>
      </c>
      <c r="X67" s="9">
        <f>IF('[1]Game Input'!$CC67&lt;&gt;"",'[1]Game Input'!$CC67,"")</f>
        <v>0</v>
      </c>
      <c r="Y67" s="9">
        <f>IF('[1]Game Input'!$CF67&lt;&gt;"",'[1]Game Input'!$CF67,"")</f>
        <v>3</v>
      </c>
      <c r="Z67" s="9">
        <f>IF('[1]Game Input'!$CG67&lt;&gt;"",'[1]Game Input'!$CG67,"")</f>
        <v>0</v>
      </c>
      <c r="AA67" s="9">
        <f>IF('[1]Game Input'!$CH67&lt;&gt;"",'[1]Game Input'!$CH67,"")</f>
        <v>0</v>
      </c>
      <c r="AB67" s="9">
        <f>IF('[1]Game Input'!$CI67&lt;&gt;"",'[1]Game Input'!$CI67,"")</f>
        <v>0</v>
      </c>
      <c r="AC67" s="9">
        <f>IF('[1]Game Input'!$CJ67&lt;&gt;"",'[1]Game Input'!$CJ67,"")</f>
        <v>0</v>
      </c>
      <c r="AD67" s="9">
        <f>IF('[1]Game Input'!$CK67&lt;&gt;"",'[1]Game Input'!$CK67,"")</f>
        <v>0</v>
      </c>
      <c r="AE67" s="8"/>
      <c r="AF67" s="8"/>
      <c r="AG67" s="8"/>
      <c r="AH67" s="8"/>
    </row>
    <row r="68" spans="1:34" x14ac:dyDescent="0.2">
      <c r="A68" s="6">
        <f>IF('[1]Game Input'!$A68&lt;&gt;"",'[1]Game Input'!$A68,"")</f>
        <v>43394</v>
      </c>
      <c r="B68" s="6" t="str">
        <f>IF(A68&gt;$B$1,VLOOKUP(MONTH($A68),DOTWMonth,2,FALSE),"")</f>
        <v>October</v>
      </c>
      <c r="C68" s="10" t="str">
        <f>IF(A68&gt;$B$1,VLOOKUP(WEEKDAY($A68),DOTWMonth,3,FALSE),"")</f>
        <v>Sunday</v>
      </c>
      <c r="D68" s="7">
        <f>IF('[1]Game Input'!$B68&lt;&gt;"",'[1]Game Input'!$B68,"")</f>
        <v>0.7534722222222221</v>
      </c>
      <c r="E68" s="7">
        <f>IF('[1]Game Input'!$C68&lt;&gt;"",'[1]Game Input'!$C68,"")</f>
        <v>0.71180555555555547</v>
      </c>
      <c r="F68" s="8" t="str">
        <f>IF('[1]Game Input'!$D68&lt;&gt;"",'[1]Game Input'!$D68,"")</f>
        <v>Daylight</v>
      </c>
      <c r="G68" s="8" t="str">
        <f>IF('[1]Game Input'!$G68&lt;&gt;"",'[1]Game Input'!$G68,"")</f>
        <v>OMA @ TC</v>
      </c>
      <c r="H68" s="8" t="str">
        <f>IF('[1]Game Input'!$H68&lt;&gt;"",'[1]Game Input'!$H68,"")</f>
        <v>Vs. Conference</v>
      </c>
      <c r="I68" s="8" t="str">
        <f>IF('[1]Game Input'!$I68&lt;&gt;"",'[1]Game Input'!$I68,"")</f>
        <v>OMAHA</v>
      </c>
      <c r="J68" s="9">
        <f>IF('[1]Game Input'!$AC68&lt;&gt;"",'[1]Game Input'!$AC68,"")</f>
        <v>12</v>
      </c>
      <c r="K68" s="9">
        <f>IF('[1]Game Input'!$AD68&lt;&gt;"",'[1]Game Input'!$AD68,"")</f>
        <v>6</v>
      </c>
      <c r="L68" s="9">
        <f>IF('[1]Game Input'!$AJ68&lt;&gt;"",'[1]Game Input'!$AJ68,"")</f>
        <v>0</v>
      </c>
      <c r="M68" s="9">
        <f>IF('[1]Game Input'!$AK68&lt;&gt;"",'[1]Game Input'!$AK68,"")</f>
        <v>0</v>
      </c>
      <c r="N68" s="9">
        <f>IF('[1]Game Input'!$AN68&lt;&gt;"",'[1]Game Input'!$AN68,"")</f>
        <v>6</v>
      </c>
      <c r="O68" s="9">
        <f>IF('[1]Game Input'!$AO68&lt;&gt;"",'[1]Game Input'!$AO68,"")</f>
        <v>0</v>
      </c>
      <c r="P68" s="9">
        <f>IF('[1]Game Input'!$AP68&lt;&gt;"",'[1]Game Input'!$AP68,"")</f>
        <v>0</v>
      </c>
      <c r="Q68" s="9">
        <f>IF('[1]Game Input'!$AQ68&lt;&gt;"",'[1]Game Input'!$AQ68,"")</f>
        <v>0</v>
      </c>
      <c r="R68" s="9">
        <f>IF('[1]Game Input'!$AR68&lt;&gt;"",'[1]Game Input'!$AR68,"")</f>
        <v>0</v>
      </c>
      <c r="S68" s="9">
        <f>IF('[1]Game Input'!$AS68&lt;&gt;"",'[1]Game Input'!$AS68,"")</f>
        <v>0</v>
      </c>
      <c r="T68" s="10" t="str">
        <f>IF('[1]Game Input'!$BA68&lt;&gt;"",'[1]Game Input'!$BA68,"")</f>
        <v>TRI-CITY</v>
      </c>
      <c r="U68" s="9">
        <f>IF('[1]Game Input'!$BU68&lt;&gt;"",'[1]Game Input'!$BU68,"")</f>
        <v>8</v>
      </c>
      <c r="V68" s="9">
        <f>IF('[1]Game Input'!$BV68&lt;&gt;"",'[1]Game Input'!$BV68,"")</f>
        <v>4</v>
      </c>
      <c r="W68" s="9">
        <f>IF('[1]Game Input'!$CB68&lt;&gt;"",'[1]Game Input'!$CB68,"")</f>
        <v>0</v>
      </c>
      <c r="X68" s="9">
        <f>IF('[1]Game Input'!$CC68&lt;&gt;"",'[1]Game Input'!$CC68,"")</f>
        <v>0</v>
      </c>
      <c r="Y68" s="9">
        <f>IF('[1]Game Input'!$CF68&lt;&gt;"",'[1]Game Input'!$CF68,"")</f>
        <v>4</v>
      </c>
      <c r="Z68" s="9">
        <f>IF('[1]Game Input'!$CG68&lt;&gt;"",'[1]Game Input'!$CG68,"")</f>
        <v>0</v>
      </c>
      <c r="AA68" s="9">
        <f>IF('[1]Game Input'!$CH68&lt;&gt;"",'[1]Game Input'!$CH68,"")</f>
        <v>0</v>
      </c>
      <c r="AB68" s="9">
        <f>IF('[1]Game Input'!$CI68&lt;&gt;"",'[1]Game Input'!$CI68,"")</f>
        <v>0</v>
      </c>
      <c r="AC68" s="9">
        <f>IF('[1]Game Input'!$CJ68&lt;&gt;"",'[1]Game Input'!$CJ68,"")</f>
        <v>0</v>
      </c>
      <c r="AD68" s="9">
        <f>IF('[1]Game Input'!$CK68&lt;&gt;"",'[1]Game Input'!$CK68,"")</f>
        <v>0</v>
      </c>
      <c r="AE68" s="8"/>
      <c r="AF68" s="8"/>
      <c r="AG68" s="8"/>
      <c r="AH68" s="8"/>
    </row>
    <row r="69" spans="1:34" x14ac:dyDescent="0.2">
      <c r="A69" s="6">
        <f>IF('[1]Game Input'!$A69&lt;&gt;"",'[1]Game Input'!$A69,"")</f>
        <v>43396</v>
      </c>
      <c r="B69" s="6" t="str">
        <f>IF(A69&gt;$B$1,VLOOKUP(MONTH($A69),DOTWMonth,2,FALSE),"")</f>
        <v>October</v>
      </c>
      <c r="C69" s="10" t="str">
        <f>IF(A69&gt;$B$1,VLOOKUP(WEEKDAY($A69),DOTWMonth,3,FALSE),"")</f>
        <v>Tuesday</v>
      </c>
      <c r="D69" s="7">
        <f>IF('[1]Game Input'!$B69&lt;&gt;"",'[1]Game Input'!$B69,"")</f>
        <v>0.8159722222222221</v>
      </c>
      <c r="E69" s="7">
        <f>IF('[1]Game Input'!$C69&lt;&gt;"",'[1]Game Input'!$C69,"")</f>
        <v>0.77430555555555547</v>
      </c>
      <c r="F69" s="8" t="str">
        <f>IF('[1]Game Input'!$D69&lt;&gt;"",'[1]Game Input'!$D69,"")</f>
        <v>Daylight</v>
      </c>
      <c r="G69" s="8" t="str">
        <f>IF('[1]Game Input'!$G69&lt;&gt;"",'[1]Game Input'!$G69,"")</f>
        <v>DM @ SC</v>
      </c>
      <c r="H69" s="8" t="str">
        <f>IF('[1]Game Input'!$H69&lt;&gt;"",'[1]Game Input'!$H69,"")</f>
        <v>Vs. Conference</v>
      </c>
      <c r="I69" s="8" t="str">
        <f>IF('[1]Game Input'!$I69&lt;&gt;"",'[1]Game Input'!$I69,"")</f>
        <v>DES MOINES</v>
      </c>
      <c r="J69" s="9">
        <f>IF('[1]Game Input'!$AC69&lt;&gt;"",'[1]Game Input'!$AC69,"")</f>
        <v>20</v>
      </c>
      <c r="K69" s="9">
        <f>IF('[1]Game Input'!$AD69&lt;&gt;"",'[1]Game Input'!$AD69,"")</f>
        <v>6</v>
      </c>
      <c r="L69" s="9">
        <f>IF('[1]Game Input'!$AJ69&lt;&gt;"",'[1]Game Input'!$AJ69,"")</f>
        <v>0</v>
      </c>
      <c r="M69" s="9">
        <f>IF('[1]Game Input'!$AK69&lt;&gt;"",'[1]Game Input'!$AK69,"")</f>
        <v>0</v>
      </c>
      <c r="N69" s="9">
        <f>IF('[1]Game Input'!$AN69&lt;&gt;"",'[1]Game Input'!$AN69,"")</f>
        <v>5</v>
      </c>
      <c r="O69" s="9">
        <f>IF('[1]Game Input'!$AO69&lt;&gt;"",'[1]Game Input'!$AO69,"")</f>
        <v>0</v>
      </c>
      <c r="P69" s="9">
        <f>IF('[1]Game Input'!$AP69&lt;&gt;"",'[1]Game Input'!$AP69,"")</f>
        <v>1</v>
      </c>
      <c r="Q69" s="9">
        <f>IF('[1]Game Input'!$AQ69&lt;&gt;"",'[1]Game Input'!$AQ69,"")</f>
        <v>0</v>
      </c>
      <c r="R69" s="9">
        <f>IF('[1]Game Input'!$AR69&lt;&gt;"",'[1]Game Input'!$AR69,"")</f>
        <v>0</v>
      </c>
      <c r="S69" s="9">
        <f>IF('[1]Game Input'!$AS69&lt;&gt;"",'[1]Game Input'!$AS69,"")</f>
        <v>0</v>
      </c>
      <c r="T69" s="10" t="str">
        <f>IF('[1]Game Input'!$BA69&lt;&gt;"",'[1]Game Input'!$BA69,"")</f>
        <v>SIOUX CITY</v>
      </c>
      <c r="U69" s="9">
        <f>IF('[1]Game Input'!$BU69&lt;&gt;"",'[1]Game Input'!$BU69,"")</f>
        <v>12</v>
      </c>
      <c r="V69" s="9">
        <f>IF('[1]Game Input'!$BV69&lt;&gt;"",'[1]Game Input'!$BV69,"")</f>
        <v>6</v>
      </c>
      <c r="W69" s="9">
        <f>IF('[1]Game Input'!$CB69&lt;&gt;"",'[1]Game Input'!$CB69,"")</f>
        <v>0</v>
      </c>
      <c r="X69" s="9">
        <f>IF('[1]Game Input'!$CC69&lt;&gt;"",'[1]Game Input'!$CC69,"")</f>
        <v>0</v>
      </c>
      <c r="Y69" s="9">
        <f>IF('[1]Game Input'!$CF69&lt;&gt;"",'[1]Game Input'!$CF69,"")</f>
        <v>6</v>
      </c>
      <c r="Z69" s="9">
        <f>IF('[1]Game Input'!$CG69&lt;&gt;"",'[1]Game Input'!$CG69,"")</f>
        <v>0</v>
      </c>
      <c r="AA69" s="9">
        <f>IF('[1]Game Input'!$CH69&lt;&gt;"",'[1]Game Input'!$CH69,"")</f>
        <v>0</v>
      </c>
      <c r="AB69" s="9">
        <f>IF('[1]Game Input'!$CI69&lt;&gt;"",'[1]Game Input'!$CI69,"")</f>
        <v>0</v>
      </c>
      <c r="AC69" s="9">
        <f>IF('[1]Game Input'!$CJ69&lt;&gt;"",'[1]Game Input'!$CJ69,"")</f>
        <v>0</v>
      </c>
      <c r="AD69" s="9">
        <f>IF('[1]Game Input'!$CK69&lt;&gt;"",'[1]Game Input'!$CK69,"")</f>
        <v>0</v>
      </c>
      <c r="AE69" s="8" t="s">
        <v>98</v>
      </c>
      <c r="AF69" s="8" t="s">
        <v>94</v>
      </c>
      <c r="AG69" s="8" t="s">
        <v>111</v>
      </c>
      <c r="AH69" s="8" t="s">
        <v>119</v>
      </c>
    </row>
    <row r="70" spans="1:34" x14ac:dyDescent="0.2">
      <c r="A70" s="6">
        <f>IF('[1]Game Input'!$A70&lt;&gt;"",'[1]Game Input'!$A70,"")</f>
        <v>43399</v>
      </c>
      <c r="B70" s="6" t="str">
        <f>IF(A70&gt;$B$1,VLOOKUP(MONTH($A70),DOTWMonth,2,FALSE),"")</f>
        <v>October</v>
      </c>
      <c r="C70" s="10" t="str">
        <f>IF(A70&gt;$B$1,VLOOKUP(WEEKDAY($A70),DOTWMonth,3,FALSE),"")</f>
        <v>Friday</v>
      </c>
      <c r="D70" s="7">
        <f>IF('[1]Game Input'!$B70&lt;&gt;"",'[1]Game Input'!$B70,"")</f>
        <v>0.79166666666666663</v>
      </c>
      <c r="E70" s="7">
        <f>IF('[1]Game Input'!$C70&lt;&gt;"",'[1]Game Input'!$C70,"")</f>
        <v>0.75</v>
      </c>
      <c r="F70" s="8" t="str">
        <f>IF('[1]Game Input'!$D70&lt;&gt;"",'[1]Game Input'!$D70,"")</f>
        <v>Daylight</v>
      </c>
      <c r="G70" s="8" t="str">
        <f>IF('[1]Game Input'!$G70&lt;&gt;"",'[1]Game Input'!$G70,"")</f>
        <v>MUS @ USA</v>
      </c>
      <c r="H70" s="8" t="str">
        <f>IF('[1]Game Input'!$H70&lt;&gt;"",'[1]Game Input'!$H70,"")</f>
        <v>Vs. Conference</v>
      </c>
      <c r="I70" s="8" t="str">
        <f>IF('[1]Game Input'!$I70&lt;&gt;"",'[1]Game Input'!$I70,"")</f>
        <v>MUSKEGON</v>
      </c>
      <c r="J70" s="9">
        <f>IF('[1]Game Input'!$AC70&lt;&gt;"",'[1]Game Input'!$AC70,"")</f>
        <v>12</v>
      </c>
      <c r="K70" s="9">
        <f>IF('[1]Game Input'!$AD70&lt;&gt;"",'[1]Game Input'!$AD70,"")</f>
        <v>6</v>
      </c>
      <c r="L70" s="9">
        <f>IF('[1]Game Input'!$AJ70&lt;&gt;"",'[1]Game Input'!$AJ70,"")</f>
        <v>0</v>
      </c>
      <c r="M70" s="9">
        <f>IF('[1]Game Input'!$AK70&lt;&gt;"",'[1]Game Input'!$AK70,"")</f>
        <v>0</v>
      </c>
      <c r="N70" s="9">
        <f>IF('[1]Game Input'!$AN70&lt;&gt;"",'[1]Game Input'!$AN70,"")</f>
        <v>6</v>
      </c>
      <c r="O70" s="9">
        <f>IF('[1]Game Input'!$AO70&lt;&gt;"",'[1]Game Input'!$AO70,"")</f>
        <v>0</v>
      </c>
      <c r="P70" s="9">
        <f>IF('[1]Game Input'!$AP70&lt;&gt;"",'[1]Game Input'!$AP70,"")</f>
        <v>0</v>
      </c>
      <c r="Q70" s="9">
        <f>IF('[1]Game Input'!$AQ70&lt;&gt;"",'[1]Game Input'!$AQ70,"")</f>
        <v>0</v>
      </c>
      <c r="R70" s="9">
        <f>IF('[1]Game Input'!$AR70&lt;&gt;"",'[1]Game Input'!$AR70,"")</f>
        <v>0</v>
      </c>
      <c r="S70" s="9">
        <f>IF('[1]Game Input'!$AS70&lt;&gt;"",'[1]Game Input'!$AS70,"")</f>
        <v>0</v>
      </c>
      <c r="T70" s="10" t="str">
        <f>IF('[1]Game Input'!$BA70&lt;&gt;"",'[1]Game Input'!$BA70,"")</f>
        <v>TEAM USA</v>
      </c>
      <c r="U70" s="9">
        <f>IF('[1]Game Input'!$BU70&lt;&gt;"",'[1]Game Input'!$BU70,"")</f>
        <v>6</v>
      </c>
      <c r="V70" s="9">
        <f>IF('[1]Game Input'!$BV70&lt;&gt;"",'[1]Game Input'!$BV70,"")</f>
        <v>3</v>
      </c>
      <c r="W70" s="9">
        <f>IF('[1]Game Input'!$CB70&lt;&gt;"",'[1]Game Input'!$CB70,"")</f>
        <v>0</v>
      </c>
      <c r="X70" s="9">
        <f>IF('[1]Game Input'!$CC70&lt;&gt;"",'[1]Game Input'!$CC70,"")</f>
        <v>0</v>
      </c>
      <c r="Y70" s="9">
        <f>IF('[1]Game Input'!$CF70&lt;&gt;"",'[1]Game Input'!$CF70,"")</f>
        <v>3</v>
      </c>
      <c r="Z70" s="9">
        <f>IF('[1]Game Input'!$CG70&lt;&gt;"",'[1]Game Input'!$CG70,"")</f>
        <v>0</v>
      </c>
      <c r="AA70" s="9">
        <f>IF('[1]Game Input'!$CH70&lt;&gt;"",'[1]Game Input'!$CH70,"")</f>
        <v>0</v>
      </c>
      <c r="AB70" s="9">
        <f>IF('[1]Game Input'!$CI70&lt;&gt;"",'[1]Game Input'!$CI70,"")</f>
        <v>0</v>
      </c>
      <c r="AC70" s="9">
        <f>IF('[1]Game Input'!$CJ70&lt;&gt;"",'[1]Game Input'!$CJ70,"")</f>
        <v>0</v>
      </c>
      <c r="AD70" s="9">
        <f>IF('[1]Game Input'!$CK70&lt;&gt;"",'[1]Game Input'!$CK70,"")</f>
        <v>0</v>
      </c>
      <c r="AE70" s="8"/>
      <c r="AF70" s="8"/>
      <c r="AG70" s="8"/>
      <c r="AH70" s="8"/>
    </row>
    <row r="71" spans="1:34" x14ac:dyDescent="0.2">
      <c r="A71" s="6">
        <f>IF('[1]Game Input'!$A71&lt;&gt;"",'[1]Game Input'!$A71,"")</f>
        <v>43399</v>
      </c>
      <c r="B71" s="6" t="str">
        <f>IF(A71&gt;$B$1,VLOOKUP(MONTH($A71),DOTWMonth,2,FALSE),"")</f>
        <v>October</v>
      </c>
      <c r="C71" s="10" t="str">
        <f>IF(A71&gt;$B$1,VLOOKUP(WEEKDAY($A71),DOTWMonth,3,FALSE),"")</f>
        <v>Friday</v>
      </c>
      <c r="D71" s="7">
        <f>IF('[1]Game Input'!$B71&lt;&gt;"",'[1]Game Input'!$B71,"")</f>
        <v>0.79513888888888884</v>
      </c>
      <c r="E71" s="7">
        <f>IF('[1]Game Input'!$C71&lt;&gt;"",'[1]Game Input'!$C71,"")</f>
        <v>0.75347222222222221</v>
      </c>
      <c r="F71" s="8" t="str">
        <f>IF('[1]Game Input'!$D71&lt;&gt;"",'[1]Game Input'!$D71,"")</f>
        <v>Daylight</v>
      </c>
      <c r="G71" s="8" t="str">
        <f>IF('[1]Game Input'!$G71&lt;&gt;"",'[1]Game Input'!$G71,"")</f>
        <v>DUB @ YNG</v>
      </c>
      <c r="H71" s="8" t="str">
        <f>IF('[1]Game Input'!$H71&lt;&gt;"",'[1]Game Input'!$H71,"")</f>
        <v>Vs. Conference</v>
      </c>
      <c r="I71" s="8" t="str">
        <f>IF('[1]Game Input'!$I71&lt;&gt;"",'[1]Game Input'!$I71,"")</f>
        <v>DUBUQUE</v>
      </c>
      <c r="J71" s="9">
        <f>IF('[1]Game Input'!$AC71&lt;&gt;"",'[1]Game Input'!$AC71,"")</f>
        <v>12</v>
      </c>
      <c r="K71" s="9">
        <f>IF('[1]Game Input'!$AD71&lt;&gt;"",'[1]Game Input'!$AD71,"")</f>
        <v>6</v>
      </c>
      <c r="L71" s="9">
        <f>IF('[1]Game Input'!$AJ71&lt;&gt;"",'[1]Game Input'!$AJ71,"")</f>
        <v>1</v>
      </c>
      <c r="M71" s="9">
        <f>IF('[1]Game Input'!$AK71&lt;&gt;"",'[1]Game Input'!$AK71,"")</f>
        <v>1</v>
      </c>
      <c r="N71" s="9">
        <f>IF('[1]Game Input'!$AN71&lt;&gt;"",'[1]Game Input'!$AN71,"")</f>
        <v>6</v>
      </c>
      <c r="O71" s="9">
        <f>IF('[1]Game Input'!$AO71&lt;&gt;"",'[1]Game Input'!$AO71,"")</f>
        <v>0</v>
      </c>
      <c r="P71" s="9">
        <f>IF('[1]Game Input'!$AP71&lt;&gt;"",'[1]Game Input'!$AP71,"")</f>
        <v>0</v>
      </c>
      <c r="Q71" s="9">
        <f>IF('[1]Game Input'!$AQ71&lt;&gt;"",'[1]Game Input'!$AQ71,"")</f>
        <v>0</v>
      </c>
      <c r="R71" s="9">
        <f>IF('[1]Game Input'!$AR71&lt;&gt;"",'[1]Game Input'!$AR71,"")</f>
        <v>0</v>
      </c>
      <c r="S71" s="9">
        <f>IF('[1]Game Input'!$AS71&lt;&gt;"",'[1]Game Input'!$AS71,"")</f>
        <v>1</v>
      </c>
      <c r="T71" s="10" t="str">
        <f>IF('[1]Game Input'!$BA71&lt;&gt;"",'[1]Game Input'!$BA71,"")</f>
        <v>YOUNGSTOWN</v>
      </c>
      <c r="U71" s="9">
        <f>IF('[1]Game Input'!$BU71&lt;&gt;"",'[1]Game Input'!$BU71,"")</f>
        <v>10</v>
      </c>
      <c r="V71" s="9">
        <f>IF('[1]Game Input'!$BV71&lt;&gt;"",'[1]Game Input'!$BV71,"")</f>
        <v>6</v>
      </c>
      <c r="W71" s="9">
        <f>IF('[1]Game Input'!$CB71&lt;&gt;"",'[1]Game Input'!$CB71,"")</f>
        <v>0</v>
      </c>
      <c r="X71" s="9">
        <f>IF('[1]Game Input'!$CC71&lt;&gt;"",'[1]Game Input'!$CC71,"")</f>
        <v>0</v>
      </c>
      <c r="Y71" s="9">
        <f>IF('[1]Game Input'!$CF71&lt;&gt;"",'[1]Game Input'!$CF71,"")</f>
        <v>5</v>
      </c>
      <c r="Z71" s="9">
        <f>IF('[1]Game Input'!$CG71&lt;&gt;"",'[1]Game Input'!$CG71,"")</f>
        <v>0</v>
      </c>
      <c r="AA71" s="9">
        <f>IF('[1]Game Input'!$CH71&lt;&gt;"",'[1]Game Input'!$CH71,"")</f>
        <v>0</v>
      </c>
      <c r="AB71" s="9">
        <f>IF('[1]Game Input'!$CI71&lt;&gt;"",'[1]Game Input'!$CI71,"")</f>
        <v>0</v>
      </c>
      <c r="AC71" s="9">
        <f>IF('[1]Game Input'!$CJ71&lt;&gt;"",'[1]Game Input'!$CJ71,"")</f>
        <v>0</v>
      </c>
      <c r="AD71" s="9">
        <f>IF('[1]Game Input'!$CK71&lt;&gt;"",'[1]Game Input'!$CK71,"")</f>
        <v>0</v>
      </c>
      <c r="AE71" s="8"/>
      <c r="AF71" s="8"/>
      <c r="AG71" s="8"/>
      <c r="AH71" s="8"/>
    </row>
    <row r="72" spans="1:34" x14ac:dyDescent="0.2">
      <c r="A72" s="6">
        <f>IF('[1]Game Input'!$A72&lt;&gt;"",'[1]Game Input'!$A72,"")</f>
        <v>43399</v>
      </c>
      <c r="B72" s="6" t="str">
        <f>IF(A72&gt;$B$1,VLOOKUP(MONTH($A72),DOTWMonth,2,FALSE),"")</f>
        <v>October</v>
      </c>
      <c r="C72" s="10" t="str">
        <f>IF(A72&gt;$B$1,VLOOKUP(WEEKDAY($A72),DOTWMonth,3,FALSE),"")</f>
        <v>Friday</v>
      </c>
      <c r="D72" s="7">
        <f>IF('[1]Game Input'!$B72&lt;&gt;"",'[1]Game Input'!$B72,"")</f>
        <v>0.83680555555555547</v>
      </c>
      <c r="E72" s="7">
        <f>IF('[1]Game Input'!$C72&lt;&gt;"",'[1]Game Input'!$C72,"")</f>
        <v>0.79513888888888884</v>
      </c>
      <c r="F72" s="8" t="str">
        <f>IF('[1]Game Input'!$D72&lt;&gt;"",'[1]Game Input'!$D72,"")</f>
        <v>Daylight</v>
      </c>
      <c r="G72" s="8" t="str">
        <f>IF('[1]Game Input'!$G72&lt;&gt;"",'[1]Game Input'!$G72,"")</f>
        <v>CIL @ MAD</v>
      </c>
      <c r="H72" s="8" t="str">
        <f>IF('[1]Game Input'!$H72&lt;&gt;"",'[1]Game Input'!$H72,"")</f>
        <v>Vs. Conference</v>
      </c>
      <c r="I72" s="8" t="str">
        <f>IF('[1]Game Input'!$I72&lt;&gt;"",'[1]Game Input'!$I72,"")</f>
        <v>CENTRAL ILLINOIS</v>
      </c>
      <c r="J72" s="9">
        <f>IF('[1]Game Input'!$AC72&lt;&gt;"",'[1]Game Input'!$AC72,"")</f>
        <v>18</v>
      </c>
      <c r="K72" s="9">
        <f>IF('[1]Game Input'!$AD72&lt;&gt;"",'[1]Game Input'!$AD72,"")</f>
        <v>9</v>
      </c>
      <c r="L72" s="9">
        <f>IF('[1]Game Input'!$AJ72&lt;&gt;"",'[1]Game Input'!$AJ72,"")</f>
        <v>0</v>
      </c>
      <c r="M72" s="9">
        <f>IF('[1]Game Input'!$AK72&lt;&gt;"",'[1]Game Input'!$AK72,"")</f>
        <v>0</v>
      </c>
      <c r="N72" s="9">
        <f>IF('[1]Game Input'!$AN72&lt;&gt;"",'[1]Game Input'!$AN72,"")</f>
        <v>9</v>
      </c>
      <c r="O72" s="9">
        <f>IF('[1]Game Input'!$AO72&lt;&gt;"",'[1]Game Input'!$AO72,"")</f>
        <v>0</v>
      </c>
      <c r="P72" s="9">
        <f>IF('[1]Game Input'!$AP72&lt;&gt;"",'[1]Game Input'!$AP72,"")</f>
        <v>0</v>
      </c>
      <c r="Q72" s="9">
        <f>IF('[1]Game Input'!$AQ72&lt;&gt;"",'[1]Game Input'!$AQ72,"")</f>
        <v>0</v>
      </c>
      <c r="R72" s="9">
        <f>IF('[1]Game Input'!$AR72&lt;&gt;"",'[1]Game Input'!$AR72,"")</f>
        <v>0</v>
      </c>
      <c r="S72" s="9">
        <f>IF('[1]Game Input'!$AS72&lt;&gt;"",'[1]Game Input'!$AS72,"")</f>
        <v>0</v>
      </c>
      <c r="T72" s="10" t="str">
        <f>IF('[1]Game Input'!$BA72&lt;&gt;"",'[1]Game Input'!$BA72,"")</f>
        <v>MADISON</v>
      </c>
      <c r="U72" s="9">
        <f>IF('[1]Game Input'!$BU72&lt;&gt;"",'[1]Game Input'!$BU72,"")</f>
        <v>16</v>
      </c>
      <c r="V72" s="9">
        <f>IF('[1]Game Input'!$BV72&lt;&gt;"",'[1]Game Input'!$BV72,"")</f>
        <v>8</v>
      </c>
      <c r="W72" s="9">
        <f>IF('[1]Game Input'!$CB72&lt;&gt;"",'[1]Game Input'!$CB72,"")</f>
        <v>0</v>
      </c>
      <c r="X72" s="9">
        <f>IF('[1]Game Input'!$CC72&lt;&gt;"",'[1]Game Input'!$CC72,"")</f>
        <v>0</v>
      </c>
      <c r="Y72" s="9">
        <f>IF('[1]Game Input'!$CF72&lt;&gt;"",'[1]Game Input'!$CF72,"")</f>
        <v>8</v>
      </c>
      <c r="Z72" s="9">
        <f>IF('[1]Game Input'!$CG72&lt;&gt;"",'[1]Game Input'!$CG72,"")</f>
        <v>0</v>
      </c>
      <c r="AA72" s="9">
        <f>IF('[1]Game Input'!$CH72&lt;&gt;"",'[1]Game Input'!$CH72,"")</f>
        <v>0</v>
      </c>
      <c r="AB72" s="9">
        <f>IF('[1]Game Input'!$CI72&lt;&gt;"",'[1]Game Input'!$CI72,"")</f>
        <v>0</v>
      </c>
      <c r="AC72" s="9">
        <f>IF('[1]Game Input'!$CJ72&lt;&gt;"",'[1]Game Input'!$CJ72,"")</f>
        <v>0</v>
      </c>
      <c r="AD72" s="9">
        <f>IF('[1]Game Input'!$CK72&lt;&gt;"",'[1]Game Input'!$CK72,"")</f>
        <v>0</v>
      </c>
      <c r="AE72" s="8" t="s">
        <v>152</v>
      </c>
      <c r="AF72" s="8" t="s">
        <v>97</v>
      </c>
      <c r="AG72" s="8" t="s">
        <v>150</v>
      </c>
      <c r="AH72" s="8" t="s">
        <v>122</v>
      </c>
    </row>
    <row r="73" spans="1:34" x14ac:dyDescent="0.2">
      <c r="A73" s="6">
        <f>IF('[1]Game Input'!$A73&lt;&gt;"",'[1]Game Input'!$A73,"")</f>
        <v>43399</v>
      </c>
      <c r="B73" s="6" t="str">
        <f>IF(A73&gt;$B$1,VLOOKUP(MONTH($A73),DOTWMonth,2,FALSE),"")</f>
        <v>October</v>
      </c>
      <c r="C73" s="10" t="str">
        <f>IF(A73&gt;$B$1,VLOOKUP(WEEKDAY($A73),DOTWMonth,3,FALSE),"")</f>
        <v>Friday</v>
      </c>
      <c r="D73" s="7">
        <f>IF('[1]Game Input'!$B73&lt;&gt;"",'[1]Game Input'!$B73,"")</f>
        <v>0.83680555555555547</v>
      </c>
      <c r="E73" s="7">
        <f>IF('[1]Game Input'!$C73&lt;&gt;"",'[1]Game Input'!$C73,"")</f>
        <v>0.79513888888888884</v>
      </c>
      <c r="F73" s="8" t="str">
        <f>IF('[1]Game Input'!$D73&lt;&gt;"",'[1]Game Input'!$D73,"")</f>
        <v>Daylight</v>
      </c>
      <c r="G73" s="8" t="str">
        <f>IF('[1]Game Input'!$G73&lt;&gt;"",'[1]Game Input'!$G73,"")</f>
        <v>SC @ SF</v>
      </c>
      <c r="H73" s="8" t="str">
        <f>IF('[1]Game Input'!$H73&lt;&gt;"",'[1]Game Input'!$H73,"")</f>
        <v>Vs. Conference</v>
      </c>
      <c r="I73" s="8" t="str">
        <f>IF('[1]Game Input'!$I73&lt;&gt;"",'[1]Game Input'!$I73,"")</f>
        <v>SIOUX CITY</v>
      </c>
      <c r="J73" s="9">
        <f>IF('[1]Game Input'!$AC73&lt;&gt;"",'[1]Game Input'!$AC73,"")</f>
        <v>8</v>
      </c>
      <c r="K73" s="9">
        <f>IF('[1]Game Input'!$AD73&lt;&gt;"",'[1]Game Input'!$AD73,"")</f>
        <v>4</v>
      </c>
      <c r="L73" s="9">
        <f>IF('[1]Game Input'!$AJ73&lt;&gt;"",'[1]Game Input'!$AJ73,"")</f>
        <v>0</v>
      </c>
      <c r="M73" s="9">
        <f>IF('[1]Game Input'!$AK73&lt;&gt;"",'[1]Game Input'!$AK73,"")</f>
        <v>0</v>
      </c>
      <c r="N73" s="9">
        <f>IF('[1]Game Input'!$AN73&lt;&gt;"",'[1]Game Input'!$AN73,"")</f>
        <v>4</v>
      </c>
      <c r="O73" s="9">
        <f>IF('[1]Game Input'!$AO73&lt;&gt;"",'[1]Game Input'!$AO73,"")</f>
        <v>0</v>
      </c>
      <c r="P73" s="9">
        <f>IF('[1]Game Input'!$AP73&lt;&gt;"",'[1]Game Input'!$AP73,"")</f>
        <v>0</v>
      </c>
      <c r="Q73" s="9">
        <f>IF('[1]Game Input'!$AQ73&lt;&gt;"",'[1]Game Input'!$AQ73,"")</f>
        <v>0</v>
      </c>
      <c r="R73" s="9">
        <f>IF('[1]Game Input'!$AR73&lt;&gt;"",'[1]Game Input'!$AR73,"")</f>
        <v>0</v>
      </c>
      <c r="S73" s="9">
        <f>IF('[1]Game Input'!$AS73&lt;&gt;"",'[1]Game Input'!$AS73,"")</f>
        <v>0</v>
      </c>
      <c r="T73" s="10" t="str">
        <f>IF('[1]Game Input'!$BA73&lt;&gt;"",'[1]Game Input'!$BA73,"")</f>
        <v>SIOUX FALLS</v>
      </c>
      <c r="U73" s="9">
        <f>IF('[1]Game Input'!$BU73&lt;&gt;"",'[1]Game Input'!$BU73,"")</f>
        <v>21</v>
      </c>
      <c r="V73" s="9">
        <f>IF('[1]Game Input'!$BV73&lt;&gt;"",'[1]Game Input'!$BV73,"")</f>
        <v>5</v>
      </c>
      <c r="W73" s="9">
        <f>IF('[1]Game Input'!$CB73&lt;&gt;"",'[1]Game Input'!$CB73,"")</f>
        <v>0</v>
      </c>
      <c r="X73" s="9">
        <f>IF('[1]Game Input'!$CC73&lt;&gt;"",'[1]Game Input'!$CC73,"")</f>
        <v>0</v>
      </c>
      <c r="Y73" s="9">
        <f>IF('[1]Game Input'!$CF73&lt;&gt;"",'[1]Game Input'!$CF73,"")</f>
        <v>3</v>
      </c>
      <c r="Z73" s="9">
        <f>IF('[1]Game Input'!$CG73&lt;&gt;"",'[1]Game Input'!$CG73,"")</f>
        <v>1</v>
      </c>
      <c r="AA73" s="9">
        <f>IF('[1]Game Input'!$CH73&lt;&gt;"",'[1]Game Input'!$CH73,"")</f>
        <v>0</v>
      </c>
      <c r="AB73" s="9">
        <f>IF('[1]Game Input'!$CI73&lt;&gt;"",'[1]Game Input'!$CI73,"")</f>
        <v>1</v>
      </c>
      <c r="AC73" s="9">
        <f>IF('[1]Game Input'!$CJ73&lt;&gt;"",'[1]Game Input'!$CJ73,"")</f>
        <v>0</v>
      </c>
      <c r="AD73" s="9">
        <f>IF('[1]Game Input'!$CK73&lt;&gt;"",'[1]Game Input'!$CK73,"")</f>
        <v>0</v>
      </c>
      <c r="AE73" s="8"/>
      <c r="AF73" s="8"/>
      <c r="AG73" s="8"/>
      <c r="AH73" s="8"/>
    </row>
    <row r="74" spans="1:34" x14ac:dyDescent="0.2">
      <c r="A74" s="6">
        <f>IF('[1]Game Input'!$A74&lt;&gt;"",'[1]Game Input'!$A74,"")</f>
        <v>43399</v>
      </c>
      <c r="B74" s="6" t="str">
        <f>IF(A74&gt;$B$1,VLOOKUP(MONTH($A74),DOTWMonth,2,FALSE),"")</f>
        <v>October</v>
      </c>
      <c r="C74" s="10" t="str">
        <f>IF(A74&gt;$B$1,VLOOKUP(WEEKDAY($A74),DOTWMonth,3,FALSE),"")</f>
        <v>Friday</v>
      </c>
      <c r="D74" s="7">
        <f>IF('[1]Game Input'!$B74&lt;&gt;"",'[1]Game Input'!$B74,"")</f>
        <v>0.83680555555555547</v>
      </c>
      <c r="E74" s="7">
        <f>IF('[1]Game Input'!$C74&lt;&gt;"",'[1]Game Input'!$C74,"")</f>
        <v>0.79513888888888884</v>
      </c>
      <c r="F74" s="8" t="str">
        <f>IF('[1]Game Input'!$D74&lt;&gt;"",'[1]Game Input'!$D74,"")</f>
        <v>Daylight</v>
      </c>
      <c r="G74" s="8" t="str">
        <f>IF('[1]Game Input'!$G74&lt;&gt;"",'[1]Game Input'!$G74,"")</f>
        <v>FGO @ WAT</v>
      </c>
      <c r="H74" s="8" t="str">
        <f>IF('[1]Game Input'!$H74&lt;&gt;"",'[1]Game Input'!$H74,"")</f>
        <v>Vs. Conference</v>
      </c>
      <c r="I74" s="8" t="str">
        <f>IF('[1]Game Input'!$I74&lt;&gt;"",'[1]Game Input'!$I74,"")</f>
        <v>FARGO</v>
      </c>
      <c r="J74" s="9">
        <f>IF('[1]Game Input'!$AC74&lt;&gt;"",'[1]Game Input'!$AC74,"")</f>
        <v>12</v>
      </c>
      <c r="K74" s="9">
        <f>IF('[1]Game Input'!$AD74&lt;&gt;"",'[1]Game Input'!$AD74,"")</f>
        <v>6</v>
      </c>
      <c r="L74" s="9">
        <f>IF('[1]Game Input'!$AJ74&lt;&gt;"",'[1]Game Input'!$AJ74,"")</f>
        <v>0</v>
      </c>
      <c r="M74" s="9">
        <f>IF('[1]Game Input'!$AK74&lt;&gt;"",'[1]Game Input'!$AK74,"")</f>
        <v>0</v>
      </c>
      <c r="N74" s="9">
        <f>IF('[1]Game Input'!$AN74&lt;&gt;"",'[1]Game Input'!$AN74,"")</f>
        <v>6</v>
      </c>
      <c r="O74" s="9">
        <f>IF('[1]Game Input'!$AO74&lt;&gt;"",'[1]Game Input'!$AO74,"")</f>
        <v>0</v>
      </c>
      <c r="P74" s="9">
        <f>IF('[1]Game Input'!$AP74&lt;&gt;"",'[1]Game Input'!$AP74,"")</f>
        <v>0</v>
      </c>
      <c r="Q74" s="9">
        <f>IF('[1]Game Input'!$AQ74&lt;&gt;"",'[1]Game Input'!$AQ74,"")</f>
        <v>0</v>
      </c>
      <c r="R74" s="9">
        <f>IF('[1]Game Input'!$AR74&lt;&gt;"",'[1]Game Input'!$AR74,"")</f>
        <v>0</v>
      </c>
      <c r="S74" s="9">
        <f>IF('[1]Game Input'!$AS74&lt;&gt;"",'[1]Game Input'!$AS74,"")</f>
        <v>0</v>
      </c>
      <c r="T74" s="10" t="str">
        <f>IF('[1]Game Input'!$BA74&lt;&gt;"",'[1]Game Input'!$BA74,"")</f>
        <v>WATERLOO</v>
      </c>
      <c r="U74" s="9">
        <f>IF('[1]Game Input'!$BU74&lt;&gt;"",'[1]Game Input'!$BU74,"")</f>
        <v>12</v>
      </c>
      <c r="V74" s="9">
        <f>IF('[1]Game Input'!$BV74&lt;&gt;"",'[1]Game Input'!$BV74,"")</f>
        <v>6</v>
      </c>
      <c r="W74" s="9">
        <f>IF('[1]Game Input'!$CB74&lt;&gt;"",'[1]Game Input'!$CB74,"")</f>
        <v>0</v>
      </c>
      <c r="X74" s="9">
        <f>IF('[1]Game Input'!$CC74&lt;&gt;"",'[1]Game Input'!$CC74,"")</f>
        <v>0</v>
      </c>
      <c r="Y74" s="9">
        <f>IF('[1]Game Input'!$CF74&lt;&gt;"",'[1]Game Input'!$CF74,"")</f>
        <v>6</v>
      </c>
      <c r="Z74" s="9">
        <f>IF('[1]Game Input'!$CG74&lt;&gt;"",'[1]Game Input'!$CG74,"")</f>
        <v>0</v>
      </c>
      <c r="AA74" s="9">
        <f>IF('[1]Game Input'!$CH74&lt;&gt;"",'[1]Game Input'!$CH74,"")</f>
        <v>0</v>
      </c>
      <c r="AB74" s="9">
        <f>IF('[1]Game Input'!$CI74&lt;&gt;"",'[1]Game Input'!$CI74,"")</f>
        <v>0</v>
      </c>
      <c r="AC74" s="9">
        <f>IF('[1]Game Input'!$CJ74&lt;&gt;"",'[1]Game Input'!$CJ74,"")</f>
        <v>0</v>
      </c>
      <c r="AD74" s="9">
        <f>IF('[1]Game Input'!$CK74&lt;&gt;"",'[1]Game Input'!$CK74,"")</f>
        <v>0</v>
      </c>
      <c r="AE74" s="8"/>
      <c r="AF74" s="8"/>
      <c r="AG74" s="8"/>
      <c r="AH74" s="8"/>
    </row>
    <row r="75" spans="1:34" x14ac:dyDescent="0.2">
      <c r="A75" s="6">
        <f>IF('[1]Game Input'!$A75&lt;&gt;"",'[1]Game Input'!$A75,"")</f>
        <v>43399</v>
      </c>
      <c r="B75" s="6" t="str">
        <f>IF(A75&gt;$B$1,VLOOKUP(MONTH($A75),DOTWMonth,2,FALSE),"")</f>
        <v>October</v>
      </c>
      <c r="C75" s="10" t="str">
        <f>IF(A75&gt;$B$1,VLOOKUP(WEEKDAY($A75),DOTWMonth,3,FALSE),"")</f>
        <v>Friday</v>
      </c>
      <c r="D75" s="7">
        <f>IF('[1]Game Input'!$B75&lt;&gt;"",'[1]Game Input'!$B75,"")</f>
        <v>0.83680555555555547</v>
      </c>
      <c r="E75" s="7">
        <f>IF('[1]Game Input'!$C75&lt;&gt;"",'[1]Game Input'!$C75,"")</f>
        <v>0.79513888888888884</v>
      </c>
      <c r="F75" s="8" t="str">
        <f>IF('[1]Game Input'!$D75&lt;&gt;"",'[1]Game Input'!$D75,"")</f>
        <v>Daylight</v>
      </c>
      <c r="G75" s="8" t="str">
        <f>IF('[1]Game Input'!$G75&lt;&gt;"",'[1]Game Input'!$G75,"")</f>
        <v>GB @ DM</v>
      </c>
      <c r="H75" s="8" t="str">
        <f>IF('[1]Game Input'!$H75&lt;&gt;"",'[1]Game Input'!$H75,"")</f>
        <v>Vs. Non-Conference</v>
      </c>
      <c r="I75" s="8" t="str">
        <f>IF('[1]Game Input'!$I75&lt;&gt;"",'[1]Game Input'!$I75,"")</f>
        <v>GREEN BAY</v>
      </c>
      <c r="J75" s="9">
        <f>IF('[1]Game Input'!$AC75&lt;&gt;"",'[1]Game Input'!$AC75,"")</f>
        <v>23</v>
      </c>
      <c r="K75" s="9">
        <f>IF('[1]Game Input'!$AD75&lt;&gt;"",'[1]Game Input'!$AD75,"")</f>
        <v>6</v>
      </c>
      <c r="L75" s="9">
        <f>IF('[1]Game Input'!$AJ75&lt;&gt;"",'[1]Game Input'!$AJ75,"")</f>
        <v>0</v>
      </c>
      <c r="M75" s="9">
        <f>IF('[1]Game Input'!$AK75&lt;&gt;"",'[1]Game Input'!$AK75,"")</f>
        <v>0</v>
      </c>
      <c r="N75" s="9">
        <f>IF('[1]Game Input'!$AN75&lt;&gt;"",'[1]Game Input'!$AN75,"")</f>
        <v>4</v>
      </c>
      <c r="O75" s="9">
        <f>IF('[1]Game Input'!$AO75&lt;&gt;"",'[1]Game Input'!$AO75,"")</f>
        <v>1</v>
      </c>
      <c r="P75" s="9">
        <f>IF('[1]Game Input'!$AP75&lt;&gt;"",'[1]Game Input'!$AP75,"")</f>
        <v>1</v>
      </c>
      <c r="Q75" s="9">
        <f>IF('[1]Game Input'!$AQ75&lt;&gt;"",'[1]Game Input'!$AQ75,"")</f>
        <v>0</v>
      </c>
      <c r="R75" s="9">
        <f>IF('[1]Game Input'!$AR75&lt;&gt;"",'[1]Game Input'!$AR75,"")</f>
        <v>0</v>
      </c>
      <c r="S75" s="9">
        <f>IF('[1]Game Input'!$AS75&lt;&gt;"",'[1]Game Input'!$AS75,"")</f>
        <v>0</v>
      </c>
      <c r="T75" s="10" t="str">
        <f>IF('[1]Game Input'!$BA75&lt;&gt;"",'[1]Game Input'!$BA75,"")</f>
        <v>DES MOINES</v>
      </c>
      <c r="U75" s="9">
        <f>IF('[1]Game Input'!$BU75&lt;&gt;"",'[1]Game Input'!$BU75,"")</f>
        <v>25</v>
      </c>
      <c r="V75" s="9">
        <f>IF('[1]Game Input'!$BV75&lt;&gt;"",'[1]Game Input'!$BV75,"")</f>
        <v>7</v>
      </c>
      <c r="W75" s="9">
        <f>IF('[1]Game Input'!$CB75&lt;&gt;"",'[1]Game Input'!$CB75,"")</f>
        <v>0</v>
      </c>
      <c r="X75" s="9">
        <f>IF('[1]Game Input'!$CC75&lt;&gt;"",'[1]Game Input'!$CC75,"")</f>
        <v>0</v>
      </c>
      <c r="Y75" s="9">
        <f>IF('[1]Game Input'!$CF75&lt;&gt;"",'[1]Game Input'!$CF75,"")</f>
        <v>5</v>
      </c>
      <c r="Z75" s="9">
        <f>IF('[1]Game Input'!$CG75&lt;&gt;"",'[1]Game Input'!$CG75,"")</f>
        <v>1</v>
      </c>
      <c r="AA75" s="9">
        <f>IF('[1]Game Input'!$CH75&lt;&gt;"",'[1]Game Input'!$CH75,"")</f>
        <v>1</v>
      </c>
      <c r="AB75" s="9">
        <f>IF('[1]Game Input'!$CI75&lt;&gt;"",'[1]Game Input'!$CI75,"")</f>
        <v>0</v>
      </c>
      <c r="AC75" s="9">
        <f>IF('[1]Game Input'!$CJ75&lt;&gt;"",'[1]Game Input'!$CJ75,"")</f>
        <v>0</v>
      </c>
      <c r="AD75" s="9">
        <f>IF('[1]Game Input'!$CK75&lt;&gt;"",'[1]Game Input'!$CK75,"")</f>
        <v>0</v>
      </c>
      <c r="AE75" s="8" t="s">
        <v>106</v>
      </c>
      <c r="AF75" s="8"/>
      <c r="AG75" s="8" t="s">
        <v>107</v>
      </c>
      <c r="AH75" s="8" t="s">
        <v>108</v>
      </c>
    </row>
    <row r="76" spans="1:34" x14ac:dyDescent="0.2">
      <c r="A76" s="6">
        <f>IF('[1]Game Input'!$A76&lt;&gt;"",'[1]Game Input'!$A76,"")</f>
        <v>43399</v>
      </c>
      <c r="B76" s="6" t="str">
        <f>IF(A76&gt;$B$1,VLOOKUP(MONTH($A76),DOTWMonth,2,FALSE),"")</f>
        <v>October</v>
      </c>
      <c r="C76" s="10" t="str">
        <f>IF(A76&gt;$B$1,VLOOKUP(WEEKDAY($A76),DOTWMonth,3,FALSE),"")</f>
        <v>Friday</v>
      </c>
      <c r="D76" s="7">
        <f>IF('[1]Game Input'!$B76&lt;&gt;"",'[1]Game Input'!$B76,"")</f>
        <v>0.83680555555555547</v>
      </c>
      <c r="E76" s="7">
        <f>IF('[1]Game Input'!$C76&lt;&gt;"",'[1]Game Input'!$C76,"")</f>
        <v>0.79513888888888884</v>
      </c>
      <c r="F76" s="8" t="str">
        <f>IF('[1]Game Input'!$D76&lt;&gt;"",'[1]Game Input'!$D76,"")</f>
        <v>Daylight</v>
      </c>
      <c r="G76" s="8" t="str">
        <f>IF('[1]Game Input'!$G76&lt;&gt;"",'[1]Game Input'!$G76,"")</f>
        <v>CR @ LIN</v>
      </c>
      <c r="H76" s="8" t="str">
        <f>IF('[1]Game Input'!$H76&lt;&gt;"",'[1]Game Input'!$H76,"")</f>
        <v>Vs. Non-Conference</v>
      </c>
      <c r="I76" s="8" t="str">
        <f>IF('[1]Game Input'!$I76&lt;&gt;"",'[1]Game Input'!$I76,"")</f>
        <v>CEDAR RAPIDS</v>
      </c>
      <c r="J76" s="9">
        <f>IF('[1]Game Input'!$AC76&lt;&gt;"",'[1]Game Input'!$AC76,"")</f>
        <v>38</v>
      </c>
      <c r="K76" s="9">
        <f>IF('[1]Game Input'!$AD76&lt;&gt;"",'[1]Game Input'!$AD76,"")</f>
        <v>11</v>
      </c>
      <c r="L76" s="9">
        <f>IF('[1]Game Input'!$AJ76&lt;&gt;"",'[1]Game Input'!$AJ76,"")</f>
        <v>0</v>
      </c>
      <c r="M76" s="9">
        <f>IF('[1]Game Input'!$AK76&lt;&gt;"",'[1]Game Input'!$AK76,"")</f>
        <v>0</v>
      </c>
      <c r="N76" s="9">
        <f>IF('[1]Game Input'!$AN76&lt;&gt;"",'[1]Game Input'!$AN76,"")</f>
        <v>9</v>
      </c>
      <c r="O76" s="9">
        <f>IF('[1]Game Input'!$AO76&lt;&gt;"",'[1]Game Input'!$AO76,"")</f>
        <v>0</v>
      </c>
      <c r="P76" s="9">
        <f>IF('[1]Game Input'!$AP76&lt;&gt;"",'[1]Game Input'!$AP76,"")</f>
        <v>2</v>
      </c>
      <c r="Q76" s="9">
        <f>IF('[1]Game Input'!$AQ76&lt;&gt;"",'[1]Game Input'!$AQ76,"")</f>
        <v>0</v>
      </c>
      <c r="R76" s="9">
        <f>IF('[1]Game Input'!$AR76&lt;&gt;"",'[1]Game Input'!$AR76,"")</f>
        <v>0</v>
      </c>
      <c r="S76" s="9">
        <f>IF('[1]Game Input'!$AS76&lt;&gt;"",'[1]Game Input'!$AS76,"")</f>
        <v>0</v>
      </c>
      <c r="T76" s="10" t="str">
        <f>IF('[1]Game Input'!$BA76&lt;&gt;"",'[1]Game Input'!$BA76,"")</f>
        <v>LINCOLN</v>
      </c>
      <c r="U76" s="9">
        <f>IF('[1]Game Input'!$BU76&lt;&gt;"",'[1]Game Input'!$BU76,"")</f>
        <v>22</v>
      </c>
      <c r="V76" s="9">
        <f>IF('[1]Game Input'!$BV76&lt;&gt;"",'[1]Game Input'!$BV76,"")</f>
        <v>7</v>
      </c>
      <c r="W76" s="9">
        <f>IF('[1]Game Input'!$CB76&lt;&gt;"",'[1]Game Input'!$CB76,"")</f>
        <v>0</v>
      </c>
      <c r="X76" s="9">
        <f>IF('[1]Game Input'!$CC76&lt;&gt;"",'[1]Game Input'!$CC76,"")</f>
        <v>0</v>
      </c>
      <c r="Y76" s="9">
        <f>IF('[1]Game Input'!$CF76&lt;&gt;"",'[1]Game Input'!$CF76,"")</f>
        <v>6</v>
      </c>
      <c r="Z76" s="9">
        <f>IF('[1]Game Input'!$CG76&lt;&gt;"",'[1]Game Input'!$CG76,"")</f>
        <v>0</v>
      </c>
      <c r="AA76" s="9">
        <f>IF('[1]Game Input'!$CH76&lt;&gt;"",'[1]Game Input'!$CH76,"")</f>
        <v>1</v>
      </c>
      <c r="AB76" s="9">
        <f>IF('[1]Game Input'!$CI76&lt;&gt;"",'[1]Game Input'!$CI76,"")</f>
        <v>0</v>
      </c>
      <c r="AC76" s="9">
        <f>IF('[1]Game Input'!$CJ76&lt;&gt;"",'[1]Game Input'!$CJ76,"")</f>
        <v>0</v>
      </c>
      <c r="AD76" s="9">
        <f>IF('[1]Game Input'!$CK76&lt;&gt;"",'[1]Game Input'!$CK76,"")</f>
        <v>0</v>
      </c>
      <c r="AE76" s="8" t="s">
        <v>138</v>
      </c>
      <c r="AF76" s="8"/>
      <c r="AG76" s="8" t="s">
        <v>114</v>
      </c>
      <c r="AH76" s="8" t="s">
        <v>124</v>
      </c>
    </row>
    <row r="77" spans="1:34" x14ac:dyDescent="0.2">
      <c r="A77" s="6">
        <f>IF('[1]Game Input'!$A77&lt;&gt;"",'[1]Game Input'!$A77,"")</f>
        <v>43399</v>
      </c>
      <c r="B77" s="6" t="str">
        <f>IF(A77&gt;$B$1,VLOOKUP(MONTH($A77),DOTWMonth,2,FALSE),"")</f>
        <v>October</v>
      </c>
      <c r="C77" s="10" t="str">
        <f>IF(A77&gt;$B$1,VLOOKUP(WEEKDAY($A77),DOTWMonth,3,FALSE),"")</f>
        <v>Friday</v>
      </c>
      <c r="D77" s="7">
        <f>IF('[1]Game Input'!$B77&lt;&gt;"",'[1]Game Input'!$B77,"")</f>
        <v>0.85763888888888884</v>
      </c>
      <c r="E77" s="7">
        <f>IF('[1]Game Input'!$C77&lt;&gt;"",'[1]Game Input'!$C77,"")</f>
        <v>0.81597222222222221</v>
      </c>
      <c r="F77" s="8" t="str">
        <f>IF('[1]Game Input'!$D77&lt;&gt;"",'[1]Game Input'!$D77,"")</f>
        <v>Daylight</v>
      </c>
      <c r="G77" s="8" t="str">
        <f>IF('[1]Game Input'!$G77&lt;&gt;"",'[1]Game Input'!$G77,"")</f>
        <v>TC @ OMA</v>
      </c>
      <c r="H77" s="8" t="str">
        <f>IF('[1]Game Input'!$H77&lt;&gt;"",'[1]Game Input'!$H77,"")</f>
        <v>Vs. Conference</v>
      </c>
      <c r="I77" s="8" t="str">
        <f>IF('[1]Game Input'!$I77&lt;&gt;"",'[1]Game Input'!$I77,"")</f>
        <v>TRI-CITY</v>
      </c>
      <c r="J77" s="9">
        <f>IF('[1]Game Input'!$AC77&lt;&gt;"",'[1]Game Input'!$AC77,"")</f>
        <v>16</v>
      </c>
      <c r="K77" s="9">
        <f>IF('[1]Game Input'!$AD77&lt;&gt;"",'[1]Game Input'!$AD77,"")</f>
        <v>8</v>
      </c>
      <c r="L77" s="9">
        <f>IF('[1]Game Input'!$AJ77&lt;&gt;"",'[1]Game Input'!$AJ77,"")</f>
        <v>0</v>
      </c>
      <c r="M77" s="9">
        <f>IF('[1]Game Input'!$AK77&lt;&gt;"",'[1]Game Input'!$AK77,"")</f>
        <v>0</v>
      </c>
      <c r="N77" s="9">
        <f>IF('[1]Game Input'!$AN77&lt;&gt;"",'[1]Game Input'!$AN77,"")</f>
        <v>8</v>
      </c>
      <c r="O77" s="9">
        <f>IF('[1]Game Input'!$AO77&lt;&gt;"",'[1]Game Input'!$AO77,"")</f>
        <v>0</v>
      </c>
      <c r="P77" s="9">
        <f>IF('[1]Game Input'!$AP77&lt;&gt;"",'[1]Game Input'!$AP77,"")</f>
        <v>0</v>
      </c>
      <c r="Q77" s="9">
        <f>IF('[1]Game Input'!$AQ77&lt;&gt;"",'[1]Game Input'!$AQ77,"")</f>
        <v>0</v>
      </c>
      <c r="R77" s="9">
        <f>IF('[1]Game Input'!$AR77&lt;&gt;"",'[1]Game Input'!$AR77,"")</f>
        <v>0</v>
      </c>
      <c r="S77" s="9">
        <f>IF('[1]Game Input'!$AS77&lt;&gt;"",'[1]Game Input'!$AS77,"")</f>
        <v>0</v>
      </c>
      <c r="T77" s="10" t="str">
        <f>IF('[1]Game Input'!$BA77&lt;&gt;"",'[1]Game Input'!$BA77,"")</f>
        <v>OMAHA</v>
      </c>
      <c r="U77" s="9">
        <f>IF('[1]Game Input'!$BU77&lt;&gt;"",'[1]Game Input'!$BU77,"")</f>
        <v>18</v>
      </c>
      <c r="V77" s="9">
        <f>IF('[1]Game Input'!$BV77&lt;&gt;"",'[1]Game Input'!$BV77,"")</f>
        <v>9</v>
      </c>
      <c r="W77" s="9">
        <f>IF('[1]Game Input'!$CB77&lt;&gt;"",'[1]Game Input'!$CB77,"")</f>
        <v>0</v>
      </c>
      <c r="X77" s="9">
        <f>IF('[1]Game Input'!$CC77&lt;&gt;"",'[1]Game Input'!$CC77,"")</f>
        <v>0</v>
      </c>
      <c r="Y77" s="9">
        <f>IF('[1]Game Input'!$CF77&lt;&gt;"",'[1]Game Input'!$CF77,"")</f>
        <v>9</v>
      </c>
      <c r="Z77" s="9">
        <f>IF('[1]Game Input'!$CG77&lt;&gt;"",'[1]Game Input'!$CG77,"")</f>
        <v>0</v>
      </c>
      <c r="AA77" s="9">
        <f>IF('[1]Game Input'!$CH77&lt;&gt;"",'[1]Game Input'!$CH77,"")</f>
        <v>0</v>
      </c>
      <c r="AB77" s="9">
        <f>IF('[1]Game Input'!$CI77&lt;&gt;"",'[1]Game Input'!$CI77,"")</f>
        <v>0</v>
      </c>
      <c r="AC77" s="9">
        <f>IF('[1]Game Input'!$CJ77&lt;&gt;"",'[1]Game Input'!$CJ77,"")</f>
        <v>0</v>
      </c>
      <c r="AD77" s="9">
        <f>IF('[1]Game Input'!$CK77&lt;&gt;"",'[1]Game Input'!$CK77,"")</f>
        <v>0</v>
      </c>
      <c r="AE77" s="8"/>
      <c r="AF77" s="8"/>
      <c r="AG77" s="8"/>
      <c r="AH77" s="8"/>
    </row>
    <row r="78" spans="1:34" x14ac:dyDescent="0.2">
      <c r="A78" s="6">
        <f>IF('[1]Game Input'!$A78&lt;&gt;"",'[1]Game Input'!$A78,"")</f>
        <v>43400</v>
      </c>
      <c r="B78" s="6" t="str">
        <f>IF(A78&gt;$B$1,VLOOKUP(MONTH($A78),DOTWMonth,2,FALSE),"")</f>
        <v>October</v>
      </c>
      <c r="C78" s="10" t="str">
        <f>IF(A78&gt;$B$1,VLOOKUP(WEEKDAY($A78),DOTWMonth,3,FALSE),"")</f>
        <v>Saturday</v>
      </c>
      <c r="D78" s="7">
        <f>IF('[1]Game Input'!$B78&lt;&gt;"",'[1]Game Input'!$B78,"")</f>
        <v>0.79166666666666663</v>
      </c>
      <c r="E78" s="7">
        <f>IF('[1]Game Input'!$C78&lt;&gt;"",'[1]Game Input'!$C78,"")</f>
        <v>0.75</v>
      </c>
      <c r="F78" s="8" t="str">
        <f>IF('[1]Game Input'!$D78&lt;&gt;"",'[1]Game Input'!$D78,"")</f>
        <v>Daylight</v>
      </c>
      <c r="G78" s="8" t="str">
        <f>IF('[1]Game Input'!$G78&lt;&gt;"",'[1]Game Input'!$G78,"")</f>
        <v>DUB @ USA</v>
      </c>
      <c r="H78" s="8" t="str">
        <f>IF('[1]Game Input'!$H78&lt;&gt;"",'[1]Game Input'!$H78,"")</f>
        <v>Vs. Conference</v>
      </c>
      <c r="I78" s="8" t="str">
        <f>IF('[1]Game Input'!$I78&lt;&gt;"",'[1]Game Input'!$I78,"")</f>
        <v>DUBUQUE</v>
      </c>
      <c r="J78" s="9">
        <f>IF('[1]Game Input'!$AC78&lt;&gt;"",'[1]Game Input'!$AC78,"")</f>
        <v>8</v>
      </c>
      <c r="K78" s="9">
        <f>IF('[1]Game Input'!$AD78&lt;&gt;"",'[1]Game Input'!$AD78,"")</f>
        <v>4</v>
      </c>
      <c r="L78" s="9">
        <f>IF('[1]Game Input'!$AJ78&lt;&gt;"",'[1]Game Input'!$AJ78,"")</f>
        <v>0</v>
      </c>
      <c r="M78" s="9">
        <f>IF('[1]Game Input'!$AK78&lt;&gt;"",'[1]Game Input'!$AK78,"")</f>
        <v>0</v>
      </c>
      <c r="N78" s="9">
        <f>IF('[1]Game Input'!$AN78&lt;&gt;"",'[1]Game Input'!$AN78,"")</f>
        <v>4</v>
      </c>
      <c r="O78" s="9">
        <f>IF('[1]Game Input'!$AO78&lt;&gt;"",'[1]Game Input'!$AO78,"")</f>
        <v>0</v>
      </c>
      <c r="P78" s="9">
        <f>IF('[1]Game Input'!$AP78&lt;&gt;"",'[1]Game Input'!$AP78,"")</f>
        <v>0</v>
      </c>
      <c r="Q78" s="9">
        <f>IF('[1]Game Input'!$AQ78&lt;&gt;"",'[1]Game Input'!$AQ78,"")</f>
        <v>0</v>
      </c>
      <c r="R78" s="9">
        <f>IF('[1]Game Input'!$AR78&lt;&gt;"",'[1]Game Input'!$AR78,"")</f>
        <v>0</v>
      </c>
      <c r="S78" s="9">
        <f>IF('[1]Game Input'!$AS78&lt;&gt;"",'[1]Game Input'!$AS78,"")</f>
        <v>0</v>
      </c>
      <c r="T78" s="10" t="str">
        <f>IF('[1]Game Input'!$BA78&lt;&gt;"",'[1]Game Input'!$BA78,"")</f>
        <v>TEAM USA</v>
      </c>
      <c r="U78" s="9">
        <f>IF('[1]Game Input'!$BU78&lt;&gt;"",'[1]Game Input'!$BU78,"")</f>
        <v>6</v>
      </c>
      <c r="V78" s="9">
        <f>IF('[1]Game Input'!$BV78&lt;&gt;"",'[1]Game Input'!$BV78,"")</f>
        <v>3</v>
      </c>
      <c r="W78" s="9">
        <f>IF('[1]Game Input'!$CB78&lt;&gt;"",'[1]Game Input'!$CB78,"")</f>
        <v>0</v>
      </c>
      <c r="X78" s="9">
        <f>IF('[1]Game Input'!$CC78&lt;&gt;"",'[1]Game Input'!$CC78,"")</f>
        <v>0</v>
      </c>
      <c r="Y78" s="9">
        <f>IF('[1]Game Input'!$CF78&lt;&gt;"",'[1]Game Input'!$CF78,"")</f>
        <v>3</v>
      </c>
      <c r="Z78" s="9">
        <f>IF('[1]Game Input'!$CG78&lt;&gt;"",'[1]Game Input'!$CG78,"")</f>
        <v>0</v>
      </c>
      <c r="AA78" s="9">
        <f>IF('[1]Game Input'!$CH78&lt;&gt;"",'[1]Game Input'!$CH78,"")</f>
        <v>0</v>
      </c>
      <c r="AB78" s="9">
        <f>IF('[1]Game Input'!$CI78&lt;&gt;"",'[1]Game Input'!$CI78,"")</f>
        <v>0</v>
      </c>
      <c r="AC78" s="9">
        <f>IF('[1]Game Input'!$CJ78&lt;&gt;"",'[1]Game Input'!$CJ78,"")</f>
        <v>0</v>
      </c>
      <c r="AD78" s="9">
        <f>IF('[1]Game Input'!$CK78&lt;&gt;"",'[1]Game Input'!$CK78,"")</f>
        <v>0</v>
      </c>
      <c r="AE78" s="8"/>
      <c r="AF78" s="8"/>
      <c r="AG78" s="8"/>
      <c r="AH78" s="8"/>
    </row>
    <row r="79" spans="1:34" x14ac:dyDescent="0.2">
      <c r="A79" s="6">
        <f>IF('[1]Game Input'!$A79&lt;&gt;"",'[1]Game Input'!$A79,"")</f>
        <v>43400</v>
      </c>
      <c r="B79" s="6" t="str">
        <f>IF(A79&gt;$B$1,VLOOKUP(MONTH($A79),DOTWMonth,2,FALSE),"")</f>
        <v>October</v>
      </c>
      <c r="C79" s="10" t="str">
        <f>IF(A79&gt;$B$1,VLOOKUP(WEEKDAY($A79),DOTWMonth,3,FALSE),"")</f>
        <v>Saturday</v>
      </c>
      <c r="D79" s="7">
        <f>IF('[1]Game Input'!$B79&lt;&gt;"",'[1]Game Input'!$B79,"")</f>
        <v>0.80208333333333337</v>
      </c>
      <c r="E79" s="7">
        <f>IF('[1]Game Input'!$C79&lt;&gt;"",'[1]Game Input'!$C79,"")</f>
        <v>0.76041666666666674</v>
      </c>
      <c r="F79" s="8" t="str">
        <f>IF('[1]Game Input'!$D79&lt;&gt;"",'[1]Game Input'!$D79,"")</f>
        <v>Daylight</v>
      </c>
      <c r="G79" s="8" t="str">
        <f>IF('[1]Game Input'!$G79&lt;&gt;"",'[1]Game Input'!$G79,"")</f>
        <v>USA @ MUS</v>
      </c>
      <c r="H79" s="8" t="str">
        <f>IF('[1]Game Input'!$H79&lt;&gt;"",'[1]Game Input'!$H79,"")</f>
        <v>Vs. Conference</v>
      </c>
      <c r="I79" s="8" t="str">
        <f>IF('[1]Game Input'!$I79&lt;&gt;"",'[1]Game Input'!$I79,"")</f>
        <v>TEAM USA</v>
      </c>
      <c r="J79" s="9">
        <f>IF('[1]Game Input'!$AC79&lt;&gt;"",'[1]Game Input'!$AC79,"")</f>
        <v>14</v>
      </c>
      <c r="K79" s="9">
        <f>IF('[1]Game Input'!$AD79&lt;&gt;"",'[1]Game Input'!$AD79,"")</f>
        <v>7</v>
      </c>
      <c r="L79" s="9">
        <f>IF('[1]Game Input'!$AJ79&lt;&gt;"",'[1]Game Input'!$AJ79,"")</f>
        <v>0</v>
      </c>
      <c r="M79" s="9">
        <f>IF('[1]Game Input'!$AK79&lt;&gt;"",'[1]Game Input'!$AK79,"")</f>
        <v>0</v>
      </c>
      <c r="N79" s="9">
        <f>IF('[1]Game Input'!$AN79&lt;&gt;"",'[1]Game Input'!$AN79,"")</f>
        <v>7</v>
      </c>
      <c r="O79" s="9">
        <f>IF('[1]Game Input'!$AO79&lt;&gt;"",'[1]Game Input'!$AO79,"")</f>
        <v>0</v>
      </c>
      <c r="P79" s="9">
        <f>IF('[1]Game Input'!$AP79&lt;&gt;"",'[1]Game Input'!$AP79,"")</f>
        <v>0</v>
      </c>
      <c r="Q79" s="9">
        <f>IF('[1]Game Input'!$AQ79&lt;&gt;"",'[1]Game Input'!$AQ79,"")</f>
        <v>0</v>
      </c>
      <c r="R79" s="9">
        <f>IF('[1]Game Input'!$AR79&lt;&gt;"",'[1]Game Input'!$AR79,"")</f>
        <v>0</v>
      </c>
      <c r="S79" s="9">
        <f>IF('[1]Game Input'!$AS79&lt;&gt;"",'[1]Game Input'!$AS79,"")</f>
        <v>0</v>
      </c>
      <c r="T79" s="10" t="str">
        <f>IF('[1]Game Input'!$BA79&lt;&gt;"",'[1]Game Input'!$BA79,"")</f>
        <v>MUSKEGON</v>
      </c>
      <c r="U79" s="9">
        <f>IF('[1]Game Input'!$BU79&lt;&gt;"",'[1]Game Input'!$BU79,"")</f>
        <v>18</v>
      </c>
      <c r="V79" s="9">
        <f>IF('[1]Game Input'!$BV79&lt;&gt;"",'[1]Game Input'!$BV79,"")</f>
        <v>9</v>
      </c>
      <c r="W79" s="9">
        <f>IF('[1]Game Input'!$CB79&lt;&gt;"",'[1]Game Input'!$CB79,"")</f>
        <v>0</v>
      </c>
      <c r="X79" s="9">
        <f>IF('[1]Game Input'!$CC79&lt;&gt;"",'[1]Game Input'!$CC79,"")</f>
        <v>0</v>
      </c>
      <c r="Y79" s="9">
        <f>IF('[1]Game Input'!$CF79&lt;&gt;"",'[1]Game Input'!$CF79,"")</f>
        <v>9</v>
      </c>
      <c r="Z79" s="9">
        <f>IF('[1]Game Input'!$CG79&lt;&gt;"",'[1]Game Input'!$CG79,"")</f>
        <v>0</v>
      </c>
      <c r="AA79" s="9">
        <f>IF('[1]Game Input'!$CH79&lt;&gt;"",'[1]Game Input'!$CH79,"")</f>
        <v>0</v>
      </c>
      <c r="AB79" s="9">
        <f>IF('[1]Game Input'!$CI79&lt;&gt;"",'[1]Game Input'!$CI79,"")</f>
        <v>0</v>
      </c>
      <c r="AC79" s="9">
        <f>IF('[1]Game Input'!$CJ79&lt;&gt;"",'[1]Game Input'!$CJ79,"")</f>
        <v>0</v>
      </c>
      <c r="AD79" s="9">
        <f>IF('[1]Game Input'!$CK79&lt;&gt;"",'[1]Game Input'!$CK79,"")</f>
        <v>0</v>
      </c>
      <c r="AE79" s="8"/>
      <c r="AF79" s="8"/>
      <c r="AG79" s="8"/>
      <c r="AH79" s="8"/>
    </row>
    <row r="80" spans="1:34" x14ac:dyDescent="0.2">
      <c r="A80" s="6">
        <f>IF('[1]Game Input'!$A80&lt;&gt;"",'[1]Game Input'!$A80,"")</f>
        <v>43400</v>
      </c>
      <c r="B80" s="6" t="str">
        <f>IF(A80&gt;$B$1,VLOOKUP(MONTH($A80),DOTWMonth,2,FALSE),"")</f>
        <v>October</v>
      </c>
      <c r="C80" s="10" t="str">
        <f>IF(A80&gt;$B$1,VLOOKUP(WEEKDAY($A80),DOTWMonth,3,FALSE),"")</f>
        <v>Saturday</v>
      </c>
      <c r="D80" s="7">
        <f>IF('[1]Game Input'!$B80&lt;&gt;"",'[1]Game Input'!$B80,"")</f>
        <v>0.83680555555555547</v>
      </c>
      <c r="E80" s="7">
        <f>IF('[1]Game Input'!$C80&lt;&gt;"",'[1]Game Input'!$C80,"")</f>
        <v>0.79513888888888884</v>
      </c>
      <c r="F80" s="8" t="str">
        <f>IF('[1]Game Input'!$D80&lt;&gt;"",'[1]Game Input'!$D80,"")</f>
        <v>Daylight</v>
      </c>
      <c r="G80" s="8" t="str">
        <f>IF('[1]Game Input'!$G80&lt;&gt;"",'[1]Game Input'!$G80,"")</f>
        <v>CHI @ CR</v>
      </c>
      <c r="H80" s="8" t="str">
        <f>IF('[1]Game Input'!$H80&lt;&gt;"",'[1]Game Input'!$H80,"")</f>
        <v>Vs. Conference</v>
      </c>
      <c r="I80" s="8" t="str">
        <f>IF('[1]Game Input'!$I80&lt;&gt;"",'[1]Game Input'!$I80,"")</f>
        <v>CHICAGO</v>
      </c>
      <c r="J80" s="9">
        <f>IF('[1]Game Input'!$AC80&lt;&gt;"",'[1]Game Input'!$AC80,"")</f>
        <v>8</v>
      </c>
      <c r="K80" s="9">
        <f>IF('[1]Game Input'!$AD80&lt;&gt;"",'[1]Game Input'!$AD80,"")</f>
        <v>4</v>
      </c>
      <c r="L80" s="9">
        <f>IF('[1]Game Input'!$AJ80&lt;&gt;"",'[1]Game Input'!$AJ80,"")</f>
        <v>0</v>
      </c>
      <c r="M80" s="9">
        <f>IF('[1]Game Input'!$AK80&lt;&gt;"",'[1]Game Input'!$AK80,"")</f>
        <v>0</v>
      </c>
      <c r="N80" s="9">
        <f>IF('[1]Game Input'!$AN80&lt;&gt;"",'[1]Game Input'!$AN80,"")</f>
        <v>4</v>
      </c>
      <c r="O80" s="9">
        <f>IF('[1]Game Input'!$AO80&lt;&gt;"",'[1]Game Input'!$AO80,"")</f>
        <v>0</v>
      </c>
      <c r="P80" s="9">
        <f>IF('[1]Game Input'!$AP80&lt;&gt;"",'[1]Game Input'!$AP80,"")</f>
        <v>0</v>
      </c>
      <c r="Q80" s="9">
        <f>IF('[1]Game Input'!$AQ80&lt;&gt;"",'[1]Game Input'!$AQ80,"")</f>
        <v>0</v>
      </c>
      <c r="R80" s="9">
        <f>IF('[1]Game Input'!$AR80&lt;&gt;"",'[1]Game Input'!$AR80,"")</f>
        <v>0</v>
      </c>
      <c r="S80" s="9">
        <f>IF('[1]Game Input'!$AS80&lt;&gt;"",'[1]Game Input'!$AS80,"")</f>
        <v>0</v>
      </c>
      <c r="T80" s="10" t="str">
        <f>IF('[1]Game Input'!$BA80&lt;&gt;"",'[1]Game Input'!$BA80,"")</f>
        <v>CEDAR RAPIDS</v>
      </c>
      <c r="U80" s="9">
        <f>IF('[1]Game Input'!$BU80&lt;&gt;"",'[1]Game Input'!$BU80,"")</f>
        <v>14</v>
      </c>
      <c r="V80" s="9">
        <f>IF('[1]Game Input'!$BV80&lt;&gt;"",'[1]Game Input'!$BV80,"")</f>
        <v>3</v>
      </c>
      <c r="W80" s="9">
        <f>IF('[1]Game Input'!$CB80&lt;&gt;"",'[1]Game Input'!$CB80,"")</f>
        <v>0</v>
      </c>
      <c r="X80" s="9">
        <f>IF('[1]Game Input'!$CC80&lt;&gt;"",'[1]Game Input'!$CC80,"")</f>
        <v>0</v>
      </c>
      <c r="Y80" s="9">
        <f>IF('[1]Game Input'!$CF80&lt;&gt;"",'[1]Game Input'!$CF80,"")</f>
        <v>2</v>
      </c>
      <c r="Z80" s="9">
        <f>IF('[1]Game Input'!$CG80&lt;&gt;"",'[1]Game Input'!$CG80,"")</f>
        <v>0</v>
      </c>
      <c r="AA80" s="9">
        <f>IF('[1]Game Input'!$CH80&lt;&gt;"",'[1]Game Input'!$CH80,"")</f>
        <v>1</v>
      </c>
      <c r="AB80" s="9">
        <f>IF('[1]Game Input'!$CI80&lt;&gt;"",'[1]Game Input'!$CI80,"")</f>
        <v>0</v>
      </c>
      <c r="AC80" s="9">
        <f>IF('[1]Game Input'!$CJ80&lt;&gt;"",'[1]Game Input'!$CJ80,"")</f>
        <v>0</v>
      </c>
      <c r="AD80" s="9">
        <f>IF('[1]Game Input'!$CK80&lt;&gt;"",'[1]Game Input'!$CK80,"")</f>
        <v>0</v>
      </c>
      <c r="AE80" s="8" t="s">
        <v>94</v>
      </c>
      <c r="AF80" s="8"/>
      <c r="AG80" s="8" t="s">
        <v>116</v>
      </c>
      <c r="AH80" s="8" t="s">
        <v>108</v>
      </c>
    </row>
    <row r="81" spans="1:34" x14ac:dyDescent="0.2">
      <c r="A81" s="6">
        <f>IF('[1]Game Input'!$A81&lt;&gt;"",'[1]Game Input'!$A81,"")</f>
        <v>43400</v>
      </c>
      <c r="B81" s="6" t="str">
        <f>IF(A81&gt;$B$1,VLOOKUP(MONTH($A81),DOTWMonth,2,FALSE),"")</f>
        <v>October</v>
      </c>
      <c r="C81" s="10" t="str">
        <f>IF(A81&gt;$B$1,VLOOKUP(WEEKDAY($A81),DOTWMonth,3,FALSE),"")</f>
        <v>Saturday</v>
      </c>
      <c r="D81" s="7">
        <f>IF('[1]Game Input'!$B81&lt;&gt;"",'[1]Game Input'!$B81,"")</f>
        <v>0.83680555555555547</v>
      </c>
      <c r="E81" s="7">
        <f>IF('[1]Game Input'!$C81&lt;&gt;"",'[1]Game Input'!$C81,"")</f>
        <v>0.79513888888888884</v>
      </c>
      <c r="F81" s="8" t="str">
        <f>IF('[1]Game Input'!$D81&lt;&gt;"",'[1]Game Input'!$D81,"")</f>
        <v>Daylight</v>
      </c>
      <c r="G81" s="8" t="str">
        <f>IF('[1]Game Input'!$G81&lt;&gt;"",'[1]Game Input'!$G81,"")</f>
        <v>TC @ LIN</v>
      </c>
      <c r="H81" s="8" t="str">
        <f>IF('[1]Game Input'!$H81&lt;&gt;"",'[1]Game Input'!$H81,"")</f>
        <v>Vs. Conference</v>
      </c>
      <c r="I81" s="8" t="str">
        <f>IF('[1]Game Input'!$I81&lt;&gt;"",'[1]Game Input'!$I81,"")</f>
        <v>TRI-CITY</v>
      </c>
      <c r="J81" s="9">
        <f>IF('[1]Game Input'!$AC81&lt;&gt;"",'[1]Game Input'!$AC81,"")</f>
        <v>8</v>
      </c>
      <c r="K81" s="9">
        <f>IF('[1]Game Input'!$AD81&lt;&gt;"",'[1]Game Input'!$AD81,"")</f>
        <v>4</v>
      </c>
      <c r="L81" s="9">
        <f>IF('[1]Game Input'!$AJ81&lt;&gt;"",'[1]Game Input'!$AJ81,"")</f>
        <v>0</v>
      </c>
      <c r="M81" s="9">
        <f>IF('[1]Game Input'!$AK81&lt;&gt;"",'[1]Game Input'!$AK81,"")</f>
        <v>0</v>
      </c>
      <c r="N81" s="9">
        <f>IF('[1]Game Input'!$AN81&lt;&gt;"",'[1]Game Input'!$AN81,"")</f>
        <v>4</v>
      </c>
      <c r="O81" s="9">
        <f>IF('[1]Game Input'!$AO81&lt;&gt;"",'[1]Game Input'!$AO81,"")</f>
        <v>0</v>
      </c>
      <c r="P81" s="9">
        <f>IF('[1]Game Input'!$AP81&lt;&gt;"",'[1]Game Input'!$AP81,"")</f>
        <v>0</v>
      </c>
      <c r="Q81" s="9">
        <f>IF('[1]Game Input'!$AQ81&lt;&gt;"",'[1]Game Input'!$AQ81,"")</f>
        <v>0</v>
      </c>
      <c r="R81" s="9">
        <f>IF('[1]Game Input'!$AR81&lt;&gt;"",'[1]Game Input'!$AR81,"")</f>
        <v>0</v>
      </c>
      <c r="S81" s="9">
        <f>IF('[1]Game Input'!$AS81&lt;&gt;"",'[1]Game Input'!$AS81,"")</f>
        <v>0</v>
      </c>
      <c r="T81" s="10" t="str">
        <f>IF('[1]Game Input'!$BA81&lt;&gt;"",'[1]Game Input'!$BA81,"")</f>
        <v>LINCOLN</v>
      </c>
      <c r="U81" s="9">
        <f>IF('[1]Game Input'!$BU81&lt;&gt;"",'[1]Game Input'!$BU81,"")</f>
        <v>10</v>
      </c>
      <c r="V81" s="9">
        <f>IF('[1]Game Input'!$BV81&lt;&gt;"",'[1]Game Input'!$BV81,"")</f>
        <v>5</v>
      </c>
      <c r="W81" s="9">
        <f>IF('[1]Game Input'!$CB81&lt;&gt;"",'[1]Game Input'!$CB81,"")</f>
        <v>0</v>
      </c>
      <c r="X81" s="9">
        <f>IF('[1]Game Input'!$CC81&lt;&gt;"",'[1]Game Input'!$CC81,"")</f>
        <v>0</v>
      </c>
      <c r="Y81" s="9">
        <f>IF('[1]Game Input'!$CF81&lt;&gt;"",'[1]Game Input'!$CF81,"")</f>
        <v>5</v>
      </c>
      <c r="Z81" s="9">
        <f>IF('[1]Game Input'!$CG81&lt;&gt;"",'[1]Game Input'!$CG81,"")</f>
        <v>0</v>
      </c>
      <c r="AA81" s="9">
        <f>IF('[1]Game Input'!$CH81&lt;&gt;"",'[1]Game Input'!$CH81,"")</f>
        <v>0</v>
      </c>
      <c r="AB81" s="9">
        <f>IF('[1]Game Input'!$CI81&lt;&gt;"",'[1]Game Input'!$CI81,"")</f>
        <v>0</v>
      </c>
      <c r="AC81" s="9">
        <f>IF('[1]Game Input'!$CJ81&lt;&gt;"",'[1]Game Input'!$CJ81,"")</f>
        <v>0</v>
      </c>
      <c r="AD81" s="9">
        <f>IF('[1]Game Input'!$CK81&lt;&gt;"",'[1]Game Input'!$CK81,"")</f>
        <v>0</v>
      </c>
      <c r="AE81" s="8"/>
      <c r="AF81" s="8"/>
      <c r="AG81" s="8"/>
      <c r="AH81" s="8"/>
    </row>
    <row r="82" spans="1:34" x14ac:dyDescent="0.2">
      <c r="A82" s="6">
        <f>IF('[1]Game Input'!$A82&lt;&gt;"",'[1]Game Input'!$A82,"")</f>
        <v>43400</v>
      </c>
      <c r="B82" s="6" t="str">
        <f>IF(A82&gt;$B$1,VLOOKUP(MONTH($A82),DOTWMonth,2,FALSE),"")</f>
        <v>October</v>
      </c>
      <c r="C82" s="10" t="str">
        <f>IF(A82&gt;$B$1,VLOOKUP(WEEKDAY($A82),DOTWMonth,3,FALSE),"")</f>
        <v>Saturday</v>
      </c>
      <c r="D82" s="7">
        <f>IF('[1]Game Input'!$B82&lt;&gt;"",'[1]Game Input'!$B82,"")</f>
        <v>0.83680555555555547</v>
      </c>
      <c r="E82" s="7">
        <f>IF('[1]Game Input'!$C82&lt;&gt;"",'[1]Game Input'!$C82,"")</f>
        <v>0.79513888888888884</v>
      </c>
      <c r="F82" s="8" t="str">
        <f>IF('[1]Game Input'!$D82&lt;&gt;"",'[1]Game Input'!$D82,"")</f>
        <v>Daylight</v>
      </c>
      <c r="G82" s="8" t="str">
        <f>IF('[1]Game Input'!$G82&lt;&gt;"",'[1]Game Input'!$G82,"")</f>
        <v>DM @ OMA</v>
      </c>
      <c r="H82" s="8" t="str">
        <f>IF('[1]Game Input'!$H82&lt;&gt;"",'[1]Game Input'!$H82,"")</f>
        <v>Vs. Conference</v>
      </c>
      <c r="I82" s="8" t="str">
        <f>IF('[1]Game Input'!$I82&lt;&gt;"",'[1]Game Input'!$I82,"")</f>
        <v>DES MOINES</v>
      </c>
      <c r="J82" s="9">
        <f>IF('[1]Game Input'!$AC82&lt;&gt;"",'[1]Game Input'!$AC82,"")</f>
        <v>21</v>
      </c>
      <c r="K82" s="9">
        <f>IF('[1]Game Input'!$AD82&lt;&gt;"",'[1]Game Input'!$AD82,"")</f>
        <v>5</v>
      </c>
      <c r="L82" s="9">
        <f>IF('[1]Game Input'!$AJ82&lt;&gt;"",'[1]Game Input'!$AJ82,"")</f>
        <v>0</v>
      </c>
      <c r="M82" s="9">
        <f>IF('[1]Game Input'!$AK82&lt;&gt;"",'[1]Game Input'!$AK82,"")</f>
        <v>0</v>
      </c>
      <c r="N82" s="9">
        <f>IF('[1]Game Input'!$AN82&lt;&gt;"",'[1]Game Input'!$AN82,"")</f>
        <v>3</v>
      </c>
      <c r="O82" s="9">
        <f>IF('[1]Game Input'!$AO82&lt;&gt;"",'[1]Game Input'!$AO82,"")</f>
        <v>1</v>
      </c>
      <c r="P82" s="9">
        <f>IF('[1]Game Input'!$AP82&lt;&gt;"",'[1]Game Input'!$AP82,"")</f>
        <v>1</v>
      </c>
      <c r="Q82" s="9">
        <f>IF('[1]Game Input'!$AQ82&lt;&gt;"",'[1]Game Input'!$AQ82,"")</f>
        <v>0</v>
      </c>
      <c r="R82" s="9">
        <f>IF('[1]Game Input'!$AR82&lt;&gt;"",'[1]Game Input'!$AR82,"")</f>
        <v>0</v>
      </c>
      <c r="S82" s="9">
        <f>IF('[1]Game Input'!$AS82&lt;&gt;"",'[1]Game Input'!$AS82,"")</f>
        <v>0</v>
      </c>
      <c r="T82" s="10" t="str">
        <f>IF('[1]Game Input'!$BA82&lt;&gt;"",'[1]Game Input'!$BA82,"")</f>
        <v>OMAHA</v>
      </c>
      <c r="U82" s="9">
        <f>IF('[1]Game Input'!$BU82&lt;&gt;"",'[1]Game Input'!$BU82,"")</f>
        <v>21</v>
      </c>
      <c r="V82" s="9">
        <f>IF('[1]Game Input'!$BV82&lt;&gt;"",'[1]Game Input'!$BV82,"")</f>
        <v>5</v>
      </c>
      <c r="W82" s="9">
        <f>IF('[1]Game Input'!$CB82&lt;&gt;"",'[1]Game Input'!$CB82,"")</f>
        <v>0</v>
      </c>
      <c r="X82" s="9">
        <f>IF('[1]Game Input'!$CC82&lt;&gt;"",'[1]Game Input'!$CC82,"")</f>
        <v>0</v>
      </c>
      <c r="Y82" s="9">
        <f>IF('[1]Game Input'!$CF82&lt;&gt;"",'[1]Game Input'!$CF82,"")</f>
        <v>3</v>
      </c>
      <c r="Z82" s="9">
        <f>IF('[1]Game Input'!$CG82&lt;&gt;"",'[1]Game Input'!$CG82,"")</f>
        <v>1</v>
      </c>
      <c r="AA82" s="9">
        <f>IF('[1]Game Input'!$CH82&lt;&gt;"",'[1]Game Input'!$CH82,"")</f>
        <v>1</v>
      </c>
      <c r="AB82" s="9">
        <f>IF('[1]Game Input'!$CI82&lt;&gt;"",'[1]Game Input'!$CI82,"")</f>
        <v>0</v>
      </c>
      <c r="AC82" s="9">
        <f>IF('[1]Game Input'!$CJ82&lt;&gt;"",'[1]Game Input'!$CJ82,"")</f>
        <v>0</v>
      </c>
      <c r="AD82" s="9">
        <f>IF('[1]Game Input'!$CK82&lt;&gt;"",'[1]Game Input'!$CK82,"")</f>
        <v>0</v>
      </c>
      <c r="AE82" s="8" t="s">
        <v>95</v>
      </c>
      <c r="AF82" s="8"/>
      <c r="AG82" s="8" t="s">
        <v>124</v>
      </c>
      <c r="AH82" s="8" t="s">
        <v>114</v>
      </c>
    </row>
    <row r="83" spans="1:34" x14ac:dyDescent="0.2">
      <c r="A83" s="6">
        <f>IF('[1]Game Input'!$A83&lt;&gt;"",'[1]Game Input'!$A83,"")</f>
        <v>43400</v>
      </c>
      <c r="B83" s="6" t="str">
        <f>IF(A83&gt;$B$1,VLOOKUP(MONTH($A83),DOTWMonth,2,FALSE),"")</f>
        <v>October</v>
      </c>
      <c r="C83" s="10" t="str">
        <f>IF(A83&gt;$B$1,VLOOKUP(WEEKDAY($A83),DOTWMonth,3,FALSE),"")</f>
        <v>Saturday</v>
      </c>
      <c r="D83" s="7">
        <f>IF('[1]Game Input'!$B83&lt;&gt;"",'[1]Game Input'!$B83,"")</f>
        <v>0.83680555555555547</v>
      </c>
      <c r="E83" s="7">
        <f>IF('[1]Game Input'!$C83&lt;&gt;"",'[1]Game Input'!$C83,"")</f>
        <v>0.79513888888888884</v>
      </c>
      <c r="F83" s="8" t="str">
        <f>IF('[1]Game Input'!$D83&lt;&gt;"",'[1]Game Input'!$D83,"")</f>
        <v>Daylight</v>
      </c>
      <c r="G83" s="8" t="str">
        <f>IF('[1]Game Input'!$G83&lt;&gt;"",'[1]Game Input'!$G83,"")</f>
        <v>SF @ SC</v>
      </c>
      <c r="H83" s="8" t="str">
        <f>IF('[1]Game Input'!$H83&lt;&gt;"",'[1]Game Input'!$H83,"")</f>
        <v>Vs. Conference</v>
      </c>
      <c r="I83" s="8" t="str">
        <f>IF('[1]Game Input'!$I83&lt;&gt;"",'[1]Game Input'!$I83,"")</f>
        <v>SIOUX FALLS</v>
      </c>
      <c r="J83" s="9">
        <f>IF('[1]Game Input'!$AC83&lt;&gt;"",'[1]Game Input'!$AC83,"")</f>
        <v>6</v>
      </c>
      <c r="K83" s="9">
        <f>IF('[1]Game Input'!$AD83&lt;&gt;"",'[1]Game Input'!$AD83,"")</f>
        <v>3</v>
      </c>
      <c r="L83" s="9">
        <f>IF('[1]Game Input'!$AJ83&lt;&gt;"",'[1]Game Input'!$AJ83,"")</f>
        <v>0</v>
      </c>
      <c r="M83" s="9">
        <f>IF('[1]Game Input'!$AK83&lt;&gt;"",'[1]Game Input'!$AK83,"")</f>
        <v>0</v>
      </c>
      <c r="N83" s="9">
        <f>IF('[1]Game Input'!$AN83&lt;&gt;"",'[1]Game Input'!$AN83,"")</f>
        <v>3</v>
      </c>
      <c r="O83" s="9">
        <f>IF('[1]Game Input'!$AO83&lt;&gt;"",'[1]Game Input'!$AO83,"")</f>
        <v>0</v>
      </c>
      <c r="P83" s="9">
        <f>IF('[1]Game Input'!$AP83&lt;&gt;"",'[1]Game Input'!$AP83,"")</f>
        <v>0</v>
      </c>
      <c r="Q83" s="9">
        <f>IF('[1]Game Input'!$AQ83&lt;&gt;"",'[1]Game Input'!$AQ83,"")</f>
        <v>0</v>
      </c>
      <c r="R83" s="9">
        <f>IF('[1]Game Input'!$AR83&lt;&gt;"",'[1]Game Input'!$AR83,"")</f>
        <v>0</v>
      </c>
      <c r="S83" s="9">
        <f>IF('[1]Game Input'!$AS83&lt;&gt;"",'[1]Game Input'!$AS83,"")</f>
        <v>0</v>
      </c>
      <c r="T83" s="10" t="str">
        <f>IF('[1]Game Input'!$BA83&lt;&gt;"",'[1]Game Input'!$BA83,"")</f>
        <v>SIOUX CITY</v>
      </c>
      <c r="U83" s="9">
        <f>IF('[1]Game Input'!$BU83&lt;&gt;"",'[1]Game Input'!$BU83,"")</f>
        <v>8</v>
      </c>
      <c r="V83" s="9">
        <f>IF('[1]Game Input'!$BV83&lt;&gt;"",'[1]Game Input'!$BV83,"")</f>
        <v>4</v>
      </c>
      <c r="W83" s="9">
        <f>IF('[1]Game Input'!$CB83&lt;&gt;"",'[1]Game Input'!$CB83,"")</f>
        <v>0</v>
      </c>
      <c r="X83" s="9">
        <f>IF('[1]Game Input'!$CC83&lt;&gt;"",'[1]Game Input'!$CC83,"")</f>
        <v>0</v>
      </c>
      <c r="Y83" s="9">
        <f>IF('[1]Game Input'!$CF83&lt;&gt;"",'[1]Game Input'!$CF83,"")</f>
        <v>4</v>
      </c>
      <c r="Z83" s="9">
        <f>IF('[1]Game Input'!$CG83&lt;&gt;"",'[1]Game Input'!$CG83,"")</f>
        <v>0</v>
      </c>
      <c r="AA83" s="9">
        <f>IF('[1]Game Input'!$CH83&lt;&gt;"",'[1]Game Input'!$CH83,"")</f>
        <v>0</v>
      </c>
      <c r="AB83" s="9">
        <f>IF('[1]Game Input'!$CI83&lt;&gt;"",'[1]Game Input'!$CI83,"")</f>
        <v>0</v>
      </c>
      <c r="AC83" s="9">
        <f>IF('[1]Game Input'!$CJ83&lt;&gt;"",'[1]Game Input'!$CJ83,"")</f>
        <v>0</v>
      </c>
      <c r="AD83" s="9">
        <f>IF('[1]Game Input'!$CK83&lt;&gt;"",'[1]Game Input'!$CK83,"")</f>
        <v>0</v>
      </c>
      <c r="AE83" s="8"/>
      <c r="AF83" s="8"/>
      <c r="AG83" s="8"/>
      <c r="AH83" s="8"/>
    </row>
    <row r="84" spans="1:34" x14ac:dyDescent="0.2">
      <c r="A84" s="6">
        <f>IF('[1]Game Input'!$A84&lt;&gt;"",'[1]Game Input'!$A84,"")</f>
        <v>43400</v>
      </c>
      <c r="B84" s="6" t="str">
        <f>IF(A84&gt;$B$1,VLOOKUP(MONTH($A84),DOTWMonth,2,FALSE),"")</f>
        <v>October</v>
      </c>
      <c r="C84" s="10" t="str">
        <f>IF(A84&gt;$B$1,VLOOKUP(WEEKDAY($A84),DOTWMonth,3,FALSE),"")</f>
        <v>Saturday</v>
      </c>
      <c r="D84" s="7">
        <f>IF('[1]Game Input'!$B84&lt;&gt;"",'[1]Game Input'!$B84,"")</f>
        <v>0.83680555555555547</v>
      </c>
      <c r="E84" s="7">
        <f>IF('[1]Game Input'!$C84&lt;&gt;"",'[1]Game Input'!$C84,"")</f>
        <v>0.79513888888888884</v>
      </c>
      <c r="F84" s="8" t="str">
        <f>IF('[1]Game Input'!$D84&lt;&gt;"",'[1]Game Input'!$D84,"")</f>
        <v>Daylight</v>
      </c>
      <c r="G84" s="8" t="str">
        <f>IF('[1]Game Input'!$G84&lt;&gt;"",'[1]Game Input'!$G84,"")</f>
        <v>FGO @ WAT</v>
      </c>
      <c r="H84" s="8" t="str">
        <f>IF('[1]Game Input'!$H84&lt;&gt;"",'[1]Game Input'!$H84,"")</f>
        <v>Vs. Conference</v>
      </c>
      <c r="I84" s="8" t="str">
        <f>IF('[1]Game Input'!$I84&lt;&gt;"",'[1]Game Input'!$I84,"")</f>
        <v>FARGO</v>
      </c>
      <c r="J84" s="9">
        <f>IF('[1]Game Input'!$AC84&lt;&gt;"",'[1]Game Input'!$AC84,"")</f>
        <v>4</v>
      </c>
      <c r="K84" s="9">
        <f>IF('[1]Game Input'!$AD84&lt;&gt;"",'[1]Game Input'!$AD84,"")</f>
        <v>2</v>
      </c>
      <c r="L84" s="9">
        <f>IF('[1]Game Input'!$AJ84&lt;&gt;"",'[1]Game Input'!$AJ84,"")</f>
        <v>0</v>
      </c>
      <c r="M84" s="9">
        <f>IF('[1]Game Input'!$AK84&lt;&gt;"",'[1]Game Input'!$AK84,"")</f>
        <v>0</v>
      </c>
      <c r="N84" s="9">
        <f>IF('[1]Game Input'!$AN84&lt;&gt;"",'[1]Game Input'!$AN84,"")</f>
        <v>2</v>
      </c>
      <c r="O84" s="9">
        <f>IF('[1]Game Input'!$AO84&lt;&gt;"",'[1]Game Input'!$AO84,"")</f>
        <v>0</v>
      </c>
      <c r="P84" s="9">
        <f>IF('[1]Game Input'!$AP84&lt;&gt;"",'[1]Game Input'!$AP84,"")</f>
        <v>0</v>
      </c>
      <c r="Q84" s="9">
        <f>IF('[1]Game Input'!$AQ84&lt;&gt;"",'[1]Game Input'!$AQ84,"")</f>
        <v>0</v>
      </c>
      <c r="R84" s="9">
        <f>IF('[1]Game Input'!$AR84&lt;&gt;"",'[1]Game Input'!$AR84,"")</f>
        <v>0</v>
      </c>
      <c r="S84" s="9">
        <f>IF('[1]Game Input'!$AS84&lt;&gt;"",'[1]Game Input'!$AS84,"")</f>
        <v>0</v>
      </c>
      <c r="T84" s="10" t="str">
        <f>IF('[1]Game Input'!$BA84&lt;&gt;"",'[1]Game Input'!$BA84,"")</f>
        <v>WATERLOO</v>
      </c>
      <c r="U84" s="9">
        <f>IF('[1]Game Input'!$BU84&lt;&gt;"",'[1]Game Input'!$BU84,"")</f>
        <v>4</v>
      </c>
      <c r="V84" s="9">
        <f>IF('[1]Game Input'!$BV84&lt;&gt;"",'[1]Game Input'!$BV84,"")</f>
        <v>2</v>
      </c>
      <c r="W84" s="9">
        <f>IF('[1]Game Input'!$CB84&lt;&gt;"",'[1]Game Input'!$CB84,"")</f>
        <v>0</v>
      </c>
      <c r="X84" s="9">
        <f>IF('[1]Game Input'!$CC84&lt;&gt;"",'[1]Game Input'!$CC84,"")</f>
        <v>0</v>
      </c>
      <c r="Y84" s="9">
        <f>IF('[1]Game Input'!$CF84&lt;&gt;"",'[1]Game Input'!$CF84,"")</f>
        <v>2</v>
      </c>
      <c r="Z84" s="9">
        <f>IF('[1]Game Input'!$CG84&lt;&gt;"",'[1]Game Input'!$CG84,"")</f>
        <v>0</v>
      </c>
      <c r="AA84" s="9">
        <f>IF('[1]Game Input'!$CH84&lt;&gt;"",'[1]Game Input'!$CH84,"")</f>
        <v>0</v>
      </c>
      <c r="AB84" s="9">
        <f>IF('[1]Game Input'!$CI84&lt;&gt;"",'[1]Game Input'!$CI84,"")</f>
        <v>0</v>
      </c>
      <c r="AC84" s="9">
        <f>IF('[1]Game Input'!$CJ84&lt;&gt;"",'[1]Game Input'!$CJ84,"")</f>
        <v>0</v>
      </c>
      <c r="AD84" s="9">
        <f>IF('[1]Game Input'!$CK84&lt;&gt;"",'[1]Game Input'!$CK84,"")</f>
        <v>0</v>
      </c>
      <c r="AE84" s="8"/>
      <c r="AF84" s="8"/>
      <c r="AG84" s="8"/>
      <c r="AH84" s="8"/>
    </row>
    <row r="85" spans="1:34" x14ac:dyDescent="0.2">
      <c r="A85" s="6">
        <f>IF('[1]Game Input'!$A85&lt;&gt;"",'[1]Game Input'!$A85,"")</f>
        <v>43400</v>
      </c>
      <c r="B85" s="6" t="str">
        <f>IF(A85&gt;$B$1,VLOOKUP(MONTH($A85),DOTWMonth,2,FALSE),"")</f>
        <v>October</v>
      </c>
      <c r="C85" s="10" t="str">
        <f>IF(A85&gt;$B$1,VLOOKUP(WEEKDAY($A85),DOTWMonth,3,FALSE),"")</f>
        <v>Saturday</v>
      </c>
      <c r="D85" s="7">
        <f>IF('[1]Game Input'!$B85&lt;&gt;"",'[1]Game Input'!$B85,"")</f>
        <v>0.83819444444444446</v>
      </c>
      <c r="E85" s="7">
        <f>IF('[1]Game Input'!$C85&lt;&gt;"",'[1]Game Input'!$C85,"")</f>
        <v>0.79652777777777783</v>
      </c>
      <c r="F85" s="8" t="str">
        <f>IF('[1]Game Input'!$D85&lt;&gt;"",'[1]Game Input'!$D85,"")</f>
        <v>Daylight</v>
      </c>
      <c r="G85" s="8" t="str">
        <f>IF('[1]Game Input'!$G85&lt;&gt;"",'[1]Game Input'!$G85,"")</f>
        <v>GB @ CIL</v>
      </c>
      <c r="H85" s="8" t="str">
        <f>IF('[1]Game Input'!$H85&lt;&gt;"",'[1]Game Input'!$H85,"")</f>
        <v>Vs. Conference</v>
      </c>
      <c r="I85" s="8" t="str">
        <f>IF('[1]Game Input'!$I85&lt;&gt;"",'[1]Game Input'!$I85,"")</f>
        <v>GREEN BAY</v>
      </c>
      <c r="J85" s="9">
        <f>IF('[1]Game Input'!$AC85&lt;&gt;"",'[1]Game Input'!$AC85,"")</f>
        <v>21</v>
      </c>
      <c r="K85" s="9">
        <f>IF('[1]Game Input'!$AD85&lt;&gt;"",'[1]Game Input'!$AD85,"")</f>
        <v>5</v>
      </c>
      <c r="L85" s="9">
        <f>IF('[1]Game Input'!$AJ85&lt;&gt;"",'[1]Game Input'!$AJ85,"")</f>
        <v>0</v>
      </c>
      <c r="M85" s="9">
        <f>IF('[1]Game Input'!$AK85&lt;&gt;"",'[1]Game Input'!$AK85,"")</f>
        <v>0</v>
      </c>
      <c r="N85" s="9">
        <f>IF('[1]Game Input'!$AN85&lt;&gt;"",'[1]Game Input'!$AN85,"")</f>
        <v>3</v>
      </c>
      <c r="O85" s="9">
        <f>IF('[1]Game Input'!$AO85&lt;&gt;"",'[1]Game Input'!$AO85,"")</f>
        <v>1</v>
      </c>
      <c r="P85" s="9">
        <f>IF('[1]Game Input'!$AP85&lt;&gt;"",'[1]Game Input'!$AP85,"")</f>
        <v>1</v>
      </c>
      <c r="Q85" s="9">
        <f>IF('[1]Game Input'!$AQ85&lt;&gt;"",'[1]Game Input'!$AQ85,"")</f>
        <v>0</v>
      </c>
      <c r="R85" s="9">
        <f>IF('[1]Game Input'!$AR85&lt;&gt;"",'[1]Game Input'!$AR85,"")</f>
        <v>0</v>
      </c>
      <c r="S85" s="9">
        <f>IF('[1]Game Input'!$AS85&lt;&gt;"",'[1]Game Input'!$AS85,"")</f>
        <v>0</v>
      </c>
      <c r="T85" s="10" t="str">
        <f>IF('[1]Game Input'!$BA85&lt;&gt;"",'[1]Game Input'!$BA85,"")</f>
        <v>CENTRAL ILLINOIS</v>
      </c>
      <c r="U85" s="9">
        <f>IF('[1]Game Input'!$BU85&lt;&gt;"",'[1]Game Input'!$BU85,"")</f>
        <v>21</v>
      </c>
      <c r="V85" s="9">
        <f>IF('[1]Game Input'!$BV85&lt;&gt;"",'[1]Game Input'!$BV85,"")</f>
        <v>5</v>
      </c>
      <c r="W85" s="9">
        <f>IF('[1]Game Input'!$CB85&lt;&gt;"",'[1]Game Input'!$CB85,"")</f>
        <v>0</v>
      </c>
      <c r="X85" s="9">
        <f>IF('[1]Game Input'!$CC85&lt;&gt;"",'[1]Game Input'!$CC85,"")</f>
        <v>0</v>
      </c>
      <c r="Y85" s="9">
        <f>IF('[1]Game Input'!$CF85&lt;&gt;"",'[1]Game Input'!$CF85,"")</f>
        <v>3</v>
      </c>
      <c r="Z85" s="9">
        <f>IF('[1]Game Input'!$CG85&lt;&gt;"",'[1]Game Input'!$CG85,"")</f>
        <v>1</v>
      </c>
      <c r="AA85" s="9">
        <f>IF('[1]Game Input'!$CH85&lt;&gt;"",'[1]Game Input'!$CH85,"")</f>
        <v>1</v>
      </c>
      <c r="AB85" s="9">
        <f>IF('[1]Game Input'!$CI85&lt;&gt;"",'[1]Game Input'!$CI85,"")</f>
        <v>0</v>
      </c>
      <c r="AC85" s="9">
        <f>IF('[1]Game Input'!$CJ85&lt;&gt;"",'[1]Game Input'!$CJ85,"")</f>
        <v>0</v>
      </c>
      <c r="AD85" s="9">
        <f>IF('[1]Game Input'!$CK85&lt;&gt;"",'[1]Game Input'!$CK85,"")</f>
        <v>0</v>
      </c>
      <c r="AE85" s="8" t="s">
        <v>98</v>
      </c>
      <c r="AF85" s="8"/>
      <c r="AG85" s="8" t="s">
        <v>141</v>
      </c>
      <c r="AH85" s="8" t="s">
        <v>120</v>
      </c>
    </row>
    <row r="86" spans="1:34" x14ac:dyDescent="0.2">
      <c r="A86" s="6">
        <f>IF('[1]Game Input'!$A86&lt;&gt;"",'[1]Game Input'!$A86,"")</f>
        <v>43401</v>
      </c>
      <c r="B86" s="6" t="str">
        <f>IF(A86&gt;$B$1,VLOOKUP(MONTH($A86),DOTWMonth,2,FALSE),"")</f>
        <v>October</v>
      </c>
      <c r="C86" s="10" t="str">
        <f>IF(A86&gt;$B$1,VLOOKUP(WEEKDAY($A86),DOTWMonth,3,FALSE),"")</f>
        <v>Sunday</v>
      </c>
      <c r="D86" s="7">
        <f>IF('[1]Game Input'!$B86&lt;&gt;"",'[1]Game Input'!$B86,"")</f>
        <v>0.58333333333333337</v>
      </c>
      <c r="E86" s="7">
        <f>IF('[1]Game Input'!$C86&lt;&gt;"",'[1]Game Input'!$C86,"")</f>
        <v>0.54166666666666674</v>
      </c>
      <c r="F86" s="8" t="str">
        <f>IF('[1]Game Input'!$D86&lt;&gt;"",'[1]Game Input'!$D86,"")</f>
        <v>Daylight</v>
      </c>
      <c r="G86" s="8" t="str">
        <f>IF('[1]Game Input'!$G86&lt;&gt;"",'[1]Game Input'!$G86,"")</f>
        <v>DUB @ USA</v>
      </c>
      <c r="H86" s="8" t="str">
        <f>IF('[1]Game Input'!$H86&lt;&gt;"",'[1]Game Input'!$H86,"")</f>
        <v>Vs. Conference</v>
      </c>
      <c r="I86" s="8" t="str">
        <f>IF('[1]Game Input'!$I86&lt;&gt;"",'[1]Game Input'!$I86,"")</f>
        <v>DUBUQUE</v>
      </c>
      <c r="J86" s="9">
        <f>IF('[1]Game Input'!$AC86&lt;&gt;"",'[1]Game Input'!$AC86,"")</f>
        <v>10</v>
      </c>
      <c r="K86" s="9">
        <f>IF('[1]Game Input'!$AD86&lt;&gt;"",'[1]Game Input'!$AD86,"")</f>
        <v>5</v>
      </c>
      <c r="L86" s="9">
        <f>IF('[1]Game Input'!$AJ86&lt;&gt;"",'[1]Game Input'!$AJ86,"")</f>
        <v>0</v>
      </c>
      <c r="M86" s="9">
        <f>IF('[1]Game Input'!$AK86&lt;&gt;"",'[1]Game Input'!$AK86,"")</f>
        <v>0</v>
      </c>
      <c r="N86" s="9">
        <f>IF('[1]Game Input'!$AN86&lt;&gt;"",'[1]Game Input'!$AN86,"")</f>
        <v>5</v>
      </c>
      <c r="O86" s="9">
        <f>IF('[1]Game Input'!$AO86&lt;&gt;"",'[1]Game Input'!$AO86,"")</f>
        <v>0</v>
      </c>
      <c r="P86" s="9">
        <f>IF('[1]Game Input'!$AP86&lt;&gt;"",'[1]Game Input'!$AP86,"")</f>
        <v>0</v>
      </c>
      <c r="Q86" s="9">
        <f>IF('[1]Game Input'!$AQ86&lt;&gt;"",'[1]Game Input'!$AQ86,"")</f>
        <v>0</v>
      </c>
      <c r="R86" s="9">
        <f>IF('[1]Game Input'!$AR86&lt;&gt;"",'[1]Game Input'!$AR86,"")</f>
        <v>0</v>
      </c>
      <c r="S86" s="9">
        <f>IF('[1]Game Input'!$AS86&lt;&gt;"",'[1]Game Input'!$AS86,"")</f>
        <v>0</v>
      </c>
      <c r="T86" s="10" t="str">
        <f>IF('[1]Game Input'!$BA86&lt;&gt;"",'[1]Game Input'!$BA86,"")</f>
        <v>TEAM USA</v>
      </c>
      <c r="U86" s="9">
        <f>IF('[1]Game Input'!$BU86&lt;&gt;"",'[1]Game Input'!$BU86,"")</f>
        <v>8</v>
      </c>
      <c r="V86" s="9">
        <f>IF('[1]Game Input'!$BV86&lt;&gt;"",'[1]Game Input'!$BV86,"")</f>
        <v>4</v>
      </c>
      <c r="W86" s="9">
        <f>IF('[1]Game Input'!$CB86&lt;&gt;"",'[1]Game Input'!$CB86,"")</f>
        <v>0</v>
      </c>
      <c r="X86" s="9">
        <f>IF('[1]Game Input'!$CC86&lt;&gt;"",'[1]Game Input'!$CC86,"")</f>
        <v>0</v>
      </c>
      <c r="Y86" s="9">
        <f>IF('[1]Game Input'!$CF86&lt;&gt;"",'[1]Game Input'!$CF86,"")</f>
        <v>4</v>
      </c>
      <c r="Z86" s="9">
        <f>IF('[1]Game Input'!$CG86&lt;&gt;"",'[1]Game Input'!$CG86,"")</f>
        <v>0</v>
      </c>
      <c r="AA86" s="9">
        <f>IF('[1]Game Input'!$CH86&lt;&gt;"",'[1]Game Input'!$CH86,"")</f>
        <v>0</v>
      </c>
      <c r="AB86" s="9">
        <f>IF('[1]Game Input'!$CI86&lt;&gt;"",'[1]Game Input'!$CI86,"")</f>
        <v>0</v>
      </c>
      <c r="AC86" s="9">
        <f>IF('[1]Game Input'!$CJ86&lt;&gt;"",'[1]Game Input'!$CJ86,"")</f>
        <v>0</v>
      </c>
      <c r="AD86" s="9">
        <f>IF('[1]Game Input'!$CK86&lt;&gt;"",'[1]Game Input'!$CK86,"")</f>
        <v>0</v>
      </c>
      <c r="AE86" s="8"/>
      <c r="AF86" s="8"/>
      <c r="AG86" s="8"/>
      <c r="AH86" s="8"/>
    </row>
    <row r="87" spans="1:34" x14ac:dyDescent="0.2">
      <c r="A87" s="6">
        <f>IF('[1]Game Input'!$A87&lt;&gt;"",'[1]Game Input'!$A87,"")</f>
        <v>43403</v>
      </c>
      <c r="B87" s="6" t="str">
        <f>IF(A87&gt;$B$1,VLOOKUP(MONTH($A87),DOTWMonth,2,FALSE),"")</f>
        <v>October</v>
      </c>
      <c r="C87" s="10" t="str">
        <f>IF(A87&gt;$B$1,VLOOKUP(WEEKDAY($A87),DOTWMonth,3,FALSE),"")</f>
        <v>Tuesday</v>
      </c>
      <c r="D87" s="7">
        <f>IF('[1]Game Input'!$B87&lt;&gt;"",'[1]Game Input'!$B87,"")</f>
        <v>0.8159722222222221</v>
      </c>
      <c r="E87" s="7">
        <f>IF('[1]Game Input'!$C87&lt;&gt;"",'[1]Game Input'!$C87,"")</f>
        <v>0.77430555555555547</v>
      </c>
      <c r="F87" s="8" t="str">
        <f>IF('[1]Game Input'!$D87&lt;&gt;"",'[1]Game Input'!$D87,"")</f>
        <v>Daylight</v>
      </c>
      <c r="G87" s="8" t="str">
        <f>IF('[1]Game Input'!$G87&lt;&gt;"",'[1]Game Input'!$G87,"")</f>
        <v>WAT @ SC</v>
      </c>
      <c r="H87" s="8" t="str">
        <f>IF('[1]Game Input'!$H87&lt;&gt;"",'[1]Game Input'!$H87,"")</f>
        <v>Vs. Conference</v>
      </c>
      <c r="I87" s="8" t="str">
        <f>IF('[1]Game Input'!$I87&lt;&gt;"",'[1]Game Input'!$I87,"")</f>
        <v>WATERLOO</v>
      </c>
      <c r="J87" s="9">
        <f>IF('[1]Game Input'!$AC87&lt;&gt;"",'[1]Game Input'!$AC87,"")</f>
        <v>27</v>
      </c>
      <c r="K87" s="9">
        <f>IF('[1]Game Input'!$AD87&lt;&gt;"",'[1]Game Input'!$AD87,"")</f>
        <v>8</v>
      </c>
      <c r="L87" s="9">
        <f>IF('[1]Game Input'!$AJ87&lt;&gt;"",'[1]Game Input'!$AJ87,"")</f>
        <v>0</v>
      </c>
      <c r="M87" s="9">
        <f>IF('[1]Game Input'!$AK87&lt;&gt;"",'[1]Game Input'!$AK87,"")</f>
        <v>0</v>
      </c>
      <c r="N87" s="9">
        <f>IF('[1]Game Input'!$AN87&lt;&gt;"",'[1]Game Input'!$AN87,"")</f>
        <v>6</v>
      </c>
      <c r="O87" s="9">
        <f>IF('[1]Game Input'!$AO87&lt;&gt;"",'[1]Game Input'!$AO87,"")</f>
        <v>1</v>
      </c>
      <c r="P87" s="9">
        <f>IF('[1]Game Input'!$AP87&lt;&gt;"",'[1]Game Input'!$AP87,"")</f>
        <v>1</v>
      </c>
      <c r="Q87" s="9">
        <f>IF('[1]Game Input'!$AQ87&lt;&gt;"",'[1]Game Input'!$AQ87,"")</f>
        <v>0</v>
      </c>
      <c r="R87" s="9">
        <f>IF('[1]Game Input'!$AR87&lt;&gt;"",'[1]Game Input'!$AR87,"")</f>
        <v>0</v>
      </c>
      <c r="S87" s="9">
        <f>IF('[1]Game Input'!$AS87&lt;&gt;"",'[1]Game Input'!$AS87,"")</f>
        <v>0</v>
      </c>
      <c r="T87" s="10" t="str">
        <f>IF('[1]Game Input'!$BA87&lt;&gt;"",'[1]Game Input'!$BA87,"")</f>
        <v>SIOUX CITY</v>
      </c>
      <c r="U87" s="9">
        <f>IF('[1]Game Input'!$BU87&lt;&gt;"",'[1]Game Input'!$BU87,"")</f>
        <v>27</v>
      </c>
      <c r="V87" s="9">
        <f>IF('[1]Game Input'!$BV87&lt;&gt;"",'[1]Game Input'!$BV87,"")</f>
        <v>8</v>
      </c>
      <c r="W87" s="9">
        <f>IF('[1]Game Input'!$CB87&lt;&gt;"",'[1]Game Input'!$CB87,"")</f>
        <v>0</v>
      </c>
      <c r="X87" s="9">
        <f>IF('[1]Game Input'!$CC87&lt;&gt;"",'[1]Game Input'!$CC87,"")</f>
        <v>0</v>
      </c>
      <c r="Y87" s="9">
        <f>IF('[1]Game Input'!$CF87&lt;&gt;"",'[1]Game Input'!$CF87,"")</f>
        <v>6</v>
      </c>
      <c r="Z87" s="9">
        <f>IF('[1]Game Input'!$CG87&lt;&gt;"",'[1]Game Input'!$CG87,"")</f>
        <v>1</v>
      </c>
      <c r="AA87" s="9">
        <f>IF('[1]Game Input'!$CH87&lt;&gt;"",'[1]Game Input'!$CH87,"")</f>
        <v>1</v>
      </c>
      <c r="AB87" s="9">
        <f>IF('[1]Game Input'!$CI87&lt;&gt;"",'[1]Game Input'!$CI87,"")</f>
        <v>0</v>
      </c>
      <c r="AC87" s="9">
        <f>IF('[1]Game Input'!$CJ87&lt;&gt;"",'[1]Game Input'!$CJ87,"")</f>
        <v>0</v>
      </c>
      <c r="AD87" s="9">
        <f>IF('[1]Game Input'!$CK87&lt;&gt;"",'[1]Game Input'!$CK87,"")</f>
        <v>0</v>
      </c>
      <c r="AE87" s="8"/>
      <c r="AF87" s="8"/>
      <c r="AG87" s="8"/>
      <c r="AH87" s="8"/>
    </row>
    <row r="88" spans="1:34" x14ac:dyDescent="0.2">
      <c r="A88" s="6">
        <f>IF('[1]Game Input'!$A88&lt;&gt;"",'[1]Game Input'!$A88,"")</f>
        <v>43405</v>
      </c>
      <c r="B88" s="6" t="str">
        <f>IF(A88&gt;$B$1,VLOOKUP(MONTH($A88),DOTWMonth,2,FALSE),"")</f>
        <v>November</v>
      </c>
      <c r="C88" s="10" t="str">
        <f>IF(A88&gt;$B$1,VLOOKUP(WEEKDAY($A88),DOTWMonth,3,FALSE),"")</f>
        <v>Thursday</v>
      </c>
      <c r="D88" s="7">
        <f>IF('[1]Game Input'!$B88&lt;&gt;"",'[1]Game Input'!$B88,"")</f>
        <v>0.4375</v>
      </c>
      <c r="E88" s="7">
        <f>IF('[1]Game Input'!$C88&lt;&gt;"",'[1]Game Input'!$C88,"")</f>
        <v>0.39583333333333337</v>
      </c>
      <c r="F88" s="8" t="str">
        <f>IF('[1]Game Input'!$D88&lt;&gt;"",'[1]Game Input'!$D88,"")</f>
        <v>Daylight</v>
      </c>
      <c r="G88" s="8" t="str">
        <f>IF('[1]Game Input'!$G88&lt;&gt;"",'[1]Game Input'!$G88,"")</f>
        <v>USA @ MUS</v>
      </c>
      <c r="H88" s="8" t="str">
        <f>IF('[1]Game Input'!$H88&lt;&gt;"",'[1]Game Input'!$H88,"")</f>
        <v>Vs. Conference</v>
      </c>
      <c r="I88" s="8" t="str">
        <f>IF('[1]Game Input'!$I88&lt;&gt;"",'[1]Game Input'!$I88,"")</f>
        <v>TEAM USA</v>
      </c>
      <c r="J88" s="9">
        <f>IF('[1]Game Input'!$AC88&lt;&gt;"",'[1]Game Input'!$AC88,"")</f>
        <v>12</v>
      </c>
      <c r="K88" s="9">
        <f>IF('[1]Game Input'!$AD88&lt;&gt;"",'[1]Game Input'!$AD88,"")</f>
        <v>6</v>
      </c>
      <c r="L88" s="9">
        <f>IF('[1]Game Input'!$AJ88&lt;&gt;"",'[1]Game Input'!$AJ88,"")</f>
        <v>0</v>
      </c>
      <c r="M88" s="9">
        <f>IF('[1]Game Input'!$AK88&lt;&gt;"",'[1]Game Input'!$AK88,"")</f>
        <v>0</v>
      </c>
      <c r="N88" s="9">
        <f>IF('[1]Game Input'!$AN88&lt;&gt;"",'[1]Game Input'!$AN88,"")</f>
        <v>6</v>
      </c>
      <c r="O88" s="9">
        <f>IF('[1]Game Input'!$AO88&lt;&gt;"",'[1]Game Input'!$AO88,"")</f>
        <v>0</v>
      </c>
      <c r="P88" s="9">
        <f>IF('[1]Game Input'!$AP88&lt;&gt;"",'[1]Game Input'!$AP88,"")</f>
        <v>0</v>
      </c>
      <c r="Q88" s="9">
        <f>IF('[1]Game Input'!$AQ88&lt;&gt;"",'[1]Game Input'!$AQ88,"")</f>
        <v>0</v>
      </c>
      <c r="R88" s="9">
        <f>IF('[1]Game Input'!$AR88&lt;&gt;"",'[1]Game Input'!$AR88,"")</f>
        <v>0</v>
      </c>
      <c r="S88" s="9">
        <f>IF('[1]Game Input'!$AS88&lt;&gt;"",'[1]Game Input'!$AS88,"")</f>
        <v>0</v>
      </c>
      <c r="T88" s="10" t="str">
        <f>IF('[1]Game Input'!$BA88&lt;&gt;"",'[1]Game Input'!$BA88,"")</f>
        <v>MUSKEGON</v>
      </c>
      <c r="U88" s="9">
        <f>IF('[1]Game Input'!$BU88&lt;&gt;"",'[1]Game Input'!$BU88,"")</f>
        <v>16</v>
      </c>
      <c r="V88" s="9">
        <f>IF('[1]Game Input'!$BV88&lt;&gt;"",'[1]Game Input'!$BV88,"")</f>
        <v>8</v>
      </c>
      <c r="W88" s="9">
        <f>IF('[1]Game Input'!$CB88&lt;&gt;"",'[1]Game Input'!$CB88,"")</f>
        <v>0</v>
      </c>
      <c r="X88" s="9">
        <f>IF('[1]Game Input'!$CC88&lt;&gt;"",'[1]Game Input'!$CC88,"")</f>
        <v>0</v>
      </c>
      <c r="Y88" s="9">
        <f>IF('[1]Game Input'!$CF88&lt;&gt;"",'[1]Game Input'!$CF88,"")</f>
        <v>8</v>
      </c>
      <c r="Z88" s="9">
        <f>IF('[1]Game Input'!$CG88&lt;&gt;"",'[1]Game Input'!$CG88,"")</f>
        <v>0</v>
      </c>
      <c r="AA88" s="9">
        <f>IF('[1]Game Input'!$CH88&lt;&gt;"",'[1]Game Input'!$CH88,"")</f>
        <v>0</v>
      </c>
      <c r="AB88" s="9">
        <f>IF('[1]Game Input'!$CI88&lt;&gt;"",'[1]Game Input'!$CI88,"")</f>
        <v>0</v>
      </c>
      <c r="AC88" s="9">
        <f>IF('[1]Game Input'!$CJ88&lt;&gt;"",'[1]Game Input'!$CJ88,"")</f>
        <v>0</v>
      </c>
      <c r="AD88" s="9">
        <f>IF('[1]Game Input'!$CK88&lt;&gt;"",'[1]Game Input'!$CK88,"")</f>
        <v>0</v>
      </c>
      <c r="AE88" s="8"/>
      <c r="AF88" s="8"/>
      <c r="AG88" s="8"/>
      <c r="AH88" s="8"/>
    </row>
    <row r="89" spans="1:34" x14ac:dyDescent="0.2">
      <c r="A89" s="6">
        <f>IF('[1]Game Input'!$A89&lt;&gt;"",'[1]Game Input'!$A89,"")</f>
        <v>43406</v>
      </c>
      <c r="B89" s="6" t="str">
        <f>IF(A89&gt;$B$1,VLOOKUP(MONTH($A89),DOTWMonth,2,FALSE),"")</f>
        <v>November</v>
      </c>
      <c r="C89" s="10" t="str">
        <f>IF(A89&gt;$B$1,VLOOKUP(WEEKDAY($A89),DOTWMonth,3,FALSE),"")</f>
        <v>Friday</v>
      </c>
      <c r="D89" s="7">
        <f>IF('[1]Game Input'!$B89&lt;&gt;"",'[1]Game Input'!$B89,"")</f>
        <v>0.79513888888888884</v>
      </c>
      <c r="E89" s="7">
        <f>IF('[1]Game Input'!$C89&lt;&gt;"",'[1]Game Input'!$C89,"")</f>
        <v>0.75347222222222221</v>
      </c>
      <c r="F89" s="8" t="str">
        <f>IF('[1]Game Input'!$D89&lt;&gt;"",'[1]Game Input'!$D89,"")</f>
        <v>Daylight</v>
      </c>
      <c r="G89" s="8" t="str">
        <f>IF('[1]Game Input'!$G89&lt;&gt;"",'[1]Game Input'!$G89,"")</f>
        <v>CIL @ YNG</v>
      </c>
      <c r="H89" s="8" t="str">
        <f>IF('[1]Game Input'!$H89&lt;&gt;"",'[1]Game Input'!$H89,"")</f>
        <v>Vs. Conference</v>
      </c>
      <c r="I89" s="8" t="str">
        <f>IF('[1]Game Input'!$I89&lt;&gt;"",'[1]Game Input'!$I89,"")</f>
        <v>CENTRAL ILLINOIS</v>
      </c>
      <c r="J89" s="9">
        <f>IF('[1]Game Input'!$AC89&lt;&gt;"",'[1]Game Input'!$AC89,"")</f>
        <v>16</v>
      </c>
      <c r="K89" s="9">
        <f>IF('[1]Game Input'!$AD89&lt;&gt;"",'[1]Game Input'!$AD89,"")</f>
        <v>8</v>
      </c>
      <c r="L89" s="9">
        <f>IF('[1]Game Input'!$AJ89&lt;&gt;"",'[1]Game Input'!$AJ89,"")</f>
        <v>0</v>
      </c>
      <c r="M89" s="9">
        <f>IF('[1]Game Input'!$AK89&lt;&gt;"",'[1]Game Input'!$AK89,"")</f>
        <v>0</v>
      </c>
      <c r="N89" s="9">
        <f>IF('[1]Game Input'!$AN89&lt;&gt;"",'[1]Game Input'!$AN89,"")</f>
        <v>8</v>
      </c>
      <c r="O89" s="9">
        <f>IF('[1]Game Input'!$AO89&lt;&gt;"",'[1]Game Input'!$AO89,"")</f>
        <v>0</v>
      </c>
      <c r="P89" s="9">
        <f>IF('[1]Game Input'!$AP89&lt;&gt;"",'[1]Game Input'!$AP89,"")</f>
        <v>0</v>
      </c>
      <c r="Q89" s="9">
        <f>IF('[1]Game Input'!$AQ89&lt;&gt;"",'[1]Game Input'!$AQ89,"")</f>
        <v>0</v>
      </c>
      <c r="R89" s="9">
        <f>IF('[1]Game Input'!$AR89&lt;&gt;"",'[1]Game Input'!$AR89,"")</f>
        <v>0</v>
      </c>
      <c r="S89" s="9">
        <f>IF('[1]Game Input'!$AS89&lt;&gt;"",'[1]Game Input'!$AS89,"")</f>
        <v>0</v>
      </c>
      <c r="T89" s="10" t="str">
        <f>IF('[1]Game Input'!$BA89&lt;&gt;"",'[1]Game Input'!$BA89,"")</f>
        <v>YOUNGSTOWN</v>
      </c>
      <c r="U89" s="9">
        <f>IF('[1]Game Input'!$BU89&lt;&gt;"",'[1]Game Input'!$BU89,"")</f>
        <v>8</v>
      </c>
      <c r="V89" s="9">
        <f>IF('[1]Game Input'!$BV89&lt;&gt;"",'[1]Game Input'!$BV89,"")</f>
        <v>4</v>
      </c>
      <c r="W89" s="9">
        <f>IF('[1]Game Input'!$CB89&lt;&gt;"",'[1]Game Input'!$CB89,"")</f>
        <v>0</v>
      </c>
      <c r="X89" s="9">
        <f>IF('[1]Game Input'!$CC89&lt;&gt;"",'[1]Game Input'!$CC89,"")</f>
        <v>0</v>
      </c>
      <c r="Y89" s="9">
        <f>IF('[1]Game Input'!$CF89&lt;&gt;"",'[1]Game Input'!$CF89,"")</f>
        <v>4</v>
      </c>
      <c r="Z89" s="9">
        <f>IF('[1]Game Input'!$CG89&lt;&gt;"",'[1]Game Input'!$CG89,"")</f>
        <v>0</v>
      </c>
      <c r="AA89" s="9">
        <f>IF('[1]Game Input'!$CH89&lt;&gt;"",'[1]Game Input'!$CH89,"")</f>
        <v>0</v>
      </c>
      <c r="AB89" s="9">
        <f>IF('[1]Game Input'!$CI89&lt;&gt;"",'[1]Game Input'!$CI89,"")</f>
        <v>0</v>
      </c>
      <c r="AC89" s="9">
        <f>IF('[1]Game Input'!$CJ89&lt;&gt;"",'[1]Game Input'!$CJ89,"")</f>
        <v>0</v>
      </c>
      <c r="AD89" s="9">
        <f>IF('[1]Game Input'!$CK89&lt;&gt;"",'[1]Game Input'!$CK89,"")</f>
        <v>0</v>
      </c>
      <c r="AE89" s="8" t="s">
        <v>95</v>
      </c>
      <c r="AF89" s="8" t="s">
        <v>93</v>
      </c>
      <c r="AG89" s="8" t="s">
        <v>112</v>
      </c>
      <c r="AH89" s="8" t="s">
        <v>164</v>
      </c>
    </row>
    <row r="90" spans="1:34" x14ac:dyDescent="0.2">
      <c r="A90" s="6">
        <f>IF('[1]Game Input'!$A90&lt;&gt;"",'[1]Game Input'!$A90,"")</f>
        <v>43406</v>
      </c>
      <c r="B90" s="6" t="str">
        <f>IF(A90&gt;$B$1,VLOOKUP(MONTH($A90),DOTWMonth,2,FALSE),"")</f>
        <v>November</v>
      </c>
      <c r="C90" s="10" t="str">
        <f>IF(A90&gt;$B$1,VLOOKUP(WEEKDAY($A90),DOTWMonth,3,FALSE),"")</f>
        <v>Friday</v>
      </c>
      <c r="D90" s="7">
        <f>IF('[1]Game Input'!$B90&lt;&gt;"",'[1]Game Input'!$B90,"")</f>
        <v>0.83680555555555547</v>
      </c>
      <c r="E90" s="7">
        <f>IF('[1]Game Input'!$C90&lt;&gt;"",'[1]Game Input'!$C90,"")</f>
        <v>0.79513888888888884</v>
      </c>
      <c r="F90" s="8" t="str">
        <f>IF('[1]Game Input'!$D90&lt;&gt;"",'[1]Game Input'!$D90,"")</f>
        <v>Daylight</v>
      </c>
      <c r="G90" s="8" t="str">
        <f>IF('[1]Game Input'!$G90&lt;&gt;"",'[1]Game Input'!$G90,"")</f>
        <v>MAD @ CR</v>
      </c>
      <c r="H90" s="8" t="str">
        <f>IF('[1]Game Input'!$H90&lt;&gt;"",'[1]Game Input'!$H90,"")</f>
        <v>Vs. Conference</v>
      </c>
      <c r="I90" s="8" t="str">
        <f>IF('[1]Game Input'!$I90&lt;&gt;"",'[1]Game Input'!$I90,"")</f>
        <v>MADISON</v>
      </c>
      <c r="J90" s="9">
        <f>IF('[1]Game Input'!$AC90&lt;&gt;"",'[1]Game Input'!$AC90,"")</f>
        <v>16</v>
      </c>
      <c r="K90" s="9">
        <f>IF('[1]Game Input'!$AD90&lt;&gt;"",'[1]Game Input'!$AD90,"")</f>
        <v>8</v>
      </c>
      <c r="L90" s="9">
        <f>IF('[1]Game Input'!$AJ90&lt;&gt;"",'[1]Game Input'!$AJ90,"")</f>
        <v>0</v>
      </c>
      <c r="M90" s="9">
        <f>IF('[1]Game Input'!$AK90&lt;&gt;"",'[1]Game Input'!$AK90,"")</f>
        <v>0</v>
      </c>
      <c r="N90" s="9">
        <f>IF('[1]Game Input'!$AN90&lt;&gt;"",'[1]Game Input'!$AN90,"")</f>
        <v>8</v>
      </c>
      <c r="O90" s="9">
        <f>IF('[1]Game Input'!$AO90&lt;&gt;"",'[1]Game Input'!$AO90,"")</f>
        <v>0</v>
      </c>
      <c r="P90" s="9">
        <f>IF('[1]Game Input'!$AP90&lt;&gt;"",'[1]Game Input'!$AP90,"")</f>
        <v>0</v>
      </c>
      <c r="Q90" s="9">
        <f>IF('[1]Game Input'!$AQ90&lt;&gt;"",'[1]Game Input'!$AQ90,"")</f>
        <v>0</v>
      </c>
      <c r="R90" s="9">
        <f>IF('[1]Game Input'!$AR90&lt;&gt;"",'[1]Game Input'!$AR90,"")</f>
        <v>0</v>
      </c>
      <c r="S90" s="9">
        <f>IF('[1]Game Input'!$AS90&lt;&gt;"",'[1]Game Input'!$AS90,"")</f>
        <v>0</v>
      </c>
      <c r="T90" s="10" t="str">
        <f>IF('[1]Game Input'!$BA90&lt;&gt;"",'[1]Game Input'!$BA90,"")</f>
        <v>CEDAR RAPIDS</v>
      </c>
      <c r="U90" s="9">
        <f>IF('[1]Game Input'!$BU90&lt;&gt;"",'[1]Game Input'!$BU90,"")</f>
        <v>14</v>
      </c>
      <c r="V90" s="9">
        <f>IF('[1]Game Input'!$BV90&lt;&gt;"",'[1]Game Input'!$BV90,"")</f>
        <v>7</v>
      </c>
      <c r="W90" s="9">
        <f>IF('[1]Game Input'!$CB90&lt;&gt;"",'[1]Game Input'!$CB90,"")</f>
        <v>0</v>
      </c>
      <c r="X90" s="9">
        <f>IF('[1]Game Input'!$CC90&lt;&gt;"",'[1]Game Input'!$CC90,"")</f>
        <v>0</v>
      </c>
      <c r="Y90" s="9">
        <f>IF('[1]Game Input'!$CF90&lt;&gt;"",'[1]Game Input'!$CF90,"")</f>
        <v>7</v>
      </c>
      <c r="Z90" s="9">
        <f>IF('[1]Game Input'!$CG90&lt;&gt;"",'[1]Game Input'!$CG90,"")</f>
        <v>0</v>
      </c>
      <c r="AA90" s="9">
        <f>IF('[1]Game Input'!$CH90&lt;&gt;"",'[1]Game Input'!$CH90,"")</f>
        <v>0</v>
      </c>
      <c r="AB90" s="9">
        <f>IF('[1]Game Input'!$CI90&lt;&gt;"",'[1]Game Input'!$CI90,"")</f>
        <v>0</v>
      </c>
      <c r="AC90" s="9">
        <f>IF('[1]Game Input'!$CJ90&lt;&gt;"",'[1]Game Input'!$CJ90,"")</f>
        <v>0</v>
      </c>
      <c r="AD90" s="9">
        <f>IF('[1]Game Input'!$CK90&lt;&gt;"",'[1]Game Input'!$CK90,"")</f>
        <v>0</v>
      </c>
      <c r="AE90" s="8" t="s">
        <v>98</v>
      </c>
      <c r="AF90" s="8"/>
      <c r="AG90" s="8" t="s">
        <v>116</v>
      </c>
      <c r="AH90" s="8" t="s">
        <v>117</v>
      </c>
    </row>
    <row r="91" spans="1:34" x14ac:dyDescent="0.2">
      <c r="A91" s="6">
        <f>IF('[1]Game Input'!$A91&lt;&gt;"",'[1]Game Input'!$A91,"")</f>
        <v>43406</v>
      </c>
      <c r="B91" s="6" t="str">
        <f>IF(A91&gt;$B$1,VLOOKUP(MONTH($A91),DOTWMonth,2,FALSE),"")</f>
        <v>November</v>
      </c>
      <c r="C91" s="10" t="str">
        <f>IF(A91&gt;$B$1,VLOOKUP(WEEKDAY($A91),DOTWMonth,3,FALSE),"")</f>
        <v>Friday</v>
      </c>
      <c r="D91" s="7">
        <f>IF('[1]Game Input'!$B91&lt;&gt;"",'[1]Game Input'!$B91,"")</f>
        <v>0.83680555555555547</v>
      </c>
      <c r="E91" s="7">
        <f>IF('[1]Game Input'!$C91&lt;&gt;"",'[1]Game Input'!$C91,"")</f>
        <v>0.79513888888888884</v>
      </c>
      <c r="F91" s="8" t="str">
        <f>IF('[1]Game Input'!$D91&lt;&gt;"",'[1]Game Input'!$D91,"")</f>
        <v>Daylight</v>
      </c>
      <c r="G91" s="8" t="str">
        <f>IF('[1]Game Input'!$G91&lt;&gt;"",'[1]Game Input'!$G91,"")</f>
        <v>GB @ CHI</v>
      </c>
      <c r="H91" s="8" t="str">
        <f>IF('[1]Game Input'!$H91&lt;&gt;"",'[1]Game Input'!$H91,"")</f>
        <v>Vs. Conference</v>
      </c>
      <c r="I91" s="8" t="str">
        <f>IF('[1]Game Input'!$I91&lt;&gt;"",'[1]Game Input'!$I91,"")</f>
        <v>GREEN BAY</v>
      </c>
      <c r="J91" s="9">
        <f>IF('[1]Game Input'!$AC91&lt;&gt;"",'[1]Game Input'!$AC91,"")</f>
        <v>8</v>
      </c>
      <c r="K91" s="9">
        <f>IF('[1]Game Input'!$AD91&lt;&gt;"",'[1]Game Input'!$AD91,"")</f>
        <v>4</v>
      </c>
      <c r="L91" s="9">
        <f>IF('[1]Game Input'!$AJ91&lt;&gt;"",'[1]Game Input'!$AJ91,"")</f>
        <v>0</v>
      </c>
      <c r="M91" s="9">
        <f>IF('[1]Game Input'!$AK91&lt;&gt;"",'[1]Game Input'!$AK91,"")</f>
        <v>0</v>
      </c>
      <c r="N91" s="9">
        <f>IF('[1]Game Input'!$AN91&lt;&gt;"",'[1]Game Input'!$AN91,"")</f>
        <v>4</v>
      </c>
      <c r="O91" s="9">
        <f>IF('[1]Game Input'!$AO91&lt;&gt;"",'[1]Game Input'!$AO91,"")</f>
        <v>0</v>
      </c>
      <c r="P91" s="9">
        <f>IF('[1]Game Input'!$AP91&lt;&gt;"",'[1]Game Input'!$AP91,"")</f>
        <v>0</v>
      </c>
      <c r="Q91" s="9">
        <f>IF('[1]Game Input'!$AQ91&lt;&gt;"",'[1]Game Input'!$AQ91,"")</f>
        <v>0</v>
      </c>
      <c r="R91" s="9">
        <f>IF('[1]Game Input'!$AR91&lt;&gt;"",'[1]Game Input'!$AR91,"")</f>
        <v>0</v>
      </c>
      <c r="S91" s="9">
        <f>IF('[1]Game Input'!$AS91&lt;&gt;"",'[1]Game Input'!$AS91,"")</f>
        <v>0</v>
      </c>
      <c r="T91" s="10" t="str">
        <f>IF('[1]Game Input'!$BA91&lt;&gt;"",'[1]Game Input'!$BA91,"")</f>
        <v>CHICAGO</v>
      </c>
      <c r="U91" s="9">
        <f>IF('[1]Game Input'!$BU91&lt;&gt;"",'[1]Game Input'!$BU91,"")</f>
        <v>4</v>
      </c>
      <c r="V91" s="9">
        <f>IF('[1]Game Input'!$BV91&lt;&gt;"",'[1]Game Input'!$BV91,"")</f>
        <v>2</v>
      </c>
      <c r="W91" s="9">
        <f>IF('[1]Game Input'!$CB91&lt;&gt;"",'[1]Game Input'!$CB91,"")</f>
        <v>0</v>
      </c>
      <c r="X91" s="9">
        <f>IF('[1]Game Input'!$CC91&lt;&gt;"",'[1]Game Input'!$CC91,"")</f>
        <v>0</v>
      </c>
      <c r="Y91" s="9">
        <f>IF('[1]Game Input'!$CF91&lt;&gt;"",'[1]Game Input'!$CF91,"")</f>
        <v>2</v>
      </c>
      <c r="Z91" s="9">
        <f>IF('[1]Game Input'!$CG91&lt;&gt;"",'[1]Game Input'!$CG91,"")</f>
        <v>0</v>
      </c>
      <c r="AA91" s="9">
        <f>IF('[1]Game Input'!$CH91&lt;&gt;"",'[1]Game Input'!$CH91,"")</f>
        <v>0</v>
      </c>
      <c r="AB91" s="9">
        <f>IF('[1]Game Input'!$CI91&lt;&gt;"",'[1]Game Input'!$CI91,"")</f>
        <v>0</v>
      </c>
      <c r="AC91" s="9">
        <f>IF('[1]Game Input'!$CJ91&lt;&gt;"",'[1]Game Input'!$CJ91,"")</f>
        <v>0</v>
      </c>
      <c r="AD91" s="9">
        <f>IF('[1]Game Input'!$CK91&lt;&gt;"",'[1]Game Input'!$CK91,"")</f>
        <v>0</v>
      </c>
      <c r="AE91" s="8"/>
      <c r="AF91" s="8"/>
      <c r="AG91" s="8"/>
      <c r="AH91" s="8"/>
    </row>
    <row r="92" spans="1:34" x14ac:dyDescent="0.2">
      <c r="A92" s="6">
        <f>IF('[1]Game Input'!$A92&lt;&gt;"",'[1]Game Input'!$A92,"")</f>
        <v>43406</v>
      </c>
      <c r="B92" s="6" t="str">
        <f>IF(A92&gt;$B$1,VLOOKUP(MONTH($A92),DOTWMonth,2,FALSE),"")</f>
        <v>November</v>
      </c>
      <c r="C92" s="10" t="str">
        <f>IF(A92&gt;$B$1,VLOOKUP(WEEKDAY($A92),DOTWMonth,3,FALSE),"")</f>
        <v>Friday</v>
      </c>
      <c r="D92" s="7">
        <f>IF('[1]Game Input'!$B92&lt;&gt;"",'[1]Game Input'!$B92,"")</f>
        <v>0.83680555555555547</v>
      </c>
      <c r="E92" s="7">
        <f>IF('[1]Game Input'!$C92&lt;&gt;"",'[1]Game Input'!$C92,"")</f>
        <v>0.79513888888888884</v>
      </c>
      <c r="F92" s="8" t="str">
        <f>IF('[1]Game Input'!$D92&lt;&gt;"",'[1]Game Input'!$D92,"")</f>
        <v>Daylight</v>
      </c>
      <c r="G92" s="8" t="str">
        <f>IF('[1]Game Input'!$G92&lt;&gt;"",'[1]Game Input'!$G92,"")</f>
        <v>TC @ DM</v>
      </c>
      <c r="H92" s="8" t="str">
        <f>IF('[1]Game Input'!$H92&lt;&gt;"",'[1]Game Input'!$H92,"")</f>
        <v>Vs. Conference</v>
      </c>
      <c r="I92" s="8" t="str">
        <f>IF('[1]Game Input'!$I92&lt;&gt;"",'[1]Game Input'!$I92,"")</f>
        <v>TRI-CITY</v>
      </c>
      <c r="J92" s="9">
        <f>IF('[1]Game Input'!$AC92&lt;&gt;"",'[1]Game Input'!$AC92,"")</f>
        <v>32</v>
      </c>
      <c r="K92" s="9">
        <f>IF('[1]Game Input'!$AD92&lt;&gt;"",'[1]Game Input'!$AD92,"")</f>
        <v>12</v>
      </c>
      <c r="L92" s="9">
        <f>IF('[1]Game Input'!$AJ92&lt;&gt;"",'[1]Game Input'!$AJ92,"")</f>
        <v>0</v>
      </c>
      <c r="M92" s="9">
        <f>IF('[1]Game Input'!$AK92&lt;&gt;"",'[1]Game Input'!$AK92,"")</f>
        <v>0</v>
      </c>
      <c r="N92" s="9">
        <f>IF('[1]Game Input'!$AN92&lt;&gt;"",'[1]Game Input'!$AN92,"")</f>
        <v>11</v>
      </c>
      <c r="O92" s="9">
        <f>IF('[1]Game Input'!$AO92&lt;&gt;"",'[1]Game Input'!$AO92,"")</f>
        <v>0</v>
      </c>
      <c r="P92" s="9">
        <f>IF('[1]Game Input'!$AP92&lt;&gt;"",'[1]Game Input'!$AP92,"")</f>
        <v>1</v>
      </c>
      <c r="Q92" s="9">
        <f>IF('[1]Game Input'!$AQ92&lt;&gt;"",'[1]Game Input'!$AQ92,"")</f>
        <v>0</v>
      </c>
      <c r="R92" s="9">
        <f>IF('[1]Game Input'!$AR92&lt;&gt;"",'[1]Game Input'!$AR92,"")</f>
        <v>0</v>
      </c>
      <c r="S92" s="9">
        <f>IF('[1]Game Input'!$AS92&lt;&gt;"",'[1]Game Input'!$AS92,"")</f>
        <v>0</v>
      </c>
      <c r="T92" s="10" t="str">
        <f>IF('[1]Game Input'!$BA92&lt;&gt;"",'[1]Game Input'!$BA92,"")</f>
        <v>DES MOINES</v>
      </c>
      <c r="U92" s="9">
        <f>IF('[1]Game Input'!$BU92&lt;&gt;"",'[1]Game Input'!$BU92,"")</f>
        <v>18</v>
      </c>
      <c r="V92" s="9">
        <f>IF('[1]Game Input'!$BV92&lt;&gt;"",'[1]Game Input'!$BV92,"")</f>
        <v>9</v>
      </c>
      <c r="W92" s="9">
        <f>IF('[1]Game Input'!$CB92&lt;&gt;"",'[1]Game Input'!$CB92,"")</f>
        <v>0</v>
      </c>
      <c r="X92" s="9">
        <f>IF('[1]Game Input'!$CC92&lt;&gt;"",'[1]Game Input'!$CC92,"")</f>
        <v>0</v>
      </c>
      <c r="Y92" s="9">
        <f>IF('[1]Game Input'!$CF92&lt;&gt;"",'[1]Game Input'!$CF92,"")</f>
        <v>9</v>
      </c>
      <c r="Z92" s="9">
        <f>IF('[1]Game Input'!$CG92&lt;&gt;"",'[1]Game Input'!$CG92,"")</f>
        <v>0</v>
      </c>
      <c r="AA92" s="9">
        <f>IF('[1]Game Input'!$CH92&lt;&gt;"",'[1]Game Input'!$CH92,"")</f>
        <v>0</v>
      </c>
      <c r="AB92" s="9">
        <f>IF('[1]Game Input'!$CI92&lt;&gt;"",'[1]Game Input'!$CI92,"")</f>
        <v>0</v>
      </c>
      <c r="AC92" s="9">
        <f>IF('[1]Game Input'!$CJ92&lt;&gt;"",'[1]Game Input'!$CJ92,"")</f>
        <v>0</v>
      </c>
      <c r="AD92" s="9">
        <f>IF('[1]Game Input'!$CK92&lt;&gt;"",'[1]Game Input'!$CK92,"")</f>
        <v>0</v>
      </c>
      <c r="AE92" s="8" t="s">
        <v>90</v>
      </c>
      <c r="AF92" s="8"/>
      <c r="AG92" s="8" t="s">
        <v>119</v>
      </c>
      <c r="AH92" s="8" t="s">
        <v>124</v>
      </c>
    </row>
    <row r="93" spans="1:34" x14ac:dyDescent="0.2">
      <c r="A93" s="6">
        <f>IF('[1]Game Input'!$A93&lt;&gt;"",'[1]Game Input'!$A93,"")</f>
        <v>43406</v>
      </c>
      <c r="B93" s="6" t="str">
        <f>IF(A93&gt;$B$1,VLOOKUP(MONTH($A93),DOTWMonth,2,FALSE),"")</f>
        <v>November</v>
      </c>
      <c r="C93" s="10" t="str">
        <f>IF(A93&gt;$B$1,VLOOKUP(WEEKDAY($A93),DOTWMonth,3,FALSE),"")</f>
        <v>Friday</v>
      </c>
      <c r="D93" s="7">
        <f>IF('[1]Game Input'!$B93&lt;&gt;"",'[1]Game Input'!$B93,"")</f>
        <v>0.83680555555555547</v>
      </c>
      <c r="E93" s="7">
        <f>IF('[1]Game Input'!$C93&lt;&gt;"",'[1]Game Input'!$C93,"")</f>
        <v>0.79513888888888884</v>
      </c>
      <c r="F93" s="8" t="str">
        <f>IF('[1]Game Input'!$D93&lt;&gt;"",'[1]Game Input'!$D93,"")</f>
        <v>Daylight</v>
      </c>
      <c r="G93" s="8" t="str">
        <f>IF('[1]Game Input'!$G93&lt;&gt;"",'[1]Game Input'!$G93,"")</f>
        <v>SC @ FGO</v>
      </c>
      <c r="H93" s="8" t="str">
        <f>IF('[1]Game Input'!$H93&lt;&gt;"",'[1]Game Input'!$H93,"")</f>
        <v>Vs. Conference</v>
      </c>
      <c r="I93" s="8" t="str">
        <f>IF('[1]Game Input'!$I93&lt;&gt;"",'[1]Game Input'!$I93,"")</f>
        <v>SIOUX CITY</v>
      </c>
      <c r="J93" s="9">
        <f>IF('[1]Game Input'!$AC93&lt;&gt;"",'[1]Game Input'!$AC93,"")</f>
        <v>4</v>
      </c>
      <c r="K93" s="9">
        <f>IF('[1]Game Input'!$AD93&lt;&gt;"",'[1]Game Input'!$AD93,"")</f>
        <v>2</v>
      </c>
      <c r="L93" s="9">
        <f>IF('[1]Game Input'!$AJ93&lt;&gt;"",'[1]Game Input'!$AJ93,"")</f>
        <v>0</v>
      </c>
      <c r="M93" s="9">
        <f>IF('[1]Game Input'!$AK93&lt;&gt;"",'[1]Game Input'!$AK93,"")</f>
        <v>0</v>
      </c>
      <c r="N93" s="9">
        <f>IF('[1]Game Input'!$AN93&lt;&gt;"",'[1]Game Input'!$AN93,"")</f>
        <v>2</v>
      </c>
      <c r="O93" s="9">
        <f>IF('[1]Game Input'!$AO93&lt;&gt;"",'[1]Game Input'!$AO93,"")</f>
        <v>0</v>
      </c>
      <c r="P93" s="9">
        <f>IF('[1]Game Input'!$AP93&lt;&gt;"",'[1]Game Input'!$AP93,"")</f>
        <v>0</v>
      </c>
      <c r="Q93" s="9">
        <f>IF('[1]Game Input'!$AQ93&lt;&gt;"",'[1]Game Input'!$AQ93,"")</f>
        <v>0</v>
      </c>
      <c r="R93" s="9">
        <f>IF('[1]Game Input'!$AR93&lt;&gt;"",'[1]Game Input'!$AR93,"")</f>
        <v>0</v>
      </c>
      <c r="S93" s="9">
        <f>IF('[1]Game Input'!$AS93&lt;&gt;"",'[1]Game Input'!$AS93,"")</f>
        <v>0</v>
      </c>
      <c r="T93" s="10" t="str">
        <f>IF('[1]Game Input'!$BA93&lt;&gt;"",'[1]Game Input'!$BA93,"")</f>
        <v>FARGO</v>
      </c>
      <c r="U93" s="9">
        <f>IF('[1]Game Input'!$BU93&lt;&gt;"",'[1]Game Input'!$BU93,"")</f>
        <v>4</v>
      </c>
      <c r="V93" s="9">
        <f>IF('[1]Game Input'!$BV93&lt;&gt;"",'[1]Game Input'!$BV93,"")</f>
        <v>2</v>
      </c>
      <c r="W93" s="9">
        <f>IF('[1]Game Input'!$CB93&lt;&gt;"",'[1]Game Input'!$CB93,"")</f>
        <v>0</v>
      </c>
      <c r="X93" s="9">
        <f>IF('[1]Game Input'!$CC93&lt;&gt;"",'[1]Game Input'!$CC93,"")</f>
        <v>0</v>
      </c>
      <c r="Y93" s="9">
        <f>IF('[1]Game Input'!$CF93&lt;&gt;"",'[1]Game Input'!$CF93,"")</f>
        <v>2</v>
      </c>
      <c r="Z93" s="9">
        <f>IF('[1]Game Input'!$CG93&lt;&gt;"",'[1]Game Input'!$CG93,"")</f>
        <v>0</v>
      </c>
      <c r="AA93" s="9">
        <f>IF('[1]Game Input'!$CH93&lt;&gt;"",'[1]Game Input'!$CH93,"")</f>
        <v>0</v>
      </c>
      <c r="AB93" s="9">
        <f>IF('[1]Game Input'!$CI93&lt;&gt;"",'[1]Game Input'!$CI93,"")</f>
        <v>0</v>
      </c>
      <c r="AC93" s="9">
        <f>IF('[1]Game Input'!$CJ93&lt;&gt;"",'[1]Game Input'!$CJ93,"")</f>
        <v>0</v>
      </c>
      <c r="AD93" s="9">
        <f>IF('[1]Game Input'!$CK93&lt;&gt;"",'[1]Game Input'!$CK93,"")</f>
        <v>0</v>
      </c>
      <c r="AE93" s="8"/>
      <c r="AF93" s="8"/>
      <c r="AG93" s="8"/>
      <c r="AH93" s="8"/>
    </row>
    <row r="94" spans="1:34" x14ac:dyDescent="0.2">
      <c r="A94" s="6">
        <f>IF('[1]Game Input'!$A94&lt;&gt;"",'[1]Game Input'!$A94,"")</f>
        <v>43406</v>
      </c>
      <c r="B94" s="6" t="str">
        <f>IF(A94&gt;$B$1,VLOOKUP(MONTH($A94),DOTWMonth,2,FALSE),"")</f>
        <v>November</v>
      </c>
      <c r="C94" s="10" t="str">
        <f>IF(A94&gt;$B$1,VLOOKUP(WEEKDAY($A94),DOTWMonth,3,FALSE),"")</f>
        <v>Friday</v>
      </c>
      <c r="D94" s="7">
        <f>IF('[1]Game Input'!$B94&lt;&gt;"",'[1]Game Input'!$B94,"")</f>
        <v>0.83680555555555547</v>
      </c>
      <c r="E94" s="7">
        <f>IF('[1]Game Input'!$C94&lt;&gt;"",'[1]Game Input'!$C94,"")</f>
        <v>0.79513888888888884</v>
      </c>
      <c r="F94" s="8" t="str">
        <f>IF('[1]Game Input'!$D94&lt;&gt;"",'[1]Game Input'!$D94,"")</f>
        <v>Daylight</v>
      </c>
      <c r="G94" s="8" t="str">
        <f>IF('[1]Game Input'!$G94&lt;&gt;"",'[1]Game Input'!$G94,"")</f>
        <v>OMA @ LIN</v>
      </c>
      <c r="H94" s="8" t="str">
        <f>IF('[1]Game Input'!$H94&lt;&gt;"",'[1]Game Input'!$H94,"")</f>
        <v>Vs. Conference</v>
      </c>
      <c r="I94" s="8" t="str">
        <f>IF('[1]Game Input'!$I94&lt;&gt;"",'[1]Game Input'!$I94,"")</f>
        <v>OMAHA</v>
      </c>
      <c r="J94" s="9">
        <f>IF('[1]Game Input'!$AC94&lt;&gt;"",'[1]Game Input'!$AC94,"")</f>
        <v>12</v>
      </c>
      <c r="K94" s="9">
        <f>IF('[1]Game Input'!$AD94&lt;&gt;"",'[1]Game Input'!$AD94,"")</f>
        <v>6</v>
      </c>
      <c r="L94" s="9">
        <f>IF('[1]Game Input'!$AJ94&lt;&gt;"",'[1]Game Input'!$AJ94,"")</f>
        <v>0</v>
      </c>
      <c r="M94" s="9">
        <f>IF('[1]Game Input'!$AK94&lt;&gt;"",'[1]Game Input'!$AK94,"")</f>
        <v>0</v>
      </c>
      <c r="N94" s="9">
        <f>IF('[1]Game Input'!$AN94&lt;&gt;"",'[1]Game Input'!$AN94,"")</f>
        <v>6</v>
      </c>
      <c r="O94" s="9">
        <f>IF('[1]Game Input'!$AO94&lt;&gt;"",'[1]Game Input'!$AO94,"")</f>
        <v>0</v>
      </c>
      <c r="P94" s="9">
        <f>IF('[1]Game Input'!$AP94&lt;&gt;"",'[1]Game Input'!$AP94,"")</f>
        <v>0</v>
      </c>
      <c r="Q94" s="9">
        <f>IF('[1]Game Input'!$AQ94&lt;&gt;"",'[1]Game Input'!$AQ94,"")</f>
        <v>0</v>
      </c>
      <c r="R94" s="9">
        <f>IF('[1]Game Input'!$AR94&lt;&gt;"",'[1]Game Input'!$AR94,"")</f>
        <v>0</v>
      </c>
      <c r="S94" s="9">
        <f>IF('[1]Game Input'!$AS94&lt;&gt;"",'[1]Game Input'!$AS94,"")</f>
        <v>0</v>
      </c>
      <c r="T94" s="10" t="str">
        <f>IF('[1]Game Input'!$BA94&lt;&gt;"",'[1]Game Input'!$BA94,"")</f>
        <v>LINCOLN</v>
      </c>
      <c r="U94" s="9">
        <f>IF('[1]Game Input'!$BU94&lt;&gt;"",'[1]Game Input'!$BU94,"")</f>
        <v>10</v>
      </c>
      <c r="V94" s="9">
        <f>IF('[1]Game Input'!$BV94&lt;&gt;"",'[1]Game Input'!$BV94,"")</f>
        <v>5</v>
      </c>
      <c r="W94" s="9">
        <f>IF('[1]Game Input'!$CB94&lt;&gt;"",'[1]Game Input'!$CB94,"")</f>
        <v>0</v>
      </c>
      <c r="X94" s="9">
        <f>IF('[1]Game Input'!$CC94&lt;&gt;"",'[1]Game Input'!$CC94,"")</f>
        <v>0</v>
      </c>
      <c r="Y94" s="9">
        <f>IF('[1]Game Input'!$CF94&lt;&gt;"",'[1]Game Input'!$CF94,"")</f>
        <v>5</v>
      </c>
      <c r="Z94" s="9">
        <f>IF('[1]Game Input'!$CG94&lt;&gt;"",'[1]Game Input'!$CG94,"")</f>
        <v>0</v>
      </c>
      <c r="AA94" s="9">
        <f>IF('[1]Game Input'!$CH94&lt;&gt;"",'[1]Game Input'!$CH94,"")</f>
        <v>0</v>
      </c>
      <c r="AB94" s="9">
        <f>IF('[1]Game Input'!$CI94&lt;&gt;"",'[1]Game Input'!$CI94,"")</f>
        <v>0</v>
      </c>
      <c r="AC94" s="9">
        <f>IF('[1]Game Input'!$CJ94&lt;&gt;"",'[1]Game Input'!$CJ94,"")</f>
        <v>0</v>
      </c>
      <c r="AD94" s="9">
        <f>IF('[1]Game Input'!$CK94&lt;&gt;"",'[1]Game Input'!$CK94,"")</f>
        <v>0</v>
      </c>
      <c r="AE94" s="8"/>
      <c r="AF94" s="8"/>
      <c r="AG94" s="8"/>
      <c r="AH94" s="8"/>
    </row>
    <row r="95" spans="1:34" x14ac:dyDescent="0.2">
      <c r="A95" s="6">
        <f>IF('[1]Game Input'!$A95&lt;&gt;"",'[1]Game Input'!$A95,"")</f>
        <v>43406</v>
      </c>
      <c r="B95" s="6" t="str">
        <f>IF(A95&gt;$B$1,VLOOKUP(MONTH($A95),DOTWMonth,2,FALSE),"")</f>
        <v>November</v>
      </c>
      <c r="C95" s="10" t="str">
        <f>IF(A95&gt;$B$1,VLOOKUP(WEEKDAY($A95),DOTWMonth,3,FALSE),"")</f>
        <v>Friday</v>
      </c>
      <c r="D95" s="7">
        <f>IF('[1]Game Input'!$B95&lt;&gt;"",'[1]Game Input'!$B95,"")</f>
        <v>0.83680555555555547</v>
      </c>
      <c r="E95" s="7">
        <f>IF('[1]Game Input'!$C95&lt;&gt;"",'[1]Game Input'!$C95,"")</f>
        <v>0.79513888888888884</v>
      </c>
      <c r="F95" s="8" t="str">
        <f>IF('[1]Game Input'!$D95&lt;&gt;"",'[1]Game Input'!$D95,"")</f>
        <v>Daylight</v>
      </c>
      <c r="G95" s="8" t="str">
        <f>IF('[1]Game Input'!$G95&lt;&gt;"",'[1]Game Input'!$G95,"")</f>
        <v>DUB @ WAT</v>
      </c>
      <c r="H95" s="8" t="str">
        <f>IF('[1]Game Input'!$H95&lt;&gt;"",'[1]Game Input'!$H95,"")</f>
        <v>Vs. Non-Conference</v>
      </c>
      <c r="I95" s="8" t="str">
        <f>IF('[1]Game Input'!$I95&lt;&gt;"",'[1]Game Input'!$I95,"")</f>
        <v>DUBUQUE</v>
      </c>
      <c r="J95" s="9">
        <f>IF('[1]Game Input'!$AC95&lt;&gt;"",'[1]Game Input'!$AC95,"")</f>
        <v>34</v>
      </c>
      <c r="K95" s="9">
        <f>IF('[1]Game Input'!$AD95&lt;&gt;"",'[1]Game Input'!$AD95,"")</f>
        <v>9</v>
      </c>
      <c r="L95" s="9">
        <f>IF('[1]Game Input'!$AJ95&lt;&gt;"",'[1]Game Input'!$AJ95,"")</f>
        <v>0</v>
      </c>
      <c r="M95" s="9">
        <f>IF('[1]Game Input'!$AK95&lt;&gt;"",'[1]Game Input'!$AK95,"")</f>
        <v>0</v>
      </c>
      <c r="N95" s="9">
        <f>IF('[1]Game Input'!$AN95&lt;&gt;"",'[1]Game Input'!$AN95,"")</f>
        <v>7</v>
      </c>
      <c r="O95" s="9">
        <f>IF('[1]Game Input'!$AO95&lt;&gt;"",'[1]Game Input'!$AO95,"")</f>
        <v>0</v>
      </c>
      <c r="P95" s="9">
        <f>IF('[1]Game Input'!$AP95&lt;&gt;"",'[1]Game Input'!$AP95,"")</f>
        <v>1</v>
      </c>
      <c r="Q95" s="9">
        <f>IF('[1]Game Input'!$AQ95&lt;&gt;"",'[1]Game Input'!$AQ95,"")</f>
        <v>1</v>
      </c>
      <c r="R95" s="9">
        <f>IF('[1]Game Input'!$AR95&lt;&gt;"",'[1]Game Input'!$AR95,"")</f>
        <v>0</v>
      </c>
      <c r="S95" s="9">
        <f>IF('[1]Game Input'!$AS95&lt;&gt;"",'[1]Game Input'!$AS95,"")</f>
        <v>0</v>
      </c>
      <c r="T95" s="10" t="str">
        <f>IF('[1]Game Input'!$BA95&lt;&gt;"",'[1]Game Input'!$BA95,"")</f>
        <v>WATERLOO</v>
      </c>
      <c r="U95" s="9">
        <f>IF('[1]Game Input'!$BU95&lt;&gt;"",'[1]Game Input'!$BU95,"")</f>
        <v>6</v>
      </c>
      <c r="V95" s="9">
        <f>IF('[1]Game Input'!$BV95&lt;&gt;"",'[1]Game Input'!$BV95,"")</f>
        <v>3</v>
      </c>
      <c r="W95" s="9">
        <f>IF('[1]Game Input'!$CB95&lt;&gt;"",'[1]Game Input'!$CB95,"")</f>
        <v>0</v>
      </c>
      <c r="X95" s="9">
        <f>IF('[1]Game Input'!$CC95&lt;&gt;"",'[1]Game Input'!$CC95,"")</f>
        <v>0</v>
      </c>
      <c r="Y95" s="9">
        <f>IF('[1]Game Input'!$CF95&lt;&gt;"",'[1]Game Input'!$CF95,"")</f>
        <v>3</v>
      </c>
      <c r="Z95" s="9">
        <f>IF('[1]Game Input'!$CG95&lt;&gt;"",'[1]Game Input'!$CG95,"")</f>
        <v>0</v>
      </c>
      <c r="AA95" s="9">
        <f>IF('[1]Game Input'!$CH95&lt;&gt;"",'[1]Game Input'!$CH95,"")</f>
        <v>0</v>
      </c>
      <c r="AB95" s="9">
        <f>IF('[1]Game Input'!$CI95&lt;&gt;"",'[1]Game Input'!$CI95,"")</f>
        <v>0</v>
      </c>
      <c r="AC95" s="9">
        <f>IF('[1]Game Input'!$CJ95&lt;&gt;"",'[1]Game Input'!$CJ95,"")</f>
        <v>0</v>
      </c>
      <c r="AD95" s="9">
        <f>IF('[1]Game Input'!$CK95&lt;&gt;"",'[1]Game Input'!$CK95,"")</f>
        <v>0</v>
      </c>
      <c r="AE95" s="8"/>
      <c r="AF95" s="8"/>
      <c r="AG95" s="8"/>
      <c r="AH95" s="8"/>
    </row>
    <row r="96" spans="1:34" x14ac:dyDescent="0.2">
      <c r="A96" s="6">
        <f>IF('[1]Game Input'!$A96&lt;&gt;"",'[1]Game Input'!$A96,"")</f>
        <v>43407</v>
      </c>
      <c r="B96" s="6" t="str">
        <f>IF(A96&gt;$B$1,VLOOKUP(MONTH($A96),DOTWMonth,2,FALSE),"")</f>
        <v>November</v>
      </c>
      <c r="C96" s="10" t="str">
        <f>IF(A96&gt;$B$1,VLOOKUP(WEEKDAY($A96),DOTWMonth,3,FALSE),"")</f>
        <v>Saturday</v>
      </c>
      <c r="D96" s="7">
        <f>IF('[1]Game Input'!$B96&lt;&gt;"",'[1]Game Input'!$B96,"")</f>
        <v>0.79513888888888884</v>
      </c>
      <c r="E96" s="7">
        <f>IF('[1]Game Input'!$C96&lt;&gt;"",'[1]Game Input'!$C96,"")</f>
        <v>0.75347222222222221</v>
      </c>
      <c r="F96" s="8" t="str">
        <f>IF('[1]Game Input'!$D96&lt;&gt;"",'[1]Game Input'!$D96,"")</f>
        <v>Daylight</v>
      </c>
      <c r="G96" s="8" t="str">
        <f>IF('[1]Game Input'!$G96&lt;&gt;"",'[1]Game Input'!$G96,"")</f>
        <v>CIL @ YNG</v>
      </c>
      <c r="H96" s="8" t="str">
        <f>IF('[1]Game Input'!$H96&lt;&gt;"",'[1]Game Input'!$H96,"")</f>
        <v>Vs. Conference</v>
      </c>
      <c r="I96" s="8" t="str">
        <f>IF('[1]Game Input'!$I96&lt;&gt;"",'[1]Game Input'!$I96,"")</f>
        <v>CENTRAL ILLINOIS</v>
      </c>
      <c r="J96" s="9">
        <f>IF('[1]Game Input'!$AC96&lt;&gt;"",'[1]Game Input'!$AC96,"")</f>
        <v>27</v>
      </c>
      <c r="K96" s="9">
        <f>IF('[1]Game Input'!$AD96&lt;&gt;"",'[1]Game Input'!$AD96,"")</f>
        <v>8</v>
      </c>
      <c r="L96" s="9">
        <f>IF('[1]Game Input'!$AJ96&lt;&gt;"",'[1]Game Input'!$AJ96,"")</f>
        <v>0</v>
      </c>
      <c r="M96" s="9">
        <f>IF('[1]Game Input'!$AK96&lt;&gt;"",'[1]Game Input'!$AK96,"")</f>
        <v>0</v>
      </c>
      <c r="N96" s="9">
        <f>IF('[1]Game Input'!$AN96&lt;&gt;"",'[1]Game Input'!$AN96,"")</f>
        <v>6</v>
      </c>
      <c r="O96" s="9">
        <f>IF('[1]Game Input'!$AO96&lt;&gt;"",'[1]Game Input'!$AO96,"")</f>
        <v>1</v>
      </c>
      <c r="P96" s="9">
        <f>IF('[1]Game Input'!$AP96&lt;&gt;"",'[1]Game Input'!$AP96,"")</f>
        <v>0</v>
      </c>
      <c r="Q96" s="9">
        <f>IF('[1]Game Input'!$AQ96&lt;&gt;"",'[1]Game Input'!$AQ96,"")</f>
        <v>1</v>
      </c>
      <c r="R96" s="9">
        <f>IF('[1]Game Input'!$AR96&lt;&gt;"",'[1]Game Input'!$AR96,"")</f>
        <v>0</v>
      </c>
      <c r="S96" s="9">
        <f>IF('[1]Game Input'!$AS96&lt;&gt;"",'[1]Game Input'!$AS96,"")</f>
        <v>0</v>
      </c>
      <c r="T96" s="10" t="str">
        <f>IF('[1]Game Input'!$BA96&lt;&gt;"",'[1]Game Input'!$BA96,"")</f>
        <v>YOUNGSTOWN</v>
      </c>
      <c r="U96" s="9">
        <f>IF('[1]Game Input'!$BU96&lt;&gt;"",'[1]Game Input'!$BU96,"")</f>
        <v>14</v>
      </c>
      <c r="V96" s="9">
        <f>IF('[1]Game Input'!$BV96&lt;&gt;"",'[1]Game Input'!$BV96,"")</f>
        <v>7</v>
      </c>
      <c r="W96" s="9">
        <f>IF('[1]Game Input'!$CB96&lt;&gt;"",'[1]Game Input'!$CB96,"")</f>
        <v>0</v>
      </c>
      <c r="X96" s="9">
        <f>IF('[1]Game Input'!$CC96&lt;&gt;"",'[1]Game Input'!$CC96,"")</f>
        <v>0</v>
      </c>
      <c r="Y96" s="9">
        <f>IF('[1]Game Input'!$CF96&lt;&gt;"",'[1]Game Input'!$CF96,"")</f>
        <v>7</v>
      </c>
      <c r="Z96" s="9">
        <f>IF('[1]Game Input'!$CG96&lt;&gt;"",'[1]Game Input'!$CG96,"")</f>
        <v>0</v>
      </c>
      <c r="AA96" s="9">
        <f>IF('[1]Game Input'!$CH96&lt;&gt;"",'[1]Game Input'!$CH96,"")</f>
        <v>0</v>
      </c>
      <c r="AB96" s="9">
        <f>IF('[1]Game Input'!$CI96&lt;&gt;"",'[1]Game Input'!$CI96,"")</f>
        <v>0</v>
      </c>
      <c r="AC96" s="9">
        <f>IF('[1]Game Input'!$CJ96&lt;&gt;"",'[1]Game Input'!$CJ96,"")</f>
        <v>0</v>
      </c>
      <c r="AD96" s="9">
        <f>IF('[1]Game Input'!$CK96&lt;&gt;"",'[1]Game Input'!$CK96,"")</f>
        <v>0</v>
      </c>
      <c r="AE96" s="8" t="s">
        <v>104</v>
      </c>
      <c r="AF96" s="8" t="s">
        <v>101</v>
      </c>
      <c r="AG96" s="8" t="s">
        <v>120</v>
      </c>
      <c r="AH96" s="8" t="s">
        <v>121</v>
      </c>
    </row>
    <row r="97" spans="1:34" x14ac:dyDescent="0.2">
      <c r="A97" s="6">
        <f>IF('[1]Game Input'!$A97&lt;&gt;"",'[1]Game Input'!$A97,"")</f>
        <v>43407</v>
      </c>
      <c r="B97" s="6" t="str">
        <f>IF(A97&gt;$B$1,VLOOKUP(MONTH($A97),DOTWMonth,2,FALSE),"")</f>
        <v>November</v>
      </c>
      <c r="C97" s="10" t="str">
        <f>IF(A97&gt;$B$1,VLOOKUP(WEEKDAY($A97),DOTWMonth,3,FALSE),"")</f>
        <v>Saturday</v>
      </c>
      <c r="D97" s="7">
        <f>IF('[1]Game Input'!$B97&lt;&gt;"",'[1]Game Input'!$B97,"")</f>
        <v>0.83680555555555547</v>
      </c>
      <c r="E97" s="7">
        <f>IF('[1]Game Input'!$C97&lt;&gt;"",'[1]Game Input'!$C97,"")</f>
        <v>0.79513888888888884</v>
      </c>
      <c r="F97" s="8" t="str">
        <f>IF('[1]Game Input'!$D97&lt;&gt;"",'[1]Game Input'!$D97,"")</f>
        <v>Daylight</v>
      </c>
      <c r="G97" s="8" t="str">
        <f>IF('[1]Game Input'!$G97&lt;&gt;"",'[1]Game Input'!$G97,"")</f>
        <v>GB @ CR</v>
      </c>
      <c r="H97" s="8" t="str">
        <f>IF('[1]Game Input'!$H97&lt;&gt;"",'[1]Game Input'!$H97,"")</f>
        <v>Vs. Conference</v>
      </c>
      <c r="I97" s="8" t="str">
        <f>IF('[1]Game Input'!$I97&lt;&gt;"",'[1]Game Input'!$I97,"")</f>
        <v>GREEN BAY</v>
      </c>
      <c r="J97" s="9">
        <f>IF('[1]Game Input'!$AC97&lt;&gt;"",'[1]Game Input'!$AC97,"")</f>
        <v>26</v>
      </c>
      <c r="K97" s="9">
        <f>IF('[1]Game Input'!$AD97&lt;&gt;"",'[1]Game Input'!$AD97,"")</f>
        <v>9</v>
      </c>
      <c r="L97" s="9">
        <f>IF('[1]Game Input'!$AJ97&lt;&gt;"",'[1]Game Input'!$AJ97,"")</f>
        <v>0</v>
      </c>
      <c r="M97" s="9">
        <f>IF('[1]Game Input'!$AK97&lt;&gt;"",'[1]Game Input'!$AK97,"")</f>
        <v>0</v>
      </c>
      <c r="N97" s="9">
        <f>IF('[1]Game Input'!$AN97&lt;&gt;"",'[1]Game Input'!$AN97,"")</f>
        <v>8</v>
      </c>
      <c r="O97" s="9">
        <f>IF('[1]Game Input'!$AO97&lt;&gt;"",'[1]Game Input'!$AO97,"")</f>
        <v>0</v>
      </c>
      <c r="P97" s="9">
        <f>IF('[1]Game Input'!$AP97&lt;&gt;"",'[1]Game Input'!$AP97,"")</f>
        <v>1</v>
      </c>
      <c r="Q97" s="9">
        <f>IF('[1]Game Input'!$AQ97&lt;&gt;"",'[1]Game Input'!$AQ97,"")</f>
        <v>0</v>
      </c>
      <c r="R97" s="9">
        <f>IF('[1]Game Input'!$AR97&lt;&gt;"",'[1]Game Input'!$AR97,"")</f>
        <v>0</v>
      </c>
      <c r="S97" s="9">
        <f>IF('[1]Game Input'!$AS97&lt;&gt;"",'[1]Game Input'!$AS97,"")</f>
        <v>0</v>
      </c>
      <c r="T97" s="10" t="str">
        <f>IF('[1]Game Input'!$BA97&lt;&gt;"",'[1]Game Input'!$BA97,"")</f>
        <v>CEDAR RAPIDS</v>
      </c>
      <c r="U97" s="9">
        <f>IF('[1]Game Input'!$BU97&lt;&gt;"",'[1]Game Input'!$BU97,"")</f>
        <v>20</v>
      </c>
      <c r="V97" s="9">
        <f>IF('[1]Game Input'!$BV97&lt;&gt;"",'[1]Game Input'!$BV97,"")</f>
        <v>6</v>
      </c>
      <c r="W97" s="9">
        <f>IF('[1]Game Input'!$CB97&lt;&gt;"",'[1]Game Input'!$CB97,"")</f>
        <v>0</v>
      </c>
      <c r="X97" s="9">
        <f>IF('[1]Game Input'!$CC97&lt;&gt;"",'[1]Game Input'!$CC97,"")</f>
        <v>0</v>
      </c>
      <c r="Y97" s="9">
        <f>IF('[1]Game Input'!$CF97&lt;&gt;"",'[1]Game Input'!$CF97,"")</f>
        <v>5</v>
      </c>
      <c r="Z97" s="9">
        <f>IF('[1]Game Input'!$CG97&lt;&gt;"",'[1]Game Input'!$CG97,"")</f>
        <v>0</v>
      </c>
      <c r="AA97" s="9">
        <f>IF('[1]Game Input'!$CH97&lt;&gt;"",'[1]Game Input'!$CH97,"")</f>
        <v>1</v>
      </c>
      <c r="AB97" s="9">
        <f>IF('[1]Game Input'!$CI97&lt;&gt;"",'[1]Game Input'!$CI97,"")</f>
        <v>0</v>
      </c>
      <c r="AC97" s="9">
        <f>IF('[1]Game Input'!$CJ97&lt;&gt;"",'[1]Game Input'!$CJ97,"")</f>
        <v>0</v>
      </c>
      <c r="AD97" s="9">
        <f>IF('[1]Game Input'!$CK97&lt;&gt;"",'[1]Game Input'!$CK97,"")</f>
        <v>0</v>
      </c>
      <c r="AE97" s="8" t="s">
        <v>90</v>
      </c>
      <c r="AF97" s="8" t="s">
        <v>102</v>
      </c>
      <c r="AG97" s="8" t="s">
        <v>108</v>
      </c>
      <c r="AH97" s="8" t="s">
        <v>150</v>
      </c>
    </row>
    <row r="98" spans="1:34" x14ac:dyDescent="0.2">
      <c r="A98" s="6">
        <f>IF('[1]Game Input'!$A98&lt;&gt;"",'[1]Game Input'!$A98,"")</f>
        <v>43407</v>
      </c>
      <c r="B98" s="6" t="str">
        <f>IF(A98&gt;$B$1,VLOOKUP(MONTH($A98),DOTWMonth,2,FALSE),"")</f>
        <v>November</v>
      </c>
      <c r="C98" s="10" t="str">
        <f>IF(A98&gt;$B$1,VLOOKUP(WEEKDAY($A98),DOTWMonth,3,FALSE),"")</f>
        <v>Saturday</v>
      </c>
      <c r="D98" s="7">
        <f>IF('[1]Game Input'!$B98&lt;&gt;"",'[1]Game Input'!$B98,"")</f>
        <v>0.83680555555555547</v>
      </c>
      <c r="E98" s="7">
        <f>IF('[1]Game Input'!$C98&lt;&gt;"",'[1]Game Input'!$C98,"")</f>
        <v>0.79513888888888884</v>
      </c>
      <c r="F98" s="8" t="str">
        <f>IF('[1]Game Input'!$D98&lt;&gt;"",'[1]Game Input'!$D98,"")</f>
        <v>Daylight</v>
      </c>
      <c r="G98" s="8" t="str">
        <f>IF('[1]Game Input'!$G98&lt;&gt;"",'[1]Game Input'!$G98,"")</f>
        <v>MUS @ CHI</v>
      </c>
      <c r="H98" s="8" t="str">
        <f>IF('[1]Game Input'!$H98&lt;&gt;"",'[1]Game Input'!$H98,"")</f>
        <v>Vs. Conference</v>
      </c>
      <c r="I98" s="8" t="str">
        <f>IF('[1]Game Input'!$I98&lt;&gt;"",'[1]Game Input'!$I98,"")</f>
        <v>MUSKEGON</v>
      </c>
      <c r="J98" s="9">
        <f>IF('[1]Game Input'!$AC98&lt;&gt;"",'[1]Game Input'!$AC98,"")</f>
        <v>12</v>
      </c>
      <c r="K98" s="9">
        <f>IF('[1]Game Input'!$AD98&lt;&gt;"",'[1]Game Input'!$AD98,"")</f>
        <v>6</v>
      </c>
      <c r="L98" s="9">
        <f>IF('[1]Game Input'!$AJ98&lt;&gt;"",'[1]Game Input'!$AJ98,"")</f>
        <v>0</v>
      </c>
      <c r="M98" s="9">
        <f>IF('[1]Game Input'!$AK98&lt;&gt;"",'[1]Game Input'!$AK98,"")</f>
        <v>0</v>
      </c>
      <c r="N98" s="9">
        <f>IF('[1]Game Input'!$AN98&lt;&gt;"",'[1]Game Input'!$AN98,"")</f>
        <v>6</v>
      </c>
      <c r="O98" s="9">
        <f>IF('[1]Game Input'!$AO98&lt;&gt;"",'[1]Game Input'!$AO98,"")</f>
        <v>0</v>
      </c>
      <c r="P98" s="9">
        <f>IF('[1]Game Input'!$AP98&lt;&gt;"",'[1]Game Input'!$AP98,"")</f>
        <v>0</v>
      </c>
      <c r="Q98" s="9">
        <f>IF('[1]Game Input'!$AQ98&lt;&gt;"",'[1]Game Input'!$AQ98,"")</f>
        <v>0</v>
      </c>
      <c r="R98" s="9">
        <f>IF('[1]Game Input'!$AR98&lt;&gt;"",'[1]Game Input'!$AR98,"")</f>
        <v>0</v>
      </c>
      <c r="S98" s="9">
        <f>IF('[1]Game Input'!$AS98&lt;&gt;"",'[1]Game Input'!$AS98,"")</f>
        <v>0</v>
      </c>
      <c r="T98" s="10" t="str">
        <f>IF('[1]Game Input'!$BA98&lt;&gt;"",'[1]Game Input'!$BA98,"")</f>
        <v>CHICAGO</v>
      </c>
      <c r="U98" s="9">
        <f>IF('[1]Game Input'!$BU98&lt;&gt;"",'[1]Game Input'!$BU98,"")</f>
        <v>6</v>
      </c>
      <c r="V98" s="9">
        <f>IF('[1]Game Input'!$BV98&lt;&gt;"",'[1]Game Input'!$BV98,"")</f>
        <v>3</v>
      </c>
      <c r="W98" s="9">
        <f>IF('[1]Game Input'!$CB98&lt;&gt;"",'[1]Game Input'!$CB98,"")</f>
        <v>0</v>
      </c>
      <c r="X98" s="9">
        <f>IF('[1]Game Input'!$CC98&lt;&gt;"",'[1]Game Input'!$CC98,"")</f>
        <v>0</v>
      </c>
      <c r="Y98" s="9">
        <f>IF('[1]Game Input'!$CF98&lt;&gt;"",'[1]Game Input'!$CF98,"")</f>
        <v>3</v>
      </c>
      <c r="Z98" s="9">
        <f>IF('[1]Game Input'!$CG98&lt;&gt;"",'[1]Game Input'!$CG98,"")</f>
        <v>0</v>
      </c>
      <c r="AA98" s="9">
        <f>IF('[1]Game Input'!$CH98&lt;&gt;"",'[1]Game Input'!$CH98,"")</f>
        <v>0</v>
      </c>
      <c r="AB98" s="9">
        <f>IF('[1]Game Input'!$CI98&lt;&gt;"",'[1]Game Input'!$CI98,"")</f>
        <v>0</v>
      </c>
      <c r="AC98" s="9">
        <f>IF('[1]Game Input'!$CJ98&lt;&gt;"",'[1]Game Input'!$CJ98,"")</f>
        <v>0</v>
      </c>
      <c r="AD98" s="9">
        <f>IF('[1]Game Input'!$CK98&lt;&gt;"",'[1]Game Input'!$CK98,"")</f>
        <v>0</v>
      </c>
      <c r="AE98" s="8"/>
      <c r="AF98" s="8"/>
      <c r="AG98" s="8"/>
      <c r="AH98" s="8"/>
    </row>
    <row r="99" spans="1:34" x14ac:dyDescent="0.2">
      <c r="A99" s="6">
        <f>IF('[1]Game Input'!$A99&lt;&gt;"",'[1]Game Input'!$A99,"")</f>
        <v>43407</v>
      </c>
      <c r="B99" s="6" t="str">
        <f>IF(A99&gt;$B$1,VLOOKUP(MONTH($A99),DOTWMonth,2,FALSE),"")</f>
        <v>November</v>
      </c>
      <c r="C99" s="10" t="str">
        <f>IF(A99&gt;$B$1,VLOOKUP(WEEKDAY($A99),DOTWMonth,3,FALSE),"")</f>
        <v>Saturday</v>
      </c>
      <c r="D99" s="7">
        <f>IF('[1]Game Input'!$B99&lt;&gt;"",'[1]Game Input'!$B99,"")</f>
        <v>0.83680555555555547</v>
      </c>
      <c r="E99" s="7">
        <f>IF('[1]Game Input'!$C99&lt;&gt;"",'[1]Game Input'!$C99,"")</f>
        <v>0.79513888888888884</v>
      </c>
      <c r="F99" s="8" t="str">
        <f>IF('[1]Game Input'!$D99&lt;&gt;"",'[1]Game Input'!$D99,"")</f>
        <v>Daylight</v>
      </c>
      <c r="G99" s="8" t="str">
        <f>IF('[1]Game Input'!$G99&lt;&gt;"",'[1]Game Input'!$G99,"")</f>
        <v>OMA @ SC</v>
      </c>
      <c r="H99" s="8" t="str">
        <f>IF('[1]Game Input'!$H99&lt;&gt;"",'[1]Game Input'!$H99,"")</f>
        <v>Vs. Conference</v>
      </c>
      <c r="I99" s="8" t="str">
        <f>IF('[1]Game Input'!$I99&lt;&gt;"",'[1]Game Input'!$I99,"")</f>
        <v>OMAHA</v>
      </c>
      <c r="J99" s="9">
        <f>IF('[1]Game Input'!$AC99&lt;&gt;"",'[1]Game Input'!$AC99,"")</f>
        <v>6</v>
      </c>
      <c r="K99" s="9">
        <f>IF('[1]Game Input'!$AD99&lt;&gt;"",'[1]Game Input'!$AD99,"")</f>
        <v>3</v>
      </c>
      <c r="L99" s="9">
        <f>IF('[1]Game Input'!$AJ99&lt;&gt;"",'[1]Game Input'!$AJ99,"")</f>
        <v>0</v>
      </c>
      <c r="M99" s="9">
        <f>IF('[1]Game Input'!$AK99&lt;&gt;"",'[1]Game Input'!$AK99,"")</f>
        <v>0</v>
      </c>
      <c r="N99" s="9">
        <f>IF('[1]Game Input'!$AN99&lt;&gt;"",'[1]Game Input'!$AN99,"")</f>
        <v>3</v>
      </c>
      <c r="O99" s="9">
        <f>IF('[1]Game Input'!$AO99&lt;&gt;"",'[1]Game Input'!$AO99,"")</f>
        <v>0</v>
      </c>
      <c r="P99" s="9">
        <f>IF('[1]Game Input'!$AP99&lt;&gt;"",'[1]Game Input'!$AP99,"")</f>
        <v>0</v>
      </c>
      <c r="Q99" s="9">
        <f>IF('[1]Game Input'!$AQ99&lt;&gt;"",'[1]Game Input'!$AQ99,"")</f>
        <v>0</v>
      </c>
      <c r="R99" s="9">
        <f>IF('[1]Game Input'!$AR99&lt;&gt;"",'[1]Game Input'!$AR99,"")</f>
        <v>0</v>
      </c>
      <c r="S99" s="9">
        <f>IF('[1]Game Input'!$AS99&lt;&gt;"",'[1]Game Input'!$AS99,"")</f>
        <v>0</v>
      </c>
      <c r="T99" s="10" t="str">
        <f>IF('[1]Game Input'!$BA99&lt;&gt;"",'[1]Game Input'!$BA99,"")</f>
        <v>SIOUX CITY</v>
      </c>
      <c r="U99" s="9">
        <f>IF('[1]Game Input'!$BU99&lt;&gt;"",'[1]Game Input'!$BU99,"")</f>
        <v>4</v>
      </c>
      <c r="V99" s="9">
        <f>IF('[1]Game Input'!$BV99&lt;&gt;"",'[1]Game Input'!$BV99,"")</f>
        <v>2</v>
      </c>
      <c r="W99" s="9">
        <f>IF('[1]Game Input'!$CB99&lt;&gt;"",'[1]Game Input'!$CB99,"")</f>
        <v>0</v>
      </c>
      <c r="X99" s="9">
        <f>IF('[1]Game Input'!$CC99&lt;&gt;"",'[1]Game Input'!$CC99,"")</f>
        <v>0</v>
      </c>
      <c r="Y99" s="9">
        <f>IF('[1]Game Input'!$CF99&lt;&gt;"",'[1]Game Input'!$CF99,"")</f>
        <v>2</v>
      </c>
      <c r="Z99" s="9">
        <f>IF('[1]Game Input'!$CG99&lt;&gt;"",'[1]Game Input'!$CG99,"")</f>
        <v>0</v>
      </c>
      <c r="AA99" s="9">
        <f>IF('[1]Game Input'!$CH99&lt;&gt;"",'[1]Game Input'!$CH99,"")</f>
        <v>0</v>
      </c>
      <c r="AB99" s="9">
        <f>IF('[1]Game Input'!$CI99&lt;&gt;"",'[1]Game Input'!$CI99,"")</f>
        <v>0</v>
      </c>
      <c r="AC99" s="9">
        <f>IF('[1]Game Input'!$CJ99&lt;&gt;"",'[1]Game Input'!$CJ99,"")</f>
        <v>0</v>
      </c>
      <c r="AD99" s="9">
        <f>IF('[1]Game Input'!$CK99&lt;&gt;"",'[1]Game Input'!$CK99,"")</f>
        <v>0</v>
      </c>
      <c r="AE99" s="8"/>
      <c r="AF99" s="8"/>
      <c r="AG99" s="8"/>
      <c r="AH99" s="8"/>
    </row>
    <row r="100" spans="1:34" x14ac:dyDescent="0.2">
      <c r="A100" s="6">
        <f>IF('[1]Game Input'!$A100&lt;&gt;"",'[1]Game Input'!$A100,"")</f>
        <v>43407</v>
      </c>
      <c r="B100" s="6" t="str">
        <f>IF(A100&gt;$B$1,VLOOKUP(MONTH($A100),DOTWMonth,2,FALSE),"")</f>
        <v>November</v>
      </c>
      <c r="C100" s="10" t="str">
        <f>IF(A100&gt;$B$1,VLOOKUP(WEEKDAY($A100),DOTWMonth,3,FALSE),"")</f>
        <v>Saturday</v>
      </c>
      <c r="D100" s="7">
        <f>IF('[1]Game Input'!$B100&lt;&gt;"",'[1]Game Input'!$B100,"")</f>
        <v>0.83680555555555547</v>
      </c>
      <c r="E100" s="7">
        <f>IF('[1]Game Input'!$C100&lt;&gt;"",'[1]Game Input'!$C100,"")</f>
        <v>0.79513888888888884</v>
      </c>
      <c r="F100" s="8" t="str">
        <f>IF('[1]Game Input'!$D100&lt;&gt;"",'[1]Game Input'!$D100,"")</f>
        <v>Daylight</v>
      </c>
      <c r="G100" s="8" t="str">
        <f>IF('[1]Game Input'!$G100&lt;&gt;"",'[1]Game Input'!$G100,"")</f>
        <v>FGO @ SF</v>
      </c>
      <c r="H100" s="8" t="str">
        <f>IF('[1]Game Input'!$H100&lt;&gt;"",'[1]Game Input'!$H100,"")</f>
        <v>Vs. Conference</v>
      </c>
      <c r="I100" s="8" t="str">
        <f>IF('[1]Game Input'!$I100&lt;&gt;"",'[1]Game Input'!$I100,"")</f>
        <v>FARGO</v>
      </c>
      <c r="J100" s="9">
        <f>IF('[1]Game Input'!$AC100&lt;&gt;"",'[1]Game Input'!$AC100,"")</f>
        <v>27</v>
      </c>
      <c r="K100" s="9">
        <f>IF('[1]Game Input'!$AD100&lt;&gt;"",'[1]Game Input'!$AD100,"")</f>
        <v>8</v>
      </c>
      <c r="L100" s="9">
        <f>IF('[1]Game Input'!$AJ100&lt;&gt;"",'[1]Game Input'!$AJ100,"")</f>
        <v>0</v>
      </c>
      <c r="M100" s="9">
        <f>IF('[1]Game Input'!$AK100&lt;&gt;"",'[1]Game Input'!$AK100,"")</f>
        <v>0</v>
      </c>
      <c r="N100" s="9">
        <f>IF('[1]Game Input'!$AN100&lt;&gt;"",'[1]Game Input'!$AN100,"")</f>
        <v>6</v>
      </c>
      <c r="O100" s="9">
        <f>IF('[1]Game Input'!$AO100&lt;&gt;"",'[1]Game Input'!$AO100,"")</f>
        <v>1</v>
      </c>
      <c r="P100" s="9">
        <f>IF('[1]Game Input'!$AP100&lt;&gt;"",'[1]Game Input'!$AP100,"")</f>
        <v>1</v>
      </c>
      <c r="Q100" s="9">
        <f>IF('[1]Game Input'!$AQ100&lt;&gt;"",'[1]Game Input'!$AQ100,"")</f>
        <v>0</v>
      </c>
      <c r="R100" s="9">
        <f>IF('[1]Game Input'!$AR100&lt;&gt;"",'[1]Game Input'!$AR100,"")</f>
        <v>0</v>
      </c>
      <c r="S100" s="9">
        <f>IF('[1]Game Input'!$AS100&lt;&gt;"",'[1]Game Input'!$AS100,"")</f>
        <v>0</v>
      </c>
      <c r="T100" s="10" t="str">
        <f>IF('[1]Game Input'!$BA100&lt;&gt;"",'[1]Game Input'!$BA100,"")</f>
        <v>SIOUX FALLS</v>
      </c>
      <c r="U100" s="9">
        <f>IF('[1]Game Input'!$BU100&lt;&gt;"",'[1]Game Input'!$BU100,"")</f>
        <v>25</v>
      </c>
      <c r="V100" s="9">
        <f>IF('[1]Game Input'!$BV100&lt;&gt;"",'[1]Game Input'!$BV100,"")</f>
        <v>7</v>
      </c>
      <c r="W100" s="9">
        <f>IF('[1]Game Input'!$CB100&lt;&gt;"",'[1]Game Input'!$CB100,"")</f>
        <v>0</v>
      </c>
      <c r="X100" s="9">
        <f>IF('[1]Game Input'!$CC100&lt;&gt;"",'[1]Game Input'!$CC100,"")</f>
        <v>0</v>
      </c>
      <c r="Y100" s="9">
        <f>IF('[1]Game Input'!$CF100&lt;&gt;"",'[1]Game Input'!$CF100,"")</f>
        <v>5</v>
      </c>
      <c r="Z100" s="9">
        <f>IF('[1]Game Input'!$CG100&lt;&gt;"",'[1]Game Input'!$CG100,"")</f>
        <v>1</v>
      </c>
      <c r="AA100" s="9">
        <f>IF('[1]Game Input'!$CH100&lt;&gt;"",'[1]Game Input'!$CH100,"")</f>
        <v>1</v>
      </c>
      <c r="AB100" s="9">
        <f>IF('[1]Game Input'!$CI100&lt;&gt;"",'[1]Game Input'!$CI100,"")</f>
        <v>0</v>
      </c>
      <c r="AC100" s="9">
        <f>IF('[1]Game Input'!$CJ100&lt;&gt;"",'[1]Game Input'!$CJ100,"")</f>
        <v>0</v>
      </c>
      <c r="AD100" s="9">
        <f>IF('[1]Game Input'!$CK100&lt;&gt;"",'[1]Game Input'!$CK100,"")</f>
        <v>0</v>
      </c>
      <c r="AE100" s="8"/>
      <c r="AF100" s="8"/>
      <c r="AG100" s="8"/>
      <c r="AH100" s="8"/>
    </row>
    <row r="101" spans="1:34" x14ac:dyDescent="0.2">
      <c r="A101" s="6">
        <f>IF('[1]Game Input'!$A101&lt;&gt;"",'[1]Game Input'!$A101,"")</f>
        <v>43407</v>
      </c>
      <c r="B101" s="6" t="str">
        <f>IF(A101&gt;$B$1,VLOOKUP(MONTH($A101),DOTWMonth,2,FALSE),"")</f>
        <v>November</v>
      </c>
      <c r="C101" s="10" t="str">
        <f>IF(A101&gt;$B$1,VLOOKUP(WEEKDAY($A101),DOTWMonth,3,FALSE),"")</f>
        <v>Saturday</v>
      </c>
      <c r="D101" s="7">
        <f>IF('[1]Game Input'!$B101&lt;&gt;"",'[1]Game Input'!$B101,"")</f>
        <v>0.83680555555555547</v>
      </c>
      <c r="E101" s="7">
        <f>IF('[1]Game Input'!$C101&lt;&gt;"",'[1]Game Input'!$C101,"")</f>
        <v>0.79513888888888884</v>
      </c>
      <c r="F101" s="8" t="str">
        <f>IF('[1]Game Input'!$D101&lt;&gt;"",'[1]Game Input'!$D101,"")</f>
        <v>Daylight</v>
      </c>
      <c r="G101" s="8" t="str">
        <f>IF('[1]Game Input'!$G101&lt;&gt;"",'[1]Game Input'!$G101,"")</f>
        <v>WAT @ DUB</v>
      </c>
      <c r="H101" s="8" t="str">
        <f>IF('[1]Game Input'!$H101&lt;&gt;"",'[1]Game Input'!$H101,"")</f>
        <v>Vs. Non-Conference</v>
      </c>
      <c r="I101" s="8" t="str">
        <f>IF('[1]Game Input'!$I101&lt;&gt;"",'[1]Game Input'!$I101,"")</f>
        <v>WATERLOO</v>
      </c>
      <c r="J101" s="9">
        <f>IF('[1]Game Input'!$AC101&lt;&gt;"",'[1]Game Input'!$AC101,"")</f>
        <v>4</v>
      </c>
      <c r="K101" s="9">
        <f>IF('[1]Game Input'!$AD101&lt;&gt;"",'[1]Game Input'!$AD101,"")</f>
        <v>2</v>
      </c>
      <c r="L101" s="9">
        <f>IF('[1]Game Input'!$AJ101&lt;&gt;"",'[1]Game Input'!$AJ101,"")</f>
        <v>0</v>
      </c>
      <c r="M101" s="9">
        <f>IF('[1]Game Input'!$AK101&lt;&gt;"",'[1]Game Input'!$AK101,"")</f>
        <v>0</v>
      </c>
      <c r="N101" s="9">
        <f>IF('[1]Game Input'!$AN101&lt;&gt;"",'[1]Game Input'!$AN101,"")</f>
        <v>2</v>
      </c>
      <c r="O101" s="9">
        <f>IF('[1]Game Input'!$AO101&lt;&gt;"",'[1]Game Input'!$AO101,"")</f>
        <v>0</v>
      </c>
      <c r="P101" s="9">
        <f>IF('[1]Game Input'!$AP101&lt;&gt;"",'[1]Game Input'!$AP101,"")</f>
        <v>0</v>
      </c>
      <c r="Q101" s="9">
        <f>IF('[1]Game Input'!$AQ101&lt;&gt;"",'[1]Game Input'!$AQ101,"")</f>
        <v>0</v>
      </c>
      <c r="R101" s="9">
        <f>IF('[1]Game Input'!$AR101&lt;&gt;"",'[1]Game Input'!$AR101,"")</f>
        <v>0</v>
      </c>
      <c r="S101" s="9">
        <f>IF('[1]Game Input'!$AS101&lt;&gt;"",'[1]Game Input'!$AS101,"")</f>
        <v>0</v>
      </c>
      <c r="T101" s="10" t="str">
        <f>IF('[1]Game Input'!$BA101&lt;&gt;"",'[1]Game Input'!$BA101,"")</f>
        <v>DUBUQUE</v>
      </c>
      <c r="U101" s="9">
        <f>IF('[1]Game Input'!$BU101&lt;&gt;"",'[1]Game Input'!$BU101,"")</f>
        <v>8</v>
      </c>
      <c r="V101" s="9">
        <f>IF('[1]Game Input'!$BV101&lt;&gt;"",'[1]Game Input'!$BV101,"")</f>
        <v>4</v>
      </c>
      <c r="W101" s="9">
        <f>IF('[1]Game Input'!$CB101&lt;&gt;"",'[1]Game Input'!$CB101,"")</f>
        <v>0</v>
      </c>
      <c r="X101" s="9">
        <f>IF('[1]Game Input'!$CC101&lt;&gt;"",'[1]Game Input'!$CC101,"")</f>
        <v>0</v>
      </c>
      <c r="Y101" s="9">
        <f>IF('[1]Game Input'!$CF101&lt;&gt;"",'[1]Game Input'!$CF101,"")</f>
        <v>4</v>
      </c>
      <c r="Z101" s="9">
        <f>IF('[1]Game Input'!$CG101&lt;&gt;"",'[1]Game Input'!$CG101,"")</f>
        <v>0</v>
      </c>
      <c r="AA101" s="9">
        <f>IF('[1]Game Input'!$CH101&lt;&gt;"",'[1]Game Input'!$CH101,"")</f>
        <v>0</v>
      </c>
      <c r="AB101" s="9">
        <f>IF('[1]Game Input'!$CI101&lt;&gt;"",'[1]Game Input'!$CI101,"")</f>
        <v>0</v>
      </c>
      <c r="AC101" s="9">
        <f>IF('[1]Game Input'!$CJ101&lt;&gt;"",'[1]Game Input'!$CJ101,"")</f>
        <v>0</v>
      </c>
      <c r="AD101" s="9">
        <f>IF('[1]Game Input'!$CK101&lt;&gt;"",'[1]Game Input'!$CK101,"")</f>
        <v>0</v>
      </c>
      <c r="AE101" s="8"/>
      <c r="AF101" s="8"/>
      <c r="AG101" s="8"/>
      <c r="AH101" s="8"/>
    </row>
    <row r="102" spans="1:34" x14ac:dyDescent="0.2">
      <c r="A102" s="6">
        <f>IF('[1]Game Input'!$A102&lt;&gt;"",'[1]Game Input'!$A102,"")</f>
        <v>43408</v>
      </c>
      <c r="B102" s="6" t="str">
        <f>IF(A102&gt;$B$1,VLOOKUP(MONTH($A102),DOTWMonth,2,FALSE),"")</f>
        <v>November</v>
      </c>
      <c r="C102" s="10" t="str">
        <f>IF(A102&gt;$B$1,VLOOKUP(WEEKDAY($A102),DOTWMonth,3,FALSE),"")</f>
        <v>Sunday</v>
      </c>
      <c r="D102" s="7">
        <f>IF('[1]Game Input'!$B102&lt;&gt;"",'[1]Game Input'!$B102,"")</f>
        <v>0.67013888888888884</v>
      </c>
      <c r="E102" s="7">
        <f>IF('[1]Game Input'!$C102&lt;&gt;"",'[1]Game Input'!$C102,"")</f>
        <v>0.62847222222222221</v>
      </c>
      <c r="F102" s="8" t="str">
        <f>IF('[1]Game Input'!$D102&lt;&gt;"",'[1]Game Input'!$D102,"")</f>
        <v>Standard</v>
      </c>
      <c r="G102" s="8" t="str">
        <f>IF('[1]Game Input'!$G102&lt;&gt;"",'[1]Game Input'!$G102,"")</f>
        <v>SF @ DM</v>
      </c>
      <c r="H102" s="8" t="str">
        <f>IF('[1]Game Input'!$H102&lt;&gt;"",'[1]Game Input'!$H102,"")</f>
        <v>Vs. Conference</v>
      </c>
      <c r="I102" s="8" t="str">
        <f>IF('[1]Game Input'!$I102&lt;&gt;"",'[1]Game Input'!$I102,"")</f>
        <v>SIOUX FALLS</v>
      </c>
      <c r="J102" s="9">
        <f>IF('[1]Game Input'!$AC102&lt;&gt;"",'[1]Game Input'!$AC102,"")</f>
        <v>12</v>
      </c>
      <c r="K102" s="9">
        <f>IF('[1]Game Input'!$AD102&lt;&gt;"",'[1]Game Input'!$AD102,"")</f>
        <v>6</v>
      </c>
      <c r="L102" s="9">
        <f>IF('[1]Game Input'!$AJ102&lt;&gt;"",'[1]Game Input'!$AJ102,"")</f>
        <v>0</v>
      </c>
      <c r="M102" s="9">
        <f>IF('[1]Game Input'!$AK102&lt;&gt;"",'[1]Game Input'!$AK102,"")</f>
        <v>0</v>
      </c>
      <c r="N102" s="9">
        <f>IF('[1]Game Input'!$AN102&lt;&gt;"",'[1]Game Input'!$AN102,"")</f>
        <v>6</v>
      </c>
      <c r="O102" s="9">
        <f>IF('[1]Game Input'!$AO102&lt;&gt;"",'[1]Game Input'!$AO102,"")</f>
        <v>0</v>
      </c>
      <c r="P102" s="9">
        <f>IF('[1]Game Input'!$AP102&lt;&gt;"",'[1]Game Input'!$AP102,"")</f>
        <v>0</v>
      </c>
      <c r="Q102" s="9">
        <f>IF('[1]Game Input'!$AQ102&lt;&gt;"",'[1]Game Input'!$AQ102,"")</f>
        <v>0</v>
      </c>
      <c r="R102" s="9">
        <f>IF('[1]Game Input'!$AR102&lt;&gt;"",'[1]Game Input'!$AR102,"")</f>
        <v>0</v>
      </c>
      <c r="S102" s="9">
        <f>IF('[1]Game Input'!$AS102&lt;&gt;"",'[1]Game Input'!$AS102,"")</f>
        <v>0</v>
      </c>
      <c r="T102" s="10" t="str">
        <f>IF('[1]Game Input'!$BA102&lt;&gt;"",'[1]Game Input'!$BA102,"")</f>
        <v>DES MOINES</v>
      </c>
      <c r="U102" s="9">
        <f>IF('[1]Game Input'!$BU102&lt;&gt;"",'[1]Game Input'!$BU102,"")</f>
        <v>12</v>
      </c>
      <c r="V102" s="9">
        <f>IF('[1]Game Input'!$BV102&lt;&gt;"",'[1]Game Input'!$BV102,"")</f>
        <v>6</v>
      </c>
      <c r="W102" s="9">
        <f>IF('[1]Game Input'!$CB102&lt;&gt;"",'[1]Game Input'!$CB102,"")</f>
        <v>0</v>
      </c>
      <c r="X102" s="9">
        <f>IF('[1]Game Input'!$CC102&lt;&gt;"",'[1]Game Input'!$CC102,"")</f>
        <v>0</v>
      </c>
      <c r="Y102" s="9">
        <f>IF('[1]Game Input'!$CF102&lt;&gt;"",'[1]Game Input'!$CF102,"")</f>
        <v>6</v>
      </c>
      <c r="Z102" s="9">
        <f>IF('[1]Game Input'!$CG102&lt;&gt;"",'[1]Game Input'!$CG102,"")</f>
        <v>0</v>
      </c>
      <c r="AA102" s="9">
        <f>IF('[1]Game Input'!$CH102&lt;&gt;"",'[1]Game Input'!$CH102,"")</f>
        <v>0</v>
      </c>
      <c r="AB102" s="9">
        <f>IF('[1]Game Input'!$CI102&lt;&gt;"",'[1]Game Input'!$CI102,"")</f>
        <v>0</v>
      </c>
      <c r="AC102" s="9">
        <f>IF('[1]Game Input'!$CJ102&lt;&gt;"",'[1]Game Input'!$CJ102,"")</f>
        <v>0</v>
      </c>
      <c r="AD102" s="9">
        <f>IF('[1]Game Input'!$CK102&lt;&gt;"",'[1]Game Input'!$CK102,"")</f>
        <v>0</v>
      </c>
      <c r="AE102" s="8" t="s">
        <v>90</v>
      </c>
      <c r="AF102" s="8" t="s">
        <v>97</v>
      </c>
      <c r="AG102" s="8" t="s">
        <v>118</v>
      </c>
      <c r="AH102" s="8" t="s">
        <v>114</v>
      </c>
    </row>
    <row r="103" spans="1:34" x14ac:dyDescent="0.2">
      <c r="A103" s="6">
        <f>IF('[1]Game Input'!$A103&lt;&gt;"",'[1]Game Input'!$A103,"")</f>
        <v>43409</v>
      </c>
      <c r="B103" s="6" t="str">
        <f>IF(A103&gt;$B$1,VLOOKUP(MONTH($A103),DOTWMonth,2,FALSE),"")</f>
        <v>November</v>
      </c>
      <c r="C103" s="10" t="str">
        <f>IF(A103&gt;$B$1,VLOOKUP(WEEKDAY($A103),DOTWMonth,3,FALSE),"")</f>
        <v>Monday</v>
      </c>
      <c r="D103" s="7">
        <f>IF('[1]Game Input'!$B103&lt;&gt;"",'[1]Game Input'!$B103,"")</f>
        <v>0.41666666666666669</v>
      </c>
      <c r="E103" s="7">
        <f>IF('[1]Game Input'!$C103&lt;&gt;"",'[1]Game Input'!$C103,"")</f>
        <v>0.37500000000000006</v>
      </c>
      <c r="F103" s="8" t="str">
        <f>IF('[1]Game Input'!$D103&lt;&gt;"",'[1]Game Input'!$D103,"")</f>
        <v>Standard</v>
      </c>
      <c r="G103" s="8" t="str">
        <f>IF('[1]Game Input'!$G103&lt;&gt;"",'[1]Game Input'!$G103,"")</f>
        <v>CIL @ YNG</v>
      </c>
      <c r="H103" s="8" t="str">
        <f>IF('[1]Game Input'!$H103&lt;&gt;"",'[1]Game Input'!$H103,"")</f>
        <v>Vs. Conference</v>
      </c>
      <c r="I103" s="8" t="str">
        <f>IF('[1]Game Input'!$I103&lt;&gt;"",'[1]Game Input'!$I103,"")</f>
        <v>CENTRAL ILLINOIS</v>
      </c>
      <c r="J103" s="9">
        <f>IF('[1]Game Input'!$AC103&lt;&gt;"",'[1]Game Input'!$AC103,"")</f>
        <v>16</v>
      </c>
      <c r="K103" s="9">
        <f>IF('[1]Game Input'!$AD103&lt;&gt;"",'[1]Game Input'!$AD103,"")</f>
        <v>8</v>
      </c>
      <c r="L103" s="9">
        <f>IF('[1]Game Input'!$AJ103&lt;&gt;"",'[1]Game Input'!$AJ103,"")</f>
        <v>0</v>
      </c>
      <c r="M103" s="9">
        <f>IF('[1]Game Input'!$AK103&lt;&gt;"",'[1]Game Input'!$AK103,"")</f>
        <v>0</v>
      </c>
      <c r="N103" s="9">
        <f>IF('[1]Game Input'!$AN103&lt;&gt;"",'[1]Game Input'!$AN103,"")</f>
        <v>8</v>
      </c>
      <c r="O103" s="9">
        <f>IF('[1]Game Input'!$AO103&lt;&gt;"",'[1]Game Input'!$AO103,"")</f>
        <v>0</v>
      </c>
      <c r="P103" s="9">
        <f>IF('[1]Game Input'!$AP103&lt;&gt;"",'[1]Game Input'!$AP103,"")</f>
        <v>0</v>
      </c>
      <c r="Q103" s="9">
        <f>IF('[1]Game Input'!$AQ103&lt;&gt;"",'[1]Game Input'!$AQ103,"")</f>
        <v>0</v>
      </c>
      <c r="R103" s="9">
        <f>IF('[1]Game Input'!$AR103&lt;&gt;"",'[1]Game Input'!$AR103,"")</f>
        <v>0</v>
      </c>
      <c r="S103" s="9">
        <f>IF('[1]Game Input'!$AS103&lt;&gt;"",'[1]Game Input'!$AS103,"")</f>
        <v>0</v>
      </c>
      <c r="T103" s="10" t="str">
        <f>IF('[1]Game Input'!$BA103&lt;&gt;"",'[1]Game Input'!$BA103,"")</f>
        <v>YOUNGSTOWN</v>
      </c>
      <c r="U103" s="9">
        <f>IF('[1]Game Input'!$BU103&lt;&gt;"",'[1]Game Input'!$BU103,"")</f>
        <v>14</v>
      </c>
      <c r="V103" s="9">
        <f>IF('[1]Game Input'!$BV103&lt;&gt;"",'[1]Game Input'!$BV103,"")</f>
        <v>7</v>
      </c>
      <c r="W103" s="9">
        <f>IF('[1]Game Input'!$CB103&lt;&gt;"",'[1]Game Input'!$CB103,"")</f>
        <v>0</v>
      </c>
      <c r="X103" s="9">
        <f>IF('[1]Game Input'!$CC103&lt;&gt;"",'[1]Game Input'!$CC103,"")</f>
        <v>0</v>
      </c>
      <c r="Y103" s="9">
        <f>IF('[1]Game Input'!$CF103&lt;&gt;"",'[1]Game Input'!$CF103,"")</f>
        <v>7</v>
      </c>
      <c r="Z103" s="9">
        <f>IF('[1]Game Input'!$CG103&lt;&gt;"",'[1]Game Input'!$CG103,"")</f>
        <v>0</v>
      </c>
      <c r="AA103" s="9">
        <f>IF('[1]Game Input'!$CH103&lt;&gt;"",'[1]Game Input'!$CH103,"")</f>
        <v>0</v>
      </c>
      <c r="AB103" s="9">
        <f>IF('[1]Game Input'!$CI103&lt;&gt;"",'[1]Game Input'!$CI103,"")</f>
        <v>0</v>
      </c>
      <c r="AC103" s="9">
        <f>IF('[1]Game Input'!$CJ103&lt;&gt;"",'[1]Game Input'!$CJ103,"")</f>
        <v>0</v>
      </c>
      <c r="AD103" s="9">
        <f>IF('[1]Game Input'!$CK103&lt;&gt;"",'[1]Game Input'!$CK103,"")</f>
        <v>0</v>
      </c>
      <c r="AE103" s="8" t="s">
        <v>146</v>
      </c>
      <c r="AF103" s="8" t="s">
        <v>95</v>
      </c>
      <c r="AG103" s="8" t="s">
        <v>112</v>
      </c>
      <c r="AH103" s="8" t="s">
        <v>165</v>
      </c>
    </row>
    <row r="104" spans="1:34" x14ac:dyDescent="0.2">
      <c r="A104" s="6">
        <f>IF('[1]Game Input'!$A104&lt;&gt;"",'[1]Game Input'!$A104,"")</f>
        <v>43410</v>
      </c>
      <c r="B104" s="6" t="str">
        <f>IF(A104&gt;$B$1,VLOOKUP(MONTH($A104),DOTWMonth,2,FALSE),"")</f>
        <v>November</v>
      </c>
      <c r="C104" s="10" t="str">
        <f>IF(A104&gt;$B$1,VLOOKUP(WEEKDAY($A104),DOTWMonth,3,FALSE),"")</f>
        <v>Tuesday</v>
      </c>
      <c r="D104" s="7">
        <f>IF('[1]Game Input'!$B104&lt;&gt;"",'[1]Game Input'!$B104,"")</f>
        <v>0.83680555555555547</v>
      </c>
      <c r="E104" s="7">
        <f>IF('[1]Game Input'!$C104&lt;&gt;"",'[1]Game Input'!$C104,"")</f>
        <v>0.79513888888888884</v>
      </c>
      <c r="F104" s="8" t="str">
        <f>IF('[1]Game Input'!$D104&lt;&gt;"",'[1]Game Input'!$D104,"")</f>
        <v>Standard</v>
      </c>
      <c r="G104" s="8" t="str">
        <f>IF('[1]Game Input'!$G104&lt;&gt;"",'[1]Game Input'!$G104,"")</f>
        <v>OMA @ TC</v>
      </c>
      <c r="H104" s="8" t="str">
        <f>IF('[1]Game Input'!$H104&lt;&gt;"",'[1]Game Input'!$H104,"")</f>
        <v>Vs. Conference</v>
      </c>
      <c r="I104" s="8" t="str">
        <f>IF('[1]Game Input'!$I104&lt;&gt;"",'[1]Game Input'!$I104,"")</f>
        <v>OMAHA</v>
      </c>
      <c r="J104" s="9">
        <f>IF('[1]Game Input'!$AC104&lt;&gt;"",'[1]Game Input'!$AC104,"")</f>
        <v>10</v>
      </c>
      <c r="K104" s="9">
        <f>IF('[1]Game Input'!$AD104&lt;&gt;"",'[1]Game Input'!$AD104,"")</f>
        <v>5</v>
      </c>
      <c r="L104" s="9">
        <f>IF('[1]Game Input'!$AJ104&lt;&gt;"",'[1]Game Input'!$AJ104,"")</f>
        <v>0</v>
      </c>
      <c r="M104" s="9">
        <f>IF('[1]Game Input'!$AK104&lt;&gt;"",'[1]Game Input'!$AK104,"")</f>
        <v>0</v>
      </c>
      <c r="N104" s="9">
        <f>IF('[1]Game Input'!$AN104&lt;&gt;"",'[1]Game Input'!$AN104,"")</f>
        <v>5</v>
      </c>
      <c r="O104" s="9">
        <f>IF('[1]Game Input'!$AO104&lt;&gt;"",'[1]Game Input'!$AO104,"")</f>
        <v>0</v>
      </c>
      <c r="P104" s="9">
        <f>IF('[1]Game Input'!$AP104&lt;&gt;"",'[1]Game Input'!$AP104,"")</f>
        <v>0</v>
      </c>
      <c r="Q104" s="9">
        <f>IF('[1]Game Input'!$AQ104&lt;&gt;"",'[1]Game Input'!$AQ104,"")</f>
        <v>0</v>
      </c>
      <c r="R104" s="9">
        <f>IF('[1]Game Input'!$AR104&lt;&gt;"",'[1]Game Input'!$AR104,"")</f>
        <v>0</v>
      </c>
      <c r="S104" s="9">
        <f>IF('[1]Game Input'!$AS104&lt;&gt;"",'[1]Game Input'!$AS104,"")</f>
        <v>0</v>
      </c>
      <c r="T104" s="10" t="str">
        <f>IF('[1]Game Input'!$BA104&lt;&gt;"",'[1]Game Input'!$BA104,"")</f>
        <v>TRI-CITY</v>
      </c>
      <c r="U104" s="9">
        <f>IF('[1]Game Input'!$BU104&lt;&gt;"",'[1]Game Input'!$BU104,"")</f>
        <v>8</v>
      </c>
      <c r="V104" s="9">
        <f>IF('[1]Game Input'!$BV104&lt;&gt;"",'[1]Game Input'!$BV104,"")</f>
        <v>4</v>
      </c>
      <c r="W104" s="9">
        <f>IF('[1]Game Input'!$CB104&lt;&gt;"",'[1]Game Input'!$CB104,"")</f>
        <v>0</v>
      </c>
      <c r="X104" s="9">
        <f>IF('[1]Game Input'!$CC104&lt;&gt;"",'[1]Game Input'!$CC104,"")</f>
        <v>0</v>
      </c>
      <c r="Y104" s="9">
        <f>IF('[1]Game Input'!$CF104&lt;&gt;"",'[1]Game Input'!$CF104,"")</f>
        <v>4</v>
      </c>
      <c r="Z104" s="9">
        <f>IF('[1]Game Input'!$CG104&lt;&gt;"",'[1]Game Input'!$CG104,"")</f>
        <v>0</v>
      </c>
      <c r="AA104" s="9">
        <f>IF('[1]Game Input'!$CH104&lt;&gt;"",'[1]Game Input'!$CH104,"")</f>
        <v>0</v>
      </c>
      <c r="AB104" s="9">
        <f>IF('[1]Game Input'!$CI104&lt;&gt;"",'[1]Game Input'!$CI104,"")</f>
        <v>0</v>
      </c>
      <c r="AC104" s="9">
        <f>IF('[1]Game Input'!$CJ104&lt;&gt;"",'[1]Game Input'!$CJ104,"")</f>
        <v>0</v>
      </c>
      <c r="AD104" s="9">
        <f>IF('[1]Game Input'!$CK104&lt;&gt;"",'[1]Game Input'!$CK104,"")</f>
        <v>0</v>
      </c>
      <c r="AE104" s="8"/>
      <c r="AF104" s="8"/>
      <c r="AG104" s="8"/>
      <c r="AH104" s="8"/>
    </row>
    <row r="105" spans="1:34" x14ac:dyDescent="0.2">
      <c r="A105" s="6">
        <f>IF('[1]Game Input'!$A105&lt;&gt;"",'[1]Game Input'!$A105,"")</f>
        <v>43413</v>
      </c>
      <c r="B105" s="6" t="str">
        <f>IF(A105&gt;$B$1,VLOOKUP(MONTH($A105),DOTWMonth,2,FALSE),"")</f>
        <v>November</v>
      </c>
      <c r="C105" s="10" t="str">
        <f>IF(A105&gt;$B$1,VLOOKUP(WEEKDAY($A105),DOTWMonth,3,FALSE),"")</f>
        <v>Friday</v>
      </c>
      <c r="D105" s="7">
        <f>IF('[1]Game Input'!$B105&lt;&gt;"",'[1]Game Input'!$B105,"")</f>
        <v>0.80208333333333337</v>
      </c>
      <c r="E105" s="7">
        <f>IF('[1]Game Input'!$C105&lt;&gt;"",'[1]Game Input'!$C105,"")</f>
        <v>0.76041666666666674</v>
      </c>
      <c r="F105" s="8" t="str">
        <f>IF('[1]Game Input'!$D105&lt;&gt;"",'[1]Game Input'!$D105,"")</f>
        <v>Standard</v>
      </c>
      <c r="G105" s="8" t="str">
        <f>IF('[1]Game Input'!$G105&lt;&gt;"",'[1]Game Input'!$G105,"")</f>
        <v>YNG @ MUS</v>
      </c>
      <c r="H105" s="8" t="str">
        <f>IF('[1]Game Input'!$H105&lt;&gt;"",'[1]Game Input'!$H105,"")</f>
        <v>Vs. Conference</v>
      </c>
      <c r="I105" s="8" t="str">
        <f>IF('[1]Game Input'!$I105&lt;&gt;"",'[1]Game Input'!$I105,"")</f>
        <v>YOUNGSTOWN</v>
      </c>
      <c r="J105" s="9">
        <f>IF('[1]Game Input'!$AC105&lt;&gt;"",'[1]Game Input'!$AC105,"")</f>
        <v>25</v>
      </c>
      <c r="K105" s="9">
        <f>IF('[1]Game Input'!$AD105&lt;&gt;"",'[1]Game Input'!$AD105,"")</f>
        <v>7</v>
      </c>
      <c r="L105" s="9">
        <f>IF('[1]Game Input'!$AJ105&lt;&gt;"",'[1]Game Input'!$AJ105,"")</f>
        <v>0</v>
      </c>
      <c r="M105" s="9">
        <f>IF('[1]Game Input'!$AK105&lt;&gt;"",'[1]Game Input'!$AK105,"")</f>
        <v>0</v>
      </c>
      <c r="N105" s="9">
        <f>IF('[1]Game Input'!$AN105&lt;&gt;"",'[1]Game Input'!$AN105,"")</f>
        <v>5</v>
      </c>
      <c r="O105" s="9">
        <f>IF('[1]Game Input'!$AO105&lt;&gt;"",'[1]Game Input'!$AO105,"")</f>
        <v>1</v>
      </c>
      <c r="P105" s="9">
        <f>IF('[1]Game Input'!$AP105&lt;&gt;"",'[1]Game Input'!$AP105,"")</f>
        <v>0</v>
      </c>
      <c r="Q105" s="9">
        <f>IF('[1]Game Input'!$AQ105&lt;&gt;"",'[1]Game Input'!$AQ105,"")</f>
        <v>1</v>
      </c>
      <c r="R105" s="9">
        <f>IF('[1]Game Input'!$AR105&lt;&gt;"",'[1]Game Input'!$AR105,"")</f>
        <v>0</v>
      </c>
      <c r="S105" s="9">
        <f>IF('[1]Game Input'!$AS105&lt;&gt;"",'[1]Game Input'!$AS105,"")</f>
        <v>0</v>
      </c>
      <c r="T105" s="10" t="str">
        <f>IF('[1]Game Input'!$BA105&lt;&gt;"",'[1]Game Input'!$BA105,"")</f>
        <v>MUSKEGON</v>
      </c>
      <c r="U105" s="9">
        <f>IF('[1]Game Input'!$BU105&lt;&gt;"",'[1]Game Input'!$BU105,"")</f>
        <v>14</v>
      </c>
      <c r="V105" s="9">
        <f>IF('[1]Game Input'!$BV105&lt;&gt;"",'[1]Game Input'!$BV105,"")</f>
        <v>7</v>
      </c>
      <c r="W105" s="9">
        <f>IF('[1]Game Input'!$CB105&lt;&gt;"",'[1]Game Input'!$CB105,"")</f>
        <v>0</v>
      </c>
      <c r="X105" s="9">
        <f>IF('[1]Game Input'!$CC105&lt;&gt;"",'[1]Game Input'!$CC105,"")</f>
        <v>0</v>
      </c>
      <c r="Y105" s="9">
        <f>IF('[1]Game Input'!$CF105&lt;&gt;"",'[1]Game Input'!$CF105,"")</f>
        <v>7</v>
      </c>
      <c r="Z105" s="9">
        <f>IF('[1]Game Input'!$CG105&lt;&gt;"",'[1]Game Input'!$CG105,"")</f>
        <v>0</v>
      </c>
      <c r="AA105" s="9">
        <f>IF('[1]Game Input'!$CH105&lt;&gt;"",'[1]Game Input'!$CH105,"")</f>
        <v>0</v>
      </c>
      <c r="AB105" s="9">
        <f>IF('[1]Game Input'!$CI105&lt;&gt;"",'[1]Game Input'!$CI105,"")</f>
        <v>0</v>
      </c>
      <c r="AC105" s="9">
        <f>IF('[1]Game Input'!$CJ105&lt;&gt;"",'[1]Game Input'!$CJ105,"")</f>
        <v>0</v>
      </c>
      <c r="AD105" s="9">
        <f>IF('[1]Game Input'!$CK105&lt;&gt;"",'[1]Game Input'!$CK105,"")</f>
        <v>0</v>
      </c>
      <c r="AE105" s="8"/>
      <c r="AF105" s="8"/>
      <c r="AG105" s="8"/>
      <c r="AH105" s="8"/>
    </row>
    <row r="106" spans="1:34" x14ac:dyDescent="0.2">
      <c r="A106" s="6">
        <f>IF('[1]Game Input'!$A106&lt;&gt;"",'[1]Game Input'!$A106,"")</f>
        <v>43413</v>
      </c>
      <c r="B106" s="6" t="str">
        <f>IF(A106&gt;$B$1,VLOOKUP(MONTH($A106),DOTWMonth,2,FALSE),"")</f>
        <v>November</v>
      </c>
      <c r="C106" s="10" t="str">
        <f>IF(A106&gt;$B$1,VLOOKUP(WEEKDAY($A106),DOTWMonth,3,FALSE),"")</f>
        <v>Friday</v>
      </c>
      <c r="D106" s="7">
        <f>IF('[1]Game Input'!$B106&lt;&gt;"",'[1]Game Input'!$B106,"")</f>
        <v>0.83680555555555547</v>
      </c>
      <c r="E106" s="7">
        <f>IF('[1]Game Input'!$C106&lt;&gt;"",'[1]Game Input'!$C106,"")</f>
        <v>0.79513888888888884</v>
      </c>
      <c r="F106" s="8" t="str">
        <f>IF('[1]Game Input'!$D106&lt;&gt;"",'[1]Game Input'!$D106,"")</f>
        <v>Standard</v>
      </c>
      <c r="G106" s="8" t="str">
        <f>IF('[1]Game Input'!$G106&lt;&gt;"",'[1]Game Input'!$G106,"")</f>
        <v>CIL @ DUB</v>
      </c>
      <c r="H106" s="8" t="str">
        <f>IF('[1]Game Input'!$H106&lt;&gt;"",'[1]Game Input'!$H106,"")</f>
        <v>Vs. Conference</v>
      </c>
      <c r="I106" s="8" t="str">
        <f>IF('[1]Game Input'!$I106&lt;&gt;"",'[1]Game Input'!$I106,"")</f>
        <v>CENTRAL ILLINOIS</v>
      </c>
      <c r="J106" s="9">
        <f>IF('[1]Game Input'!$AC106&lt;&gt;"",'[1]Game Input'!$AC106,"")</f>
        <v>25</v>
      </c>
      <c r="K106" s="9">
        <f>IF('[1]Game Input'!$AD106&lt;&gt;"",'[1]Game Input'!$AD106,"")</f>
        <v>7</v>
      </c>
      <c r="L106" s="9">
        <f>IF('[1]Game Input'!$AJ106&lt;&gt;"",'[1]Game Input'!$AJ106,"")</f>
        <v>0</v>
      </c>
      <c r="M106" s="9">
        <f>IF('[1]Game Input'!$AK106&lt;&gt;"",'[1]Game Input'!$AK106,"")</f>
        <v>0</v>
      </c>
      <c r="N106" s="9">
        <f>IF('[1]Game Input'!$AN106&lt;&gt;"",'[1]Game Input'!$AN106,"")</f>
        <v>5</v>
      </c>
      <c r="O106" s="9">
        <f>IF('[1]Game Input'!$AO106&lt;&gt;"",'[1]Game Input'!$AO106,"")</f>
        <v>1</v>
      </c>
      <c r="P106" s="9">
        <f>IF('[1]Game Input'!$AP106&lt;&gt;"",'[1]Game Input'!$AP106,"")</f>
        <v>1</v>
      </c>
      <c r="Q106" s="9">
        <f>IF('[1]Game Input'!$AQ106&lt;&gt;"",'[1]Game Input'!$AQ106,"")</f>
        <v>0</v>
      </c>
      <c r="R106" s="9">
        <f>IF('[1]Game Input'!$AR106&lt;&gt;"",'[1]Game Input'!$AR106,"")</f>
        <v>0</v>
      </c>
      <c r="S106" s="9">
        <f>IF('[1]Game Input'!$AS106&lt;&gt;"",'[1]Game Input'!$AS106,"")</f>
        <v>0</v>
      </c>
      <c r="T106" s="10" t="str">
        <f>IF('[1]Game Input'!$BA106&lt;&gt;"",'[1]Game Input'!$BA106,"")</f>
        <v>DUBUQUE</v>
      </c>
      <c r="U106" s="9">
        <f>IF('[1]Game Input'!$BU106&lt;&gt;"",'[1]Game Input'!$BU106,"")</f>
        <v>27</v>
      </c>
      <c r="V106" s="9">
        <f>IF('[1]Game Input'!$BV106&lt;&gt;"",'[1]Game Input'!$BV106,"")</f>
        <v>8</v>
      </c>
      <c r="W106" s="9">
        <f>IF('[1]Game Input'!$CB106&lt;&gt;"",'[1]Game Input'!$CB106,"")</f>
        <v>0</v>
      </c>
      <c r="X106" s="9">
        <f>IF('[1]Game Input'!$CC106&lt;&gt;"",'[1]Game Input'!$CC106,"")</f>
        <v>0</v>
      </c>
      <c r="Y106" s="9">
        <f>IF('[1]Game Input'!$CF106&lt;&gt;"",'[1]Game Input'!$CF106,"")</f>
        <v>6</v>
      </c>
      <c r="Z106" s="9">
        <f>IF('[1]Game Input'!$CG106&lt;&gt;"",'[1]Game Input'!$CG106,"")</f>
        <v>1</v>
      </c>
      <c r="AA106" s="9">
        <f>IF('[1]Game Input'!$CH106&lt;&gt;"",'[1]Game Input'!$CH106,"")</f>
        <v>1</v>
      </c>
      <c r="AB106" s="9">
        <f>IF('[1]Game Input'!$CI106&lt;&gt;"",'[1]Game Input'!$CI106,"")</f>
        <v>0</v>
      </c>
      <c r="AC106" s="9">
        <f>IF('[1]Game Input'!$CJ106&lt;&gt;"",'[1]Game Input'!$CJ106,"")</f>
        <v>0</v>
      </c>
      <c r="AD106" s="9">
        <f>IF('[1]Game Input'!$CK106&lt;&gt;"",'[1]Game Input'!$CK106,"")</f>
        <v>0</v>
      </c>
      <c r="AE106" s="8" t="s">
        <v>94</v>
      </c>
      <c r="AF106" s="8"/>
      <c r="AG106" s="8" t="s">
        <v>120</v>
      </c>
      <c r="AH106" s="8" t="s">
        <v>130</v>
      </c>
    </row>
    <row r="107" spans="1:34" x14ac:dyDescent="0.2">
      <c r="A107" s="6">
        <f>IF('[1]Game Input'!$A107&lt;&gt;"",'[1]Game Input'!$A107,"")</f>
        <v>43413</v>
      </c>
      <c r="B107" s="6" t="str">
        <f>IF(A107&gt;$B$1,VLOOKUP(MONTH($A107),DOTWMonth,2,FALSE),"")</f>
        <v>November</v>
      </c>
      <c r="C107" s="10" t="str">
        <f>IF(A107&gt;$B$1,VLOOKUP(WEEKDAY($A107),DOTWMonth,3,FALSE),"")</f>
        <v>Friday</v>
      </c>
      <c r="D107" s="7">
        <f>IF('[1]Game Input'!$B107&lt;&gt;"",'[1]Game Input'!$B107,"")</f>
        <v>0.83680555555555547</v>
      </c>
      <c r="E107" s="7">
        <f>IF('[1]Game Input'!$C107&lt;&gt;"",'[1]Game Input'!$C107,"")</f>
        <v>0.79513888888888884</v>
      </c>
      <c r="F107" s="8" t="str">
        <f>IF('[1]Game Input'!$D107&lt;&gt;"",'[1]Game Input'!$D107,"")</f>
        <v>Standard</v>
      </c>
      <c r="G107" s="8" t="str">
        <f>IF('[1]Game Input'!$G107&lt;&gt;"",'[1]Game Input'!$G107,"")</f>
        <v>DM @ FGO</v>
      </c>
      <c r="H107" s="8" t="str">
        <f>IF('[1]Game Input'!$H107&lt;&gt;"",'[1]Game Input'!$H107,"")</f>
        <v>Vs. Conference</v>
      </c>
      <c r="I107" s="8" t="str">
        <f>IF('[1]Game Input'!$I107&lt;&gt;"",'[1]Game Input'!$I107,"")</f>
        <v>DES MOINES</v>
      </c>
      <c r="J107" s="9">
        <f>IF('[1]Game Input'!$AC107&lt;&gt;"",'[1]Game Input'!$AC107,"")</f>
        <v>16</v>
      </c>
      <c r="K107" s="9">
        <f>IF('[1]Game Input'!$AD107&lt;&gt;"",'[1]Game Input'!$AD107,"")</f>
        <v>8</v>
      </c>
      <c r="L107" s="9">
        <f>IF('[1]Game Input'!$AJ107&lt;&gt;"",'[1]Game Input'!$AJ107,"")</f>
        <v>0</v>
      </c>
      <c r="M107" s="9">
        <f>IF('[1]Game Input'!$AK107&lt;&gt;"",'[1]Game Input'!$AK107,"")</f>
        <v>0</v>
      </c>
      <c r="N107" s="9">
        <f>IF('[1]Game Input'!$AN107&lt;&gt;"",'[1]Game Input'!$AN107,"")</f>
        <v>8</v>
      </c>
      <c r="O107" s="9">
        <f>IF('[1]Game Input'!$AO107&lt;&gt;"",'[1]Game Input'!$AO107,"")</f>
        <v>0</v>
      </c>
      <c r="P107" s="9">
        <f>IF('[1]Game Input'!$AP107&lt;&gt;"",'[1]Game Input'!$AP107,"")</f>
        <v>0</v>
      </c>
      <c r="Q107" s="9">
        <f>IF('[1]Game Input'!$AQ107&lt;&gt;"",'[1]Game Input'!$AQ107,"")</f>
        <v>0</v>
      </c>
      <c r="R107" s="9">
        <f>IF('[1]Game Input'!$AR107&lt;&gt;"",'[1]Game Input'!$AR107,"")</f>
        <v>0</v>
      </c>
      <c r="S107" s="9">
        <f>IF('[1]Game Input'!$AS107&lt;&gt;"",'[1]Game Input'!$AS107,"")</f>
        <v>0</v>
      </c>
      <c r="T107" s="10" t="str">
        <f>IF('[1]Game Input'!$BA107&lt;&gt;"",'[1]Game Input'!$BA107,"")</f>
        <v>FARGO</v>
      </c>
      <c r="U107" s="9">
        <f>IF('[1]Game Input'!$BU107&lt;&gt;"",'[1]Game Input'!$BU107,"")</f>
        <v>18</v>
      </c>
      <c r="V107" s="9">
        <f>IF('[1]Game Input'!$BV107&lt;&gt;"",'[1]Game Input'!$BV107,"")</f>
        <v>9</v>
      </c>
      <c r="W107" s="9">
        <f>IF('[1]Game Input'!$CB107&lt;&gt;"",'[1]Game Input'!$CB107,"")</f>
        <v>0</v>
      </c>
      <c r="X107" s="9">
        <f>IF('[1]Game Input'!$CC107&lt;&gt;"",'[1]Game Input'!$CC107,"")</f>
        <v>0</v>
      </c>
      <c r="Y107" s="9">
        <f>IF('[1]Game Input'!$CF107&lt;&gt;"",'[1]Game Input'!$CF107,"")</f>
        <v>9</v>
      </c>
      <c r="Z107" s="9">
        <f>IF('[1]Game Input'!$CG107&lt;&gt;"",'[1]Game Input'!$CG107,"")</f>
        <v>0</v>
      </c>
      <c r="AA107" s="9">
        <f>IF('[1]Game Input'!$CH107&lt;&gt;"",'[1]Game Input'!$CH107,"")</f>
        <v>0</v>
      </c>
      <c r="AB107" s="9">
        <f>IF('[1]Game Input'!$CI107&lt;&gt;"",'[1]Game Input'!$CI107,"")</f>
        <v>0</v>
      </c>
      <c r="AC107" s="9">
        <f>IF('[1]Game Input'!$CJ107&lt;&gt;"",'[1]Game Input'!$CJ107,"")</f>
        <v>0</v>
      </c>
      <c r="AD107" s="9">
        <f>IF('[1]Game Input'!$CK107&lt;&gt;"",'[1]Game Input'!$CK107,"")</f>
        <v>0</v>
      </c>
      <c r="AE107" s="8" t="s">
        <v>102</v>
      </c>
      <c r="AF107" s="8"/>
      <c r="AG107" s="8" t="s">
        <v>137</v>
      </c>
      <c r="AH107" s="8" t="s">
        <v>129</v>
      </c>
    </row>
    <row r="108" spans="1:34" x14ac:dyDescent="0.2">
      <c r="A108" s="6">
        <f>IF('[1]Game Input'!$A108&lt;&gt;"",'[1]Game Input'!$A108,"")</f>
        <v>43413</v>
      </c>
      <c r="B108" s="6" t="str">
        <f>IF(A108&gt;$B$1,VLOOKUP(MONTH($A108),DOTWMonth,2,FALSE),"")</f>
        <v>November</v>
      </c>
      <c r="C108" s="10" t="str">
        <f>IF(A108&gt;$B$1,VLOOKUP(WEEKDAY($A108),DOTWMonth,3,FALSE),"")</f>
        <v>Friday</v>
      </c>
      <c r="D108" s="7">
        <f>IF('[1]Game Input'!$B108&lt;&gt;"",'[1]Game Input'!$B108,"")</f>
        <v>0.83680555555555547</v>
      </c>
      <c r="E108" s="7">
        <f>IF('[1]Game Input'!$C108&lt;&gt;"",'[1]Game Input'!$C108,"")</f>
        <v>0.79513888888888884</v>
      </c>
      <c r="F108" s="8" t="str">
        <f>IF('[1]Game Input'!$D108&lt;&gt;"",'[1]Game Input'!$D108,"")</f>
        <v>Standard</v>
      </c>
      <c r="G108" s="8" t="str">
        <f>IF('[1]Game Input'!$G108&lt;&gt;"",'[1]Game Input'!$G108,"")</f>
        <v>SF @ LIN</v>
      </c>
      <c r="H108" s="8" t="str">
        <f>IF('[1]Game Input'!$H108&lt;&gt;"",'[1]Game Input'!$H108,"")</f>
        <v>Vs. Conference</v>
      </c>
      <c r="I108" s="8" t="str">
        <f>IF('[1]Game Input'!$I108&lt;&gt;"",'[1]Game Input'!$I108,"")</f>
        <v>SIOUX FALLS</v>
      </c>
      <c r="J108" s="9">
        <f>IF('[1]Game Input'!$AC108&lt;&gt;"",'[1]Game Input'!$AC108,"")</f>
        <v>10</v>
      </c>
      <c r="K108" s="9">
        <f>IF('[1]Game Input'!$AD108&lt;&gt;"",'[1]Game Input'!$AD108,"")</f>
        <v>5</v>
      </c>
      <c r="L108" s="9">
        <f>IF('[1]Game Input'!$AJ108&lt;&gt;"",'[1]Game Input'!$AJ108,"")</f>
        <v>0</v>
      </c>
      <c r="M108" s="9">
        <f>IF('[1]Game Input'!$AK108&lt;&gt;"",'[1]Game Input'!$AK108,"")</f>
        <v>0</v>
      </c>
      <c r="N108" s="9">
        <f>IF('[1]Game Input'!$AN108&lt;&gt;"",'[1]Game Input'!$AN108,"")</f>
        <v>5</v>
      </c>
      <c r="O108" s="9">
        <f>IF('[1]Game Input'!$AO108&lt;&gt;"",'[1]Game Input'!$AO108,"")</f>
        <v>0</v>
      </c>
      <c r="P108" s="9">
        <f>IF('[1]Game Input'!$AP108&lt;&gt;"",'[1]Game Input'!$AP108,"")</f>
        <v>0</v>
      </c>
      <c r="Q108" s="9">
        <f>IF('[1]Game Input'!$AQ108&lt;&gt;"",'[1]Game Input'!$AQ108,"")</f>
        <v>0</v>
      </c>
      <c r="R108" s="9">
        <f>IF('[1]Game Input'!$AR108&lt;&gt;"",'[1]Game Input'!$AR108,"")</f>
        <v>0</v>
      </c>
      <c r="S108" s="9">
        <f>IF('[1]Game Input'!$AS108&lt;&gt;"",'[1]Game Input'!$AS108,"")</f>
        <v>0</v>
      </c>
      <c r="T108" s="10" t="str">
        <f>IF('[1]Game Input'!$BA108&lt;&gt;"",'[1]Game Input'!$BA108,"")</f>
        <v>LINCOLN</v>
      </c>
      <c r="U108" s="9">
        <f>IF('[1]Game Input'!$BU108&lt;&gt;"",'[1]Game Input'!$BU108,"")</f>
        <v>8</v>
      </c>
      <c r="V108" s="9">
        <f>IF('[1]Game Input'!$BV108&lt;&gt;"",'[1]Game Input'!$BV108,"")</f>
        <v>4</v>
      </c>
      <c r="W108" s="9">
        <f>IF('[1]Game Input'!$CB108&lt;&gt;"",'[1]Game Input'!$CB108,"")</f>
        <v>0</v>
      </c>
      <c r="X108" s="9">
        <f>IF('[1]Game Input'!$CC108&lt;&gt;"",'[1]Game Input'!$CC108,"")</f>
        <v>0</v>
      </c>
      <c r="Y108" s="9">
        <f>IF('[1]Game Input'!$CF108&lt;&gt;"",'[1]Game Input'!$CF108,"")</f>
        <v>4</v>
      </c>
      <c r="Z108" s="9">
        <f>IF('[1]Game Input'!$CG108&lt;&gt;"",'[1]Game Input'!$CG108,"")</f>
        <v>0</v>
      </c>
      <c r="AA108" s="9">
        <f>IF('[1]Game Input'!$CH108&lt;&gt;"",'[1]Game Input'!$CH108,"")</f>
        <v>0</v>
      </c>
      <c r="AB108" s="9">
        <f>IF('[1]Game Input'!$CI108&lt;&gt;"",'[1]Game Input'!$CI108,"")</f>
        <v>0</v>
      </c>
      <c r="AC108" s="9">
        <f>IF('[1]Game Input'!$CJ108&lt;&gt;"",'[1]Game Input'!$CJ108,"")</f>
        <v>0</v>
      </c>
      <c r="AD108" s="9">
        <f>IF('[1]Game Input'!$CK108&lt;&gt;"",'[1]Game Input'!$CK108,"")</f>
        <v>0</v>
      </c>
      <c r="AE108" s="8"/>
      <c r="AF108" s="8"/>
      <c r="AG108" s="8"/>
      <c r="AH108" s="8"/>
    </row>
    <row r="109" spans="1:34" x14ac:dyDescent="0.2">
      <c r="A109" s="6">
        <f>IF('[1]Game Input'!$A109&lt;&gt;"",'[1]Game Input'!$A109,"")</f>
        <v>43413</v>
      </c>
      <c r="B109" s="6" t="str">
        <f>IF(A109&gt;$B$1,VLOOKUP(MONTH($A109),DOTWMonth,2,FALSE),"")</f>
        <v>November</v>
      </c>
      <c r="C109" s="10" t="str">
        <f>IF(A109&gt;$B$1,VLOOKUP(WEEKDAY($A109),DOTWMonth,3,FALSE),"")</f>
        <v>Friday</v>
      </c>
      <c r="D109" s="7">
        <f>IF('[1]Game Input'!$B109&lt;&gt;"",'[1]Game Input'!$B109,"")</f>
        <v>0.83680555555555547</v>
      </c>
      <c r="E109" s="7">
        <f>IF('[1]Game Input'!$C109&lt;&gt;"",'[1]Game Input'!$C109,"")</f>
        <v>0.79513888888888884</v>
      </c>
      <c r="F109" s="8" t="str">
        <f>IF('[1]Game Input'!$D109&lt;&gt;"",'[1]Game Input'!$D109,"")</f>
        <v>Standard</v>
      </c>
      <c r="G109" s="8" t="str">
        <f>IF('[1]Game Input'!$G109&lt;&gt;"",'[1]Game Input'!$G109,"")</f>
        <v>GB @ MAD</v>
      </c>
      <c r="H109" s="8" t="str">
        <f>IF('[1]Game Input'!$H109&lt;&gt;"",'[1]Game Input'!$H109,"")</f>
        <v>Vs. Conference</v>
      </c>
      <c r="I109" s="8" t="str">
        <f>IF('[1]Game Input'!$I109&lt;&gt;"",'[1]Game Input'!$I109,"")</f>
        <v>GREEN BAY</v>
      </c>
      <c r="J109" s="9">
        <f>IF('[1]Game Input'!$AC109&lt;&gt;"",'[1]Game Input'!$AC109,"")</f>
        <v>4</v>
      </c>
      <c r="K109" s="9">
        <f>IF('[1]Game Input'!$AD109&lt;&gt;"",'[1]Game Input'!$AD109,"")</f>
        <v>2</v>
      </c>
      <c r="L109" s="9">
        <f>IF('[1]Game Input'!$AJ109&lt;&gt;"",'[1]Game Input'!$AJ109,"")</f>
        <v>0</v>
      </c>
      <c r="M109" s="9">
        <f>IF('[1]Game Input'!$AK109&lt;&gt;"",'[1]Game Input'!$AK109,"")</f>
        <v>0</v>
      </c>
      <c r="N109" s="9">
        <f>IF('[1]Game Input'!$AN109&lt;&gt;"",'[1]Game Input'!$AN109,"")</f>
        <v>2</v>
      </c>
      <c r="O109" s="9">
        <f>IF('[1]Game Input'!$AO109&lt;&gt;"",'[1]Game Input'!$AO109,"")</f>
        <v>0</v>
      </c>
      <c r="P109" s="9">
        <f>IF('[1]Game Input'!$AP109&lt;&gt;"",'[1]Game Input'!$AP109,"")</f>
        <v>0</v>
      </c>
      <c r="Q109" s="9">
        <f>IF('[1]Game Input'!$AQ109&lt;&gt;"",'[1]Game Input'!$AQ109,"")</f>
        <v>0</v>
      </c>
      <c r="R109" s="9">
        <f>IF('[1]Game Input'!$AR109&lt;&gt;"",'[1]Game Input'!$AR109,"")</f>
        <v>0</v>
      </c>
      <c r="S109" s="9">
        <f>IF('[1]Game Input'!$AS109&lt;&gt;"",'[1]Game Input'!$AS109,"")</f>
        <v>0</v>
      </c>
      <c r="T109" s="10" t="str">
        <f>IF('[1]Game Input'!$BA109&lt;&gt;"",'[1]Game Input'!$BA109,"")</f>
        <v>MADISON</v>
      </c>
      <c r="U109" s="9">
        <f>IF('[1]Game Input'!$BU109&lt;&gt;"",'[1]Game Input'!$BU109,"")</f>
        <v>10</v>
      </c>
      <c r="V109" s="9">
        <f>IF('[1]Game Input'!$BV109&lt;&gt;"",'[1]Game Input'!$BV109,"")</f>
        <v>5</v>
      </c>
      <c r="W109" s="9">
        <f>IF('[1]Game Input'!$CB109&lt;&gt;"",'[1]Game Input'!$CB109,"")</f>
        <v>0</v>
      </c>
      <c r="X109" s="9">
        <f>IF('[1]Game Input'!$CC109&lt;&gt;"",'[1]Game Input'!$CC109,"")</f>
        <v>0</v>
      </c>
      <c r="Y109" s="9">
        <f>IF('[1]Game Input'!$CF109&lt;&gt;"",'[1]Game Input'!$CF109,"")</f>
        <v>5</v>
      </c>
      <c r="Z109" s="9">
        <f>IF('[1]Game Input'!$CG109&lt;&gt;"",'[1]Game Input'!$CG109,"")</f>
        <v>0</v>
      </c>
      <c r="AA109" s="9">
        <f>IF('[1]Game Input'!$CH109&lt;&gt;"",'[1]Game Input'!$CH109,"")</f>
        <v>0</v>
      </c>
      <c r="AB109" s="9">
        <f>IF('[1]Game Input'!$CI109&lt;&gt;"",'[1]Game Input'!$CI109,"")</f>
        <v>0</v>
      </c>
      <c r="AC109" s="9">
        <f>IF('[1]Game Input'!$CJ109&lt;&gt;"",'[1]Game Input'!$CJ109,"")</f>
        <v>0</v>
      </c>
      <c r="AD109" s="9">
        <f>IF('[1]Game Input'!$CK109&lt;&gt;"",'[1]Game Input'!$CK109,"")</f>
        <v>0</v>
      </c>
      <c r="AE109" s="8"/>
      <c r="AF109" s="8"/>
      <c r="AG109" s="8"/>
      <c r="AH109" s="8"/>
    </row>
    <row r="110" spans="1:34" x14ac:dyDescent="0.2">
      <c r="A110" s="6">
        <f>IF('[1]Game Input'!$A110&lt;&gt;"",'[1]Game Input'!$A110,"")</f>
        <v>43413</v>
      </c>
      <c r="B110" s="6" t="str">
        <f>IF(A110&gt;$B$1,VLOOKUP(MONTH($A110),DOTWMonth,2,FALSE),"")</f>
        <v>November</v>
      </c>
      <c r="C110" s="10" t="str">
        <f>IF(A110&gt;$B$1,VLOOKUP(WEEKDAY($A110),DOTWMonth,3,FALSE),"")</f>
        <v>Friday</v>
      </c>
      <c r="D110" s="7">
        <f>IF('[1]Game Input'!$B110&lt;&gt;"",'[1]Game Input'!$B110,"")</f>
        <v>0.83680555555555547</v>
      </c>
      <c r="E110" s="7">
        <f>IF('[1]Game Input'!$C110&lt;&gt;"",'[1]Game Input'!$C110,"")</f>
        <v>0.79513888888888884</v>
      </c>
      <c r="F110" s="8" t="str">
        <f>IF('[1]Game Input'!$D110&lt;&gt;"",'[1]Game Input'!$D110,"")</f>
        <v>Standard</v>
      </c>
      <c r="G110" s="8" t="str">
        <f>IF('[1]Game Input'!$G110&lt;&gt;"",'[1]Game Input'!$G110,"")</f>
        <v>WAT @ CHI</v>
      </c>
      <c r="H110" s="8" t="str">
        <f>IF('[1]Game Input'!$H110&lt;&gt;"",'[1]Game Input'!$H110,"")</f>
        <v>Vs. Non-Conference</v>
      </c>
      <c r="I110" s="8" t="str">
        <f>IF('[1]Game Input'!$I110&lt;&gt;"",'[1]Game Input'!$I110,"")</f>
        <v>WATERLOO</v>
      </c>
      <c r="J110" s="9">
        <f>IF('[1]Game Input'!$AC110&lt;&gt;"",'[1]Game Input'!$AC110,"")</f>
        <v>10</v>
      </c>
      <c r="K110" s="9">
        <f>IF('[1]Game Input'!$AD110&lt;&gt;"",'[1]Game Input'!$AD110,"")</f>
        <v>5</v>
      </c>
      <c r="L110" s="9">
        <f>IF('[1]Game Input'!$AJ110&lt;&gt;"",'[1]Game Input'!$AJ110,"")</f>
        <v>0</v>
      </c>
      <c r="M110" s="9">
        <f>IF('[1]Game Input'!$AK110&lt;&gt;"",'[1]Game Input'!$AK110,"")</f>
        <v>0</v>
      </c>
      <c r="N110" s="9">
        <f>IF('[1]Game Input'!$AN110&lt;&gt;"",'[1]Game Input'!$AN110,"")</f>
        <v>5</v>
      </c>
      <c r="O110" s="9">
        <f>IF('[1]Game Input'!$AO110&lt;&gt;"",'[1]Game Input'!$AO110,"")</f>
        <v>0</v>
      </c>
      <c r="P110" s="9">
        <f>IF('[1]Game Input'!$AP110&lt;&gt;"",'[1]Game Input'!$AP110,"")</f>
        <v>0</v>
      </c>
      <c r="Q110" s="9">
        <f>IF('[1]Game Input'!$AQ110&lt;&gt;"",'[1]Game Input'!$AQ110,"")</f>
        <v>0</v>
      </c>
      <c r="R110" s="9">
        <f>IF('[1]Game Input'!$AR110&lt;&gt;"",'[1]Game Input'!$AR110,"")</f>
        <v>0</v>
      </c>
      <c r="S110" s="9">
        <f>IF('[1]Game Input'!$AS110&lt;&gt;"",'[1]Game Input'!$AS110,"")</f>
        <v>0</v>
      </c>
      <c r="T110" s="10" t="str">
        <f>IF('[1]Game Input'!$BA110&lt;&gt;"",'[1]Game Input'!$BA110,"")</f>
        <v>CHICAGO</v>
      </c>
      <c r="U110" s="9">
        <f>IF('[1]Game Input'!$BU110&lt;&gt;"",'[1]Game Input'!$BU110,"")</f>
        <v>6</v>
      </c>
      <c r="V110" s="9">
        <f>IF('[1]Game Input'!$BV110&lt;&gt;"",'[1]Game Input'!$BV110,"")</f>
        <v>3</v>
      </c>
      <c r="W110" s="9">
        <f>IF('[1]Game Input'!$CB110&lt;&gt;"",'[1]Game Input'!$CB110,"")</f>
        <v>0</v>
      </c>
      <c r="X110" s="9">
        <f>IF('[1]Game Input'!$CC110&lt;&gt;"",'[1]Game Input'!$CC110,"")</f>
        <v>0</v>
      </c>
      <c r="Y110" s="9">
        <f>IF('[1]Game Input'!$CF110&lt;&gt;"",'[1]Game Input'!$CF110,"")</f>
        <v>3</v>
      </c>
      <c r="Z110" s="9">
        <f>IF('[1]Game Input'!$CG110&lt;&gt;"",'[1]Game Input'!$CG110,"")</f>
        <v>0</v>
      </c>
      <c r="AA110" s="9">
        <f>IF('[1]Game Input'!$CH110&lt;&gt;"",'[1]Game Input'!$CH110,"")</f>
        <v>0</v>
      </c>
      <c r="AB110" s="9">
        <f>IF('[1]Game Input'!$CI110&lt;&gt;"",'[1]Game Input'!$CI110,"")</f>
        <v>0</v>
      </c>
      <c r="AC110" s="9">
        <f>IF('[1]Game Input'!$CJ110&lt;&gt;"",'[1]Game Input'!$CJ110,"")</f>
        <v>0</v>
      </c>
      <c r="AD110" s="9">
        <f>IF('[1]Game Input'!$CK110&lt;&gt;"",'[1]Game Input'!$CK110,"")</f>
        <v>0</v>
      </c>
      <c r="AE110" s="8"/>
      <c r="AF110" s="8"/>
      <c r="AG110" s="8"/>
      <c r="AH110" s="8"/>
    </row>
    <row r="111" spans="1:34" x14ac:dyDescent="0.2">
      <c r="A111" s="6">
        <f>IF('[1]Game Input'!$A111&lt;&gt;"",'[1]Game Input'!$A111,"")</f>
        <v>43413</v>
      </c>
      <c r="B111" s="6" t="str">
        <f>IF(A111&gt;$B$1,VLOOKUP(MONTH($A111),DOTWMonth,2,FALSE),"")</f>
        <v>November</v>
      </c>
      <c r="C111" s="10" t="str">
        <f>IF(A111&gt;$B$1,VLOOKUP(WEEKDAY($A111),DOTWMonth,3,FALSE),"")</f>
        <v>Friday</v>
      </c>
      <c r="D111" s="7">
        <f>IF('[1]Game Input'!$B111&lt;&gt;"",'[1]Game Input'!$B111,"")</f>
        <v>0.83680555555555547</v>
      </c>
      <c r="E111" s="7">
        <f>IF('[1]Game Input'!$C111&lt;&gt;"",'[1]Game Input'!$C111,"")</f>
        <v>0.79513888888888884</v>
      </c>
      <c r="F111" s="8" t="str">
        <f>IF('[1]Game Input'!$D111&lt;&gt;"",'[1]Game Input'!$D111,"")</f>
        <v>Standard</v>
      </c>
      <c r="G111" s="8" t="str">
        <f>IF('[1]Game Input'!$G111&lt;&gt;"",'[1]Game Input'!$G111,"")</f>
        <v>CR @ SC</v>
      </c>
      <c r="H111" s="8" t="str">
        <f>IF('[1]Game Input'!$H111&lt;&gt;"",'[1]Game Input'!$H111,"")</f>
        <v>Vs. Non-Conference</v>
      </c>
      <c r="I111" s="8" t="str">
        <f>IF('[1]Game Input'!$I111&lt;&gt;"",'[1]Game Input'!$I111,"")</f>
        <v>CEDAR RAPIDS</v>
      </c>
      <c r="J111" s="9">
        <f>IF('[1]Game Input'!$AC111&lt;&gt;"",'[1]Game Input'!$AC111,"")</f>
        <v>6</v>
      </c>
      <c r="K111" s="9">
        <f>IF('[1]Game Input'!$AD111&lt;&gt;"",'[1]Game Input'!$AD111,"")</f>
        <v>3</v>
      </c>
      <c r="L111" s="9">
        <f>IF('[1]Game Input'!$AJ111&lt;&gt;"",'[1]Game Input'!$AJ111,"")</f>
        <v>0</v>
      </c>
      <c r="M111" s="9">
        <f>IF('[1]Game Input'!$AK111&lt;&gt;"",'[1]Game Input'!$AK111,"")</f>
        <v>0</v>
      </c>
      <c r="N111" s="9">
        <f>IF('[1]Game Input'!$AN111&lt;&gt;"",'[1]Game Input'!$AN111,"")</f>
        <v>3</v>
      </c>
      <c r="O111" s="9">
        <f>IF('[1]Game Input'!$AO111&lt;&gt;"",'[1]Game Input'!$AO111,"")</f>
        <v>0</v>
      </c>
      <c r="P111" s="9">
        <f>IF('[1]Game Input'!$AP111&lt;&gt;"",'[1]Game Input'!$AP111,"")</f>
        <v>0</v>
      </c>
      <c r="Q111" s="9">
        <f>IF('[1]Game Input'!$AQ111&lt;&gt;"",'[1]Game Input'!$AQ111,"")</f>
        <v>0</v>
      </c>
      <c r="R111" s="9">
        <f>IF('[1]Game Input'!$AR111&lt;&gt;"",'[1]Game Input'!$AR111,"")</f>
        <v>0</v>
      </c>
      <c r="S111" s="9">
        <f>IF('[1]Game Input'!$AS111&lt;&gt;"",'[1]Game Input'!$AS111,"")</f>
        <v>0</v>
      </c>
      <c r="T111" s="10" t="str">
        <f>IF('[1]Game Input'!$BA111&lt;&gt;"",'[1]Game Input'!$BA111,"")</f>
        <v>SIOUX CITY</v>
      </c>
      <c r="U111" s="9">
        <f>IF('[1]Game Input'!$BU111&lt;&gt;"",'[1]Game Input'!$BU111,"")</f>
        <v>4</v>
      </c>
      <c r="V111" s="9">
        <f>IF('[1]Game Input'!$BV111&lt;&gt;"",'[1]Game Input'!$BV111,"")</f>
        <v>2</v>
      </c>
      <c r="W111" s="9">
        <f>IF('[1]Game Input'!$CB111&lt;&gt;"",'[1]Game Input'!$CB111,"")</f>
        <v>0</v>
      </c>
      <c r="X111" s="9">
        <f>IF('[1]Game Input'!$CC111&lt;&gt;"",'[1]Game Input'!$CC111,"")</f>
        <v>0</v>
      </c>
      <c r="Y111" s="9">
        <f>IF('[1]Game Input'!$CF111&lt;&gt;"",'[1]Game Input'!$CF111,"")</f>
        <v>2</v>
      </c>
      <c r="Z111" s="9">
        <f>IF('[1]Game Input'!$CG111&lt;&gt;"",'[1]Game Input'!$CG111,"")</f>
        <v>0</v>
      </c>
      <c r="AA111" s="9">
        <f>IF('[1]Game Input'!$CH111&lt;&gt;"",'[1]Game Input'!$CH111,"")</f>
        <v>0</v>
      </c>
      <c r="AB111" s="9">
        <f>IF('[1]Game Input'!$CI111&lt;&gt;"",'[1]Game Input'!$CI111,"")</f>
        <v>0</v>
      </c>
      <c r="AC111" s="9">
        <f>IF('[1]Game Input'!$CJ111&lt;&gt;"",'[1]Game Input'!$CJ111,"")</f>
        <v>0</v>
      </c>
      <c r="AD111" s="9">
        <f>IF('[1]Game Input'!$CK111&lt;&gt;"",'[1]Game Input'!$CK111,"")</f>
        <v>0</v>
      </c>
      <c r="AE111" s="8" t="s">
        <v>101</v>
      </c>
      <c r="AF111" s="8"/>
      <c r="AG111" s="8" t="s">
        <v>111</v>
      </c>
      <c r="AH111" s="8" t="s">
        <v>119</v>
      </c>
    </row>
    <row r="112" spans="1:34" x14ac:dyDescent="0.2">
      <c r="A112" s="6">
        <f>IF('[1]Game Input'!$A112&lt;&gt;"",'[1]Game Input'!$A112,"")</f>
        <v>43413</v>
      </c>
      <c r="B112" s="6" t="str">
        <f>IF(A112&gt;$B$1,VLOOKUP(MONTH($A112),DOTWMonth,2,FALSE),"")</f>
        <v>November</v>
      </c>
      <c r="C112" s="10" t="str">
        <f>IF(A112&gt;$B$1,VLOOKUP(WEEKDAY($A112),DOTWMonth,3,FALSE),"")</f>
        <v>Friday</v>
      </c>
      <c r="D112" s="7">
        <f>IF('[1]Game Input'!$B112&lt;&gt;"",'[1]Game Input'!$B112,"")</f>
        <v>0.85763888888888884</v>
      </c>
      <c r="E112" s="7">
        <f>IF('[1]Game Input'!$C112&lt;&gt;"",'[1]Game Input'!$C112,"")</f>
        <v>0.81597222222222221</v>
      </c>
      <c r="F112" s="8" t="str">
        <f>IF('[1]Game Input'!$D112&lt;&gt;"",'[1]Game Input'!$D112,"")</f>
        <v>Standard</v>
      </c>
      <c r="G112" s="8" t="str">
        <f>IF('[1]Game Input'!$G112&lt;&gt;"",'[1]Game Input'!$G112,"")</f>
        <v>TC @ OMA</v>
      </c>
      <c r="H112" s="8" t="str">
        <f>IF('[1]Game Input'!$H112&lt;&gt;"",'[1]Game Input'!$H112,"")</f>
        <v>Vs. Conference</v>
      </c>
      <c r="I112" s="8" t="str">
        <f>IF('[1]Game Input'!$I112&lt;&gt;"",'[1]Game Input'!$I112,"")</f>
        <v>TRI-CITY</v>
      </c>
      <c r="J112" s="9">
        <f>IF('[1]Game Input'!$AC112&lt;&gt;"",'[1]Game Input'!$AC112,"")</f>
        <v>2</v>
      </c>
      <c r="K112" s="9">
        <f>IF('[1]Game Input'!$AD112&lt;&gt;"",'[1]Game Input'!$AD112,"")</f>
        <v>1</v>
      </c>
      <c r="L112" s="9">
        <f>IF('[1]Game Input'!$AJ112&lt;&gt;"",'[1]Game Input'!$AJ112,"")</f>
        <v>0</v>
      </c>
      <c r="M112" s="9">
        <f>IF('[1]Game Input'!$AK112&lt;&gt;"",'[1]Game Input'!$AK112,"")</f>
        <v>0</v>
      </c>
      <c r="N112" s="9">
        <f>IF('[1]Game Input'!$AN112&lt;&gt;"",'[1]Game Input'!$AN112,"")</f>
        <v>1</v>
      </c>
      <c r="O112" s="9">
        <f>IF('[1]Game Input'!$AO112&lt;&gt;"",'[1]Game Input'!$AO112,"")</f>
        <v>0</v>
      </c>
      <c r="P112" s="9">
        <f>IF('[1]Game Input'!$AP112&lt;&gt;"",'[1]Game Input'!$AP112,"")</f>
        <v>0</v>
      </c>
      <c r="Q112" s="9">
        <f>IF('[1]Game Input'!$AQ112&lt;&gt;"",'[1]Game Input'!$AQ112,"")</f>
        <v>0</v>
      </c>
      <c r="R112" s="9">
        <f>IF('[1]Game Input'!$AR112&lt;&gt;"",'[1]Game Input'!$AR112,"")</f>
        <v>0</v>
      </c>
      <c r="S112" s="9">
        <f>IF('[1]Game Input'!$AS112&lt;&gt;"",'[1]Game Input'!$AS112,"")</f>
        <v>0</v>
      </c>
      <c r="T112" s="10" t="str">
        <f>IF('[1]Game Input'!$BA112&lt;&gt;"",'[1]Game Input'!$BA112,"")</f>
        <v>OMAHA</v>
      </c>
      <c r="U112" s="9">
        <f>IF('[1]Game Input'!$BU112&lt;&gt;"",'[1]Game Input'!$BU112,"")</f>
        <v>0</v>
      </c>
      <c r="V112" s="9">
        <f>IF('[1]Game Input'!$BV112&lt;&gt;"",'[1]Game Input'!$BV112,"")</f>
        <v>0</v>
      </c>
      <c r="W112" s="9">
        <f>IF('[1]Game Input'!$CB112&lt;&gt;"",'[1]Game Input'!$CB112,"")</f>
        <v>0</v>
      </c>
      <c r="X112" s="9">
        <f>IF('[1]Game Input'!$CC112&lt;&gt;"",'[1]Game Input'!$CC112,"")</f>
        <v>0</v>
      </c>
      <c r="Y112" s="9">
        <f>IF('[1]Game Input'!$CF112&lt;&gt;"",'[1]Game Input'!$CF112,"")</f>
        <v>0</v>
      </c>
      <c r="Z112" s="9">
        <f>IF('[1]Game Input'!$CG112&lt;&gt;"",'[1]Game Input'!$CG112,"")</f>
        <v>0</v>
      </c>
      <c r="AA112" s="9">
        <f>IF('[1]Game Input'!$CH112&lt;&gt;"",'[1]Game Input'!$CH112,"")</f>
        <v>0</v>
      </c>
      <c r="AB112" s="9">
        <f>IF('[1]Game Input'!$CI112&lt;&gt;"",'[1]Game Input'!$CI112,"")</f>
        <v>0</v>
      </c>
      <c r="AC112" s="9">
        <f>IF('[1]Game Input'!$CJ112&lt;&gt;"",'[1]Game Input'!$CJ112,"")</f>
        <v>0</v>
      </c>
      <c r="AD112" s="9">
        <f>IF('[1]Game Input'!$CK112&lt;&gt;"",'[1]Game Input'!$CK112,"")</f>
        <v>0</v>
      </c>
      <c r="AE112" s="8"/>
      <c r="AF112" s="8"/>
      <c r="AG112" s="8"/>
      <c r="AH112" s="8"/>
    </row>
    <row r="113" spans="1:34" x14ac:dyDescent="0.2">
      <c r="A113" s="6">
        <f>IF('[1]Game Input'!$A113&lt;&gt;"",'[1]Game Input'!$A113,"")</f>
        <v>43414</v>
      </c>
      <c r="B113" s="6" t="str">
        <f>IF(A113&gt;$B$1,VLOOKUP(MONTH($A113),DOTWMonth,2,FALSE),"")</f>
        <v>November</v>
      </c>
      <c r="C113" s="10" t="str">
        <f>IF(A113&gt;$B$1,VLOOKUP(WEEKDAY($A113),DOTWMonth,3,FALSE),"")</f>
        <v>Saturday</v>
      </c>
      <c r="D113" s="7">
        <f>IF('[1]Game Input'!$B113&lt;&gt;"",'[1]Game Input'!$B113,"")</f>
        <v>0.80208333333333337</v>
      </c>
      <c r="E113" s="7">
        <f>IF('[1]Game Input'!$C113&lt;&gt;"",'[1]Game Input'!$C113,"")</f>
        <v>0.76041666666666674</v>
      </c>
      <c r="F113" s="8" t="str">
        <f>IF('[1]Game Input'!$D113&lt;&gt;"",'[1]Game Input'!$D113,"")</f>
        <v>Standard</v>
      </c>
      <c r="G113" s="8" t="str">
        <f>IF('[1]Game Input'!$G113&lt;&gt;"",'[1]Game Input'!$G113,"")</f>
        <v>YNG @ MUS</v>
      </c>
      <c r="H113" s="8" t="str">
        <f>IF('[1]Game Input'!$H113&lt;&gt;"",'[1]Game Input'!$H113,"")</f>
        <v>Vs. Conference</v>
      </c>
      <c r="I113" s="8" t="str">
        <f>IF('[1]Game Input'!$I113&lt;&gt;"",'[1]Game Input'!$I113,"")</f>
        <v>YOUNGSTOWN</v>
      </c>
      <c r="J113" s="9">
        <f>IF('[1]Game Input'!$AC113&lt;&gt;"",'[1]Game Input'!$AC113,"")</f>
        <v>6</v>
      </c>
      <c r="K113" s="9">
        <f>IF('[1]Game Input'!$AD113&lt;&gt;"",'[1]Game Input'!$AD113,"")</f>
        <v>3</v>
      </c>
      <c r="L113" s="9">
        <f>IF('[1]Game Input'!$AJ113&lt;&gt;"",'[1]Game Input'!$AJ113,"")</f>
        <v>0</v>
      </c>
      <c r="M113" s="9">
        <f>IF('[1]Game Input'!$AK113&lt;&gt;"",'[1]Game Input'!$AK113,"")</f>
        <v>0</v>
      </c>
      <c r="N113" s="9">
        <f>IF('[1]Game Input'!$AN113&lt;&gt;"",'[1]Game Input'!$AN113,"")</f>
        <v>3</v>
      </c>
      <c r="O113" s="9">
        <f>IF('[1]Game Input'!$AO113&lt;&gt;"",'[1]Game Input'!$AO113,"")</f>
        <v>0</v>
      </c>
      <c r="P113" s="9">
        <f>IF('[1]Game Input'!$AP113&lt;&gt;"",'[1]Game Input'!$AP113,"")</f>
        <v>0</v>
      </c>
      <c r="Q113" s="9">
        <f>IF('[1]Game Input'!$AQ113&lt;&gt;"",'[1]Game Input'!$AQ113,"")</f>
        <v>0</v>
      </c>
      <c r="R113" s="9">
        <f>IF('[1]Game Input'!$AR113&lt;&gt;"",'[1]Game Input'!$AR113,"")</f>
        <v>0</v>
      </c>
      <c r="S113" s="9">
        <f>IF('[1]Game Input'!$AS113&lt;&gt;"",'[1]Game Input'!$AS113,"")</f>
        <v>0</v>
      </c>
      <c r="T113" s="10" t="str">
        <f>IF('[1]Game Input'!$BA113&lt;&gt;"",'[1]Game Input'!$BA113,"")</f>
        <v>MUSKEGON</v>
      </c>
      <c r="U113" s="9">
        <f>IF('[1]Game Input'!$BU113&lt;&gt;"",'[1]Game Input'!$BU113,"")</f>
        <v>6</v>
      </c>
      <c r="V113" s="9">
        <f>IF('[1]Game Input'!$BV113&lt;&gt;"",'[1]Game Input'!$BV113,"")</f>
        <v>3</v>
      </c>
      <c r="W113" s="9">
        <f>IF('[1]Game Input'!$CB113&lt;&gt;"",'[1]Game Input'!$CB113,"")</f>
        <v>0</v>
      </c>
      <c r="X113" s="9">
        <f>IF('[1]Game Input'!$CC113&lt;&gt;"",'[1]Game Input'!$CC113,"")</f>
        <v>0</v>
      </c>
      <c r="Y113" s="9">
        <f>IF('[1]Game Input'!$CF113&lt;&gt;"",'[1]Game Input'!$CF113,"")</f>
        <v>3</v>
      </c>
      <c r="Z113" s="9">
        <f>IF('[1]Game Input'!$CG113&lt;&gt;"",'[1]Game Input'!$CG113,"")</f>
        <v>0</v>
      </c>
      <c r="AA113" s="9">
        <f>IF('[1]Game Input'!$CH113&lt;&gt;"",'[1]Game Input'!$CH113,"")</f>
        <v>0</v>
      </c>
      <c r="AB113" s="9">
        <f>IF('[1]Game Input'!$CI113&lt;&gt;"",'[1]Game Input'!$CI113,"")</f>
        <v>0</v>
      </c>
      <c r="AC113" s="9">
        <f>IF('[1]Game Input'!$CJ113&lt;&gt;"",'[1]Game Input'!$CJ113,"")</f>
        <v>0</v>
      </c>
      <c r="AD113" s="9">
        <f>IF('[1]Game Input'!$CK113&lt;&gt;"",'[1]Game Input'!$CK113,"")</f>
        <v>0</v>
      </c>
      <c r="AE113" s="8"/>
      <c r="AF113" s="8"/>
      <c r="AG113" s="8"/>
      <c r="AH113" s="8"/>
    </row>
    <row r="114" spans="1:34" x14ac:dyDescent="0.2">
      <c r="A114" s="6">
        <f>IF('[1]Game Input'!$A114&lt;&gt;"",'[1]Game Input'!$A114,"")</f>
        <v>43414</v>
      </c>
      <c r="B114" s="6" t="str">
        <f>IF(A114&gt;$B$1,VLOOKUP(MONTH($A114),DOTWMonth,2,FALSE),"")</f>
        <v>November</v>
      </c>
      <c r="C114" s="10" t="str">
        <f>IF(A114&gt;$B$1,VLOOKUP(WEEKDAY($A114),DOTWMonth,3,FALSE),"")</f>
        <v>Saturday</v>
      </c>
      <c r="D114" s="7">
        <f>IF('[1]Game Input'!$B114&lt;&gt;"",'[1]Game Input'!$B114,"")</f>
        <v>0.83680555555555547</v>
      </c>
      <c r="E114" s="7">
        <f>IF('[1]Game Input'!$C114&lt;&gt;"",'[1]Game Input'!$C114,"")</f>
        <v>0.79513888888888884</v>
      </c>
      <c r="F114" s="8" t="str">
        <f>IF('[1]Game Input'!$D114&lt;&gt;"",'[1]Game Input'!$D114,"")</f>
        <v>Standard</v>
      </c>
      <c r="G114" s="8" t="str">
        <f>IF('[1]Game Input'!$G114&lt;&gt;"",'[1]Game Input'!$G114,"")</f>
        <v>DM @ FGO</v>
      </c>
      <c r="H114" s="8" t="str">
        <f>IF('[1]Game Input'!$H114&lt;&gt;"",'[1]Game Input'!$H114,"")</f>
        <v>Vs. Conference</v>
      </c>
      <c r="I114" s="8" t="str">
        <f>IF('[1]Game Input'!$I114&lt;&gt;"",'[1]Game Input'!$I114,"")</f>
        <v>DES MOINES</v>
      </c>
      <c r="J114" s="9">
        <f>IF('[1]Game Input'!$AC114&lt;&gt;"",'[1]Game Input'!$AC114,"")</f>
        <v>25</v>
      </c>
      <c r="K114" s="9">
        <f>IF('[1]Game Input'!$AD114&lt;&gt;"",'[1]Game Input'!$AD114,"")</f>
        <v>7</v>
      </c>
      <c r="L114" s="9">
        <f>IF('[1]Game Input'!$AJ114&lt;&gt;"",'[1]Game Input'!$AJ114,"")</f>
        <v>0</v>
      </c>
      <c r="M114" s="9">
        <f>IF('[1]Game Input'!$AK114&lt;&gt;"",'[1]Game Input'!$AK114,"")</f>
        <v>0</v>
      </c>
      <c r="N114" s="9">
        <f>IF('[1]Game Input'!$AN114&lt;&gt;"",'[1]Game Input'!$AN114,"")</f>
        <v>5</v>
      </c>
      <c r="O114" s="9">
        <f>IF('[1]Game Input'!$AO114&lt;&gt;"",'[1]Game Input'!$AO114,"")</f>
        <v>1</v>
      </c>
      <c r="P114" s="9">
        <f>IF('[1]Game Input'!$AP114&lt;&gt;"",'[1]Game Input'!$AP114,"")</f>
        <v>1</v>
      </c>
      <c r="Q114" s="9">
        <f>IF('[1]Game Input'!$AQ114&lt;&gt;"",'[1]Game Input'!$AQ114,"")</f>
        <v>0</v>
      </c>
      <c r="R114" s="9">
        <f>IF('[1]Game Input'!$AR114&lt;&gt;"",'[1]Game Input'!$AR114,"")</f>
        <v>0</v>
      </c>
      <c r="S114" s="9">
        <f>IF('[1]Game Input'!$AS114&lt;&gt;"",'[1]Game Input'!$AS114,"")</f>
        <v>0</v>
      </c>
      <c r="T114" s="10" t="str">
        <f>IF('[1]Game Input'!$BA114&lt;&gt;"",'[1]Game Input'!$BA114,"")</f>
        <v>FARGO</v>
      </c>
      <c r="U114" s="9">
        <f>IF('[1]Game Input'!$BU114&lt;&gt;"",'[1]Game Input'!$BU114,"")</f>
        <v>27</v>
      </c>
      <c r="V114" s="9">
        <f>IF('[1]Game Input'!$BV114&lt;&gt;"",'[1]Game Input'!$BV114,"")</f>
        <v>8</v>
      </c>
      <c r="W114" s="9">
        <f>IF('[1]Game Input'!$CB114&lt;&gt;"",'[1]Game Input'!$CB114,"")</f>
        <v>0</v>
      </c>
      <c r="X114" s="9">
        <f>IF('[1]Game Input'!$CC114&lt;&gt;"",'[1]Game Input'!$CC114,"")</f>
        <v>0</v>
      </c>
      <c r="Y114" s="9">
        <f>IF('[1]Game Input'!$CF114&lt;&gt;"",'[1]Game Input'!$CF114,"")</f>
        <v>6</v>
      </c>
      <c r="Z114" s="9">
        <f>IF('[1]Game Input'!$CG114&lt;&gt;"",'[1]Game Input'!$CG114,"")</f>
        <v>1</v>
      </c>
      <c r="AA114" s="9">
        <f>IF('[1]Game Input'!$CH114&lt;&gt;"",'[1]Game Input'!$CH114,"")</f>
        <v>1</v>
      </c>
      <c r="AB114" s="9">
        <f>IF('[1]Game Input'!$CI114&lt;&gt;"",'[1]Game Input'!$CI114,"")</f>
        <v>0</v>
      </c>
      <c r="AC114" s="9">
        <f>IF('[1]Game Input'!$CJ114&lt;&gt;"",'[1]Game Input'!$CJ114,"")</f>
        <v>0</v>
      </c>
      <c r="AD114" s="9">
        <f>IF('[1]Game Input'!$CK114&lt;&gt;"",'[1]Game Input'!$CK114,"")</f>
        <v>0</v>
      </c>
      <c r="AE114" s="8" t="s">
        <v>102</v>
      </c>
      <c r="AF114" s="8" t="s">
        <v>138</v>
      </c>
      <c r="AG114" s="8" t="s">
        <v>137</v>
      </c>
      <c r="AH114" s="8" t="s">
        <v>129</v>
      </c>
    </row>
    <row r="115" spans="1:34" x14ac:dyDescent="0.2">
      <c r="A115" s="6">
        <f>IF('[1]Game Input'!$A115&lt;&gt;"",'[1]Game Input'!$A115,"")</f>
        <v>43414</v>
      </c>
      <c r="B115" s="6" t="str">
        <f>IF(A115&gt;$B$1,VLOOKUP(MONTH($A115),DOTWMonth,2,FALSE),"")</f>
        <v>November</v>
      </c>
      <c r="C115" s="10" t="str">
        <f>IF(A115&gt;$B$1,VLOOKUP(WEEKDAY($A115),DOTWMonth,3,FALSE),"")</f>
        <v>Saturday</v>
      </c>
      <c r="D115" s="7">
        <f>IF('[1]Game Input'!$B115&lt;&gt;"",'[1]Game Input'!$B115,"")</f>
        <v>0.83680555555555547</v>
      </c>
      <c r="E115" s="7">
        <f>IF('[1]Game Input'!$C115&lt;&gt;"",'[1]Game Input'!$C115,"")</f>
        <v>0.79513888888888884</v>
      </c>
      <c r="F115" s="8" t="str">
        <f>IF('[1]Game Input'!$D115&lt;&gt;"",'[1]Game Input'!$D115,"")</f>
        <v>Standard</v>
      </c>
      <c r="G115" s="8" t="str">
        <f>IF('[1]Game Input'!$G115&lt;&gt;"",'[1]Game Input'!$G115,"")</f>
        <v>CHI @ MAD</v>
      </c>
      <c r="H115" s="8" t="str">
        <f>IF('[1]Game Input'!$H115&lt;&gt;"",'[1]Game Input'!$H115,"")</f>
        <v>Vs. Conference</v>
      </c>
      <c r="I115" s="8" t="str">
        <f>IF('[1]Game Input'!$I115&lt;&gt;"",'[1]Game Input'!$I115,"")</f>
        <v>CHICAGO</v>
      </c>
      <c r="J115" s="9">
        <f>IF('[1]Game Input'!$AC115&lt;&gt;"",'[1]Game Input'!$AC115,"")</f>
        <v>41</v>
      </c>
      <c r="K115" s="9">
        <f>IF('[1]Game Input'!$AD115&lt;&gt;"",'[1]Game Input'!$AD115,"")</f>
        <v>11</v>
      </c>
      <c r="L115" s="9">
        <f>IF('[1]Game Input'!$AJ115&lt;&gt;"",'[1]Game Input'!$AJ115,"")</f>
        <v>0</v>
      </c>
      <c r="M115" s="9">
        <f>IF('[1]Game Input'!$AK115&lt;&gt;"",'[1]Game Input'!$AK115,"")</f>
        <v>0</v>
      </c>
      <c r="N115" s="9">
        <f>IF('[1]Game Input'!$AN115&lt;&gt;"",'[1]Game Input'!$AN115,"")</f>
        <v>8</v>
      </c>
      <c r="O115" s="9">
        <f>IF('[1]Game Input'!$AO115&lt;&gt;"",'[1]Game Input'!$AO115,"")</f>
        <v>1</v>
      </c>
      <c r="P115" s="9">
        <f>IF('[1]Game Input'!$AP115&lt;&gt;"",'[1]Game Input'!$AP115,"")</f>
        <v>2</v>
      </c>
      <c r="Q115" s="9">
        <f>IF('[1]Game Input'!$AQ115&lt;&gt;"",'[1]Game Input'!$AQ115,"")</f>
        <v>0</v>
      </c>
      <c r="R115" s="9">
        <f>IF('[1]Game Input'!$AR115&lt;&gt;"",'[1]Game Input'!$AR115,"")</f>
        <v>0</v>
      </c>
      <c r="S115" s="9">
        <f>IF('[1]Game Input'!$AS115&lt;&gt;"",'[1]Game Input'!$AS115,"")</f>
        <v>0</v>
      </c>
      <c r="T115" s="10" t="str">
        <f>IF('[1]Game Input'!$BA115&lt;&gt;"",'[1]Game Input'!$BA115,"")</f>
        <v>MADISON</v>
      </c>
      <c r="U115" s="9">
        <f>IF('[1]Game Input'!$BU115&lt;&gt;"",'[1]Game Input'!$BU115,"")</f>
        <v>29</v>
      </c>
      <c r="V115" s="9">
        <f>IF('[1]Game Input'!$BV115&lt;&gt;"",'[1]Game Input'!$BV115,"")</f>
        <v>9</v>
      </c>
      <c r="W115" s="9">
        <f>IF('[1]Game Input'!$CB115&lt;&gt;"",'[1]Game Input'!$CB115,"")</f>
        <v>0</v>
      </c>
      <c r="X115" s="9">
        <f>IF('[1]Game Input'!$CC115&lt;&gt;"",'[1]Game Input'!$CC115,"")</f>
        <v>0</v>
      </c>
      <c r="Y115" s="9">
        <f>IF('[1]Game Input'!$CF115&lt;&gt;"",'[1]Game Input'!$CF115,"")</f>
        <v>7</v>
      </c>
      <c r="Z115" s="9">
        <f>IF('[1]Game Input'!$CG115&lt;&gt;"",'[1]Game Input'!$CG115,"")</f>
        <v>1</v>
      </c>
      <c r="AA115" s="9">
        <f>IF('[1]Game Input'!$CH115&lt;&gt;"",'[1]Game Input'!$CH115,"")</f>
        <v>1</v>
      </c>
      <c r="AB115" s="9">
        <f>IF('[1]Game Input'!$CI115&lt;&gt;"",'[1]Game Input'!$CI115,"")</f>
        <v>0</v>
      </c>
      <c r="AC115" s="9">
        <f>IF('[1]Game Input'!$CJ115&lt;&gt;"",'[1]Game Input'!$CJ115,"")</f>
        <v>0</v>
      </c>
      <c r="AD115" s="9">
        <f>IF('[1]Game Input'!$CK115&lt;&gt;"",'[1]Game Input'!$CK115,"")</f>
        <v>0</v>
      </c>
      <c r="AE115" s="8"/>
      <c r="AF115" s="8"/>
      <c r="AG115" s="8"/>
      <c r="AH115" s="8"/>
    </row>
    <row r="116" spans="1:34" x14ac:dyDescent="0.2">
      <c r="A116" s="6">
        <f>IF('[1]Game Input'!$A116&lt;&gt;"",'[1]Game Input'!$A116,"")</f>
        <v>43414</v>
      </c>
      <c r="B116" s="6" t="str">
        <f>IF(A116&gt;$B$1,VLOOKUP(MONTH($A116),DOTWMonth,2,FALSE),"")</f>
        <v>November</v>
      </c>
      <c r="C116" s="10" t="str">
        <f>IF(A116&gt;$B$1,VLOOKUP(WEEKDAY($A116),DOTWMonth,3,FALSE),"")</f>
        <v>Saturday</v>
      </c>
      <c r="D116" s="7">
        <f>IF('[1]Game Input'!$B116&lt;&gt;"",'[1]Game Input'!$B116,"")</f>
        <v>0.83680555555555547</v>
      </c>
      <c r="E116" s="7">
        <f>IF('[1]Game Input'!$C116&lt;&gt;"",'[1]Game Input'!$C116,"")</f>
        <v>0.79513888888888884</v>
      </c>
      <c r="F116" s="8" t="str">
        <f>IF('[1]Game Input'!$D116&lt;&gt;"",'[1]Game Input'!$D116,"")</f>
        <v>Standard</v>
      </c>
      <c r="G116" s="8" t="str">
        <f>IF('[1]Game Input'!$G116&lt;&gt;"",'[1]Game Input'!$G116,"")</f>
        <v>LIN @ SC</v>
      </c>
      <c r="H116" s="8" t="str">
        <f>IF('[1]Game Input'!$H116&lt;&gt;"",'[1]Game Input'!$H116,"")</f>
        <v>Vs. Conference</v>
      </c>
      <c r="I116" s="8" t="str">
        <f>IF('[1]Game Input'!$I116&lt;&gt;"",'[1]Game Input'!$I116,"")</f>
        <v>LINCOLN</v>
      </c>
      <c r="J116" s="9">
        <f>IF('[1]Game Input'!$AC116&lt;&gt;"",'[1]Game Input'!$AC116,"")</f>
        <v>6</v>
      </c>
      <c r="K116" s="9">
        <f>IF('[1]Game Input'!$AD116&lt;&gt;"",'[1]Game Input'!$AD116,"")</f>
        <v>3</v>
      </c>
      <c r="L116" s="9">
        <f>IF('[1]Game Input'!$AJ116&lt;&gt;"",'[1]Game Input'!$AJ116,"")</f>
        <v>0</v>
      </c>
      <c r="M116" s="9">
        <f>IF('[1]Game Input'!$AK116&lt;&gt;"",'[1]Game Input'!$AK116,"")</f>
        <v>0</v>
      </c>
      <c r="N116" s="9">
        <f>IF('[1]Game Input'!$AN116&lt;&gt;"",'[1]Game Input'!$AN116,"")</f>
        <v>3</v>
      </c>
      <c r="O116" s="9">
        <f>IF('[1]Game Input'!$AO116&lt;&gt;"",'[1]Game Input'!$AO116,"")</f>
        <v>0</v>
      </c>
      <c r="P116" s="9">
        <f>IF('[1]Game Input'!$AP116&lt;&gt;"",'[1]Game Input'!$AP116,"")</f>
        <v>0</v>
      </c>
      <c r="Q116" s="9">
        <f>IF('[1]Game Input'!$AQ116&lt;&gt;"",'[1]Game Input'!$AQ116,"")</f>
        <v>0</v>
      </c>
      <c r="R116" s="9">
        <f>IF('[1]Game Input'!$AR116&lt;&gt;"",'[1]Game Input'!$AR116,"")</f>
        <v>0</v>
      </c>
      <c r="S116" s="9">
        <f>IF('[1]Game Input'!$AS116&lt;&gt;"",'[1]Game Input'!$AS116,"")</f>
        <v>0</v>
      </c>
      <c r="T116" s="10" t="str">
        <f>IF('[1]Game Input'!$BA116&lt;&gt;"",'[1]Game Input'!$BA116,"")</f>
        <v>SIOUX CITY</v>
      </c>
      <c r="U116" s="9">
        <f>IF('[1]Game Input'!$BU116&lt;&gt;"",'[1]Game Input'!$BU116,"")</f>
        <v>2</v>
      </c>
      <c r="V116" s="9">
        <f>IF('[1]Game Input'!$BV116&lt;&gt;"",'[1]Game Input'!$BV116,"")</f>
        <v>1</v>
      </c>
      <c r="W116" s="9">
        <f>IF('[1]Game Input'!$CB116&lt;&gt;"",'[1]Game Input'!$CB116,"")</f>
        <v>0</v>
      </c>
      <c r="X116" s="9">
        <f>IF('[1]Game Input'!$CC116&lt;&gt;"",'[1]Game Input'!$CC116,"")</f>
        <v>0</v>
      </c>
      <c r="Y116" s="9">
        <f>IF('[1]Game Input'!$CF116&lt;&gt;"",'[1]Game Input'!$CF116,"")</f>
        <v>1</v>
      </c>
      <c r="Z116" s="9">
        <f>IF('[1]Game Input'!$CG116&lt;&gt;"",'[1]Game Input'!$CG116,"")</f>
        <v>0</v>
      </c>
      <c r="AA116" s="9">
        <f>IF('[1]Game Input'!$CH116&lt;&gt;"",'[1]Game Input'!$CH116,"")</f>
        <v>0</v>
      </c>
      <c r="AB116" s="9">
        <f>IF('[1]Game Input'!$CI116&lt;&gt;"",'[1]Game Input'!$CI116,"")</f>
        <v>0</v>
      </c>
      <c r="AC116" s="9">
        <f>IF('[1]Game Input'!$CJ116&lt;&gt;"",'[1]Game Input'!$CJ116,"")</f>
        <v>0</v>
      </c>
      <c r="AD116" s="9">
        <f>IF('[1]Game Input'!$CK116&lt;&gt;"",'[1]Game Input'!$CK116,"")</f>
        <v>0</v>
      </c>
      <c r="AE116" s="8"/>
      <c r="AF116" s="8"/>
      <c r="AG116" s="8"/>
      <c r="AH116" s="8"/>
    </row>
    <row r="117" spans="1:34" x14ac:dyDescent="0.2">
      <c r="A117" s="6">
        <f>IF('[1]Game Input'!$A117&lt;&gt;"",'[1]Game Input'!$A117,"")</f>
        <v>43414</v>
      </c>
      <c r="B117" s="6" t="str">
        <f>IF(A117&gt;$B$1,VLOOKUP(MONTH($A117),DOTWMonth,2,FALSE),"")</f>
        <v>November</v>
      </c>
      <c r="C117" s="10" t="str">
        <f>IF(A117&gt;$B$1,VLOOKUP(WEEKDAY($A117),DOTWMonth,3,FALSE),"")</f>
        <v>Saturday</v>
      </c>
      <c r="D117" s="7">
        <f>IF('[1]Game Input'!$B117&lt;&gt;"",'[1]Game Input'!$B117,"")</f>
        <v>0.83680555555555547</v>
      </c>
      <c r="E117" s="7">
        <f>IF('[1]Game Input'!$C117&lt;&gt;"",'[1]Game Input'!$C117,"")</f>
        <v>0.79513888888888884</v>
      </c>
      <c r="F117" s="8" t="str">
        <f>IF('[1]Game Input'!$D117&lt;&gt;"",'[1]Game Input'!$D117,"")</f>
        <v>Standard</v>
      </c>
      <c r="G117" s="8" t="str">
        <f>IF('[1]Game Input'!$G117&lt;&gt;"",'[1]Game Input'!$G117,"")</f>
        <v>SF @ TC</v>
      </c>
      <c r="H117" s="8" t="str">
        <f>IF('[1]Game Input'!$H117&lt;&gt;"",'[1]Game Input'!$H117,"")</f>
        <v>Vs. Conference</v>
      </c>
      <c r="I117" s="8" t="str">
        <f>IF('[1]Game Input'!$I117&lt;&gt;"",'[1]Game Input'!$I117,"")</f>
        <v>SIOUX FALLS</v>
      </c>
      <c r="J117" s="9">
        <f>IF('[1]Game Input'!$AC117&lt;&gt;"",'[1]Game Input'!$AC117,"")</f>
        <v>8</v>
      </c>
      <c r="K117" s="9">
        <f>IF('[1]Game Input'!$AD117&lt;&gt;"",'[1]Game Input'!$AD117,"")</f>
        <v>4</v>
      </c>
      <c r="L117" s="9">
        <f>IF('[1]Game Input'!$AJ117&lt;&gt;"",'[1]Game Input'!$AJ117,"")</f>
        <v>0</v>
      </c>
      <c r="M117" s="9">
        <f>IF('[1]Game Input'!$AK117&lt;&gt;"",'[1]Game Input'!$AK117,"")</f>
        <v>0</v>
      </c>
      <c r="N117" s="9">
        <f>IF('[1]Game Input'!$AN117&lt;&gt;"",'[1]Game Input'!$AN117,"")</f>
        <v>4</v>
      </c>
      <c r="O117" s="9">
        <f>IF('[1]Game Input'!$AO117&lt;&gt;"",'[1]Game Input'!$AO117,"")</f>
        <v>0</v>
      </c>
      <c r="P117" s="9">
        <f>IF('[1]Game Input'!$AP117&lt;&gt;"",'[1]Game Input'!$AP117,"")</f>
        <v>0</v>
      </c>
      <c r="Q117" s="9">
        <f>IF('[1]Game Input'!$AQ117&lt;&gt;"",'[1]Game Input'!$AQ117,"")</f>
        <v>0</v>
      </c>
      <c r="R117" s="9">
        <f>IF('[1]Game Input'!$AR117&lt;&gt;"",'[1]Game Input'!$AR117,"")</f>
        <v>0</v>
      </c>
      <c r="S117" s="9">
        <f>IF('[1]Game Input'!$AS117&lt;&gt;"",'[1]Game Input'!$AS117,"")</f>
        <v>0</v>
      </c>
      <c r="T117" s="10" t="str">
        <f>IF('[1]Game Input'!$BA117&lt;&gt;"",'[1]Game Input'!$BA117,"")</f>
        <v>TRI-CITY</v>
      </c>
      <c r="U117" s="9">
        <f>IF('[1]Game Input'!$BU117&lt;&gt;"",'[1]Game Input'!$BU117,"")</f>
        <v>10</v>
      </c>
      <c r="V117" s="9">
        <f>IF('[1]Game Input'!$BV117&lt;&gt;"",'[1]Game Input'!$BV117,"")</f>
        <v>5</v>
      </c>
      <c r="W117" s="9">
        <f>IF('[1]Game Input'!$CB117&lt;&gt;"",'[1]Game Input'!$CB117,"")</f>
        <v>0</v>
      </c>
      <c r="X117" s="9">
        <f>IF('[1]Game Input'!$CC117&lt;&gt;"",'[1]Game Input'!$CC117,"")</f>
        <v>0</v>
      </c>
      <c r="Y117" s="9">
        <f>IF('[1]Game Input'!$CF117&lt;&gt;"",'[1]Game Input'!$CF117,"")</f>
        <v>5</v>
      </c>
      <c r="Z117" s="9">
        <f>IF('[1]Game Input'!$CG117&lt;&gt;"",'[1]Game Input'!$CG117,"")</f>
        <v>0</v>
      </c>
      <c r="AA117" s="9">
        <f>IF('[1]Game Input'!$CH117&lt;&gt;"",'[1]Game Input'!$CH117,"")</f>
        <v>0</v>
      </c>
      <c r="AB117" s="9">
        <f>IF('[1]Game Input'!$CI117&lt;&gt;"",'[1]Game Input'!$CI117,"")</f>
        <v>0</v>
      </c>
      <c r="AC117" s="9">
        <f>IF('[1]Game Input'!$CJ117&lt;&gt;"",'[1]Game Input'!$CJ117,"")</f>
        <v>0</v>
      </c>
      <c r="AD117" s="9">
        <f>IF('[1]Game Input'!$CK117&lt;&gt;"",'[1]Game Input'!$CK117,"")</f>
        <v>0</v>
      </c>
      <c r="AE117" s="8"/>
      <c r="AF117" s="8"/>
      <c r="AG117" s="8"/>
      <c r="AH117" s="8"/>
    </row>
    <row r="118" spans="1:34" x14ac:dyDescent="0.2">
      <c r="A118" s="6">
        <f>IF('[1]Game Input'!$A118&lt;&gt;"",'[1]Game Input'!$A118,"")</f>
        <v>43414</v>
      </c>
      <c r="B118" s="6" t="str">
        <f>IF(A118&gt;$B$1,VLOOKUP(MONTH($A118),DOTWMonth,2,FALSE),"")</f>
        <v>November</v>
      </c>
      <c r="C118" s="10" t="str">
        <f>IF(A118&gt;$B$1,VLOOKUP(WEEKDAY($A118),DOTWMonth,3,FALSE),"")</f>
        <v>Saturday</v>
      </c>
      <c r="D118" s="7">
        <f>IF('[1]Game Input'!$B118&lt;&gt;"",'[1]Game Input'!$B118,"")</f>
        <v>0.83680555555555547</v>
      </c>
      <c r="E118" s="7">
        <f>IF('[1]Game Input'!$C118&lt;&gt;"",'[1]Game Input'!$C118,"")</f>
        <v>0.79513888888888884</v>
      </c>
      <c r="F118" s="8" t="str">
        <f>IF('[1]Game Input'!$D118&lt;&gt;"",'[1]Game Input'!$D118,"")</f>
        <v>Standard</v>
      </c>
      <c r="G118" s="8" t="str">
        <f>IF('[1]Game Input'!$G118&lt;&gt;"",'[1]Game Input'!$G118,"")</f>
        <v>OMA @ CR</v>
      </c>
      <c r="H118" s="8" t="str">
        <f>IF('[1]Game Input'!$H118&lt;&gt;"",'[1]Game Input'!$H118,"")</f>
        <v>Vs. Non-Conference</v>
      </c>
      <c r="I118" s="8" t="str">
        <f>IF('[1]Game Input'!$I118&lt;&gt;"",'[1]Game Input'!$I118,"")</f>
        <v>OMAHA</v>
      </c>
      <c r="J118" s="9">
        <f>IF('[1]Game Input'!$AC118&lt;&gt;"",'[1]Game Input'!$AC118,"")</f>
        <v>23</v>
      </c>
      <c r="K118" s="9">
        <f>IF('[1]Game Input'!$AD118&lt;&gt;"",'[1]Game Input'!$AD118,"")</f>
        <v>6</v>
      </c>
      <c r="L118" s="9">
        <f>IF('[1]Game Input'!$AJ118&lt;&gt;"",'[1]Game Input'!$AJ118,"")</f>
        <v>0</v>
      </c>
      <c r="M118" s="9">
        <f>IF('[1]Game Input'!$AK118&lt;&gt;"",'[1]Game Input'!$AK118,"")</f>
        <v>0</v>
      </c>
      <c r="N118" s="9">
        <f>IF('[1]Game Input'!$AN118&lt;&gt;"",'[1]Game Input'!$AN118,"")</f>
        <v>4</v>
      </c>
      <c r="O118" s="9">
        <f>IF('[1]Game Input'!$AO118&lt;&gt;"",'[1]Game Input'!$AO118,"")</f>
        <v>1</v>
      </c>
      <c r="P118" s="9">
        <f>IF('[1]Game Input'!$AP118&lt;&gt;"",'[1]Game Input'!$AP118,"")</f>
        <v>1</v>
      </c>
      <c r="Q118" s="9">
        <f>IF('[1]Game Input'!$AQ118&lt;&gt;"",'[1]Game Input'!$AQ118,"")</f>
        <v>0</v>
      </c>
      <c r="R118" s="9">
        <f>IF('[1]Game Input'!$AR118&lt;&gt;"",'[1]Game Input'!$AR118,"")</f>
        <v>0</v>
      </c>
      <c r="S118" s="9">
        <f>IF('[1]Game Input'!$AS118&lt;&gt;"",'[1]Game Input'!$AS118,"")</f>
        <v>0</v>
      </c>
      <c r="T118" s="10" t="str">
        <f>IF('[1]Game Input'!$BA118&lt;&gt;"",'[1]Game Input'!$BA118,"")</f>
        <v>CEDAR RAPIDS</v>
      </c>
      <c r="U118" s="9">
        <f>IF('[1]Game Input'!$BU118&lt;&gt;"",'[1]Game Input'!$BU118,"")</f>
        <v>23</v>
      </c>
      <c r="V118" s="9">
        <f>IF('[1]Game Input'!$BV118&lt;&gt;"",'[1]Game Input'!$BV118,"")</f>
        <v>6</v>
      </c>
      <c r="W118" s="9">
        <f>IF('[1]Game Input'!$CB118&lt;&gt;"",'[1]Game Input'!$CB118,"")</f>
        <v>0</v>
      </c>
      <c r="X118" s="9">
        <f>IF('[1]Game Input'!$CC118&lt;&gt;"",'[1]Game Input'!$CC118,"")</f>
        <v>0</v>
      </c>
      <c r="Y118" s="9">
        <f>IF('[1]Game Input'!$CF118&lt;&gt;"",'[1]Game Input'!$CF118,"")</f>
        <v>4</v>
      </c>
      <c r="Z118" s="9">
        <f>IF('[1]Game Input'!$CG118&lt;&gt;"",'[1]Game Input'!$CG118,"")</f>
        <v>1</v>
      </c>
      <c r="AA118" s="9">
        <f>IF('[1]Game Input'!$CH118&lt;&gt;"",'[1]Game Input'!$CH118,"")</f>
        <v>1</v>
      </c>
      <c r="AB118" s="9">
        <f>IF('[1]Game Input'!$CI118&lt;&gt;"",'[1]Game Input'!$CI118,"")</f>
        <v>0</v>
      </c>
      <c r="AC118" s="9">
        <f>IF('[1]Game Input'!$CJ118&lt;&gt;"",'[1]Game Input'!$CJ118,"")</f>
        <v>0</v>
      </c>
      <c r="AD118" s="9">
        <f>IF('[1]Game Input'!$CK118&lt;&gt;"",'[1]Game Input'!$CK118,"")</f>
        <v>0</v>
      </c>
      <c r="AE118" s="8" t="s">
        <v>95</v>
      </c>
      <c r="AF118" s="8"/>
      <c r="AG118" s="8" t="s">
        <v>112</v>
      </c>
      <c r="AH118" s="8" t="s">
        <v>117</v>
      </c>
    </row>
    <row r="119" spans="1:34" x14ac:dyDescent="0.2">
      <c r="A119" s="6">
        <f>IF('[1]Game Input'!$A119&lt;&gt;"",'[1]Game Input'!$A119,"")</f>
        <v>43414</v>
      </c>
      <c r="B119" s="6" t="str">
        <f>IF(A119&gt;$B$1,VLOOKUP(MONTH($A119),DOTWMonth,2,FALSE),"")</f>
        <v>November</v>
      </c>
      <c r="C119" s="10" t="str">
        <f>IF(A119&gt;$B$1,VLOOKUP(WEEKDAY($A119),DOTWMonth,3,FALSE),"")</f>
        <v>Saturday</v>
      </c>
      <c r="D119" s="7">
        <f>IF('[1]Game Input'!$B119&lt;&gt;"",'[1]Game Input'!$B119,"")</f>
        <v>0.83680555555555547</v>
      </c>
      <c r="E119" s="7">
        <f>IF('[1]Game Input'!$C119&lt;&gt;"",'[1]Game Input'!$C119,"")</f>
        <v>0.79513888888888884</v>
      </c>
      <c r="F119" s="8" t="str">
        <f>IF('[1]Game Input'!$D119&lt;&gt;"",'[1]Game Input'!$D119,"")</f>
        <v>Standard</v>
      </c>
      <c r="G119" s="8" t="str">
        <f>IF('[1]Game Input'!$G119&lt;&gt;"",'[1]Game Input'!$G119,"")</f>
        <v>WAT @ GB</v>
      </c>
      <c r="H119" s="8" t="str">
        <f>IF('[1]Game Input'!$H119&lt;&gt;"",'[1]Game Input'!$H119,"")</f>
        <v>Vs. Non-Conference</v>
      </c>
      <c r="I119" s="8" t="str">
        <f>IF('[1]Game Input'!$I119&lt;&gt;"",'[1]Game Input'!$I119,"")</f>
        <v>WATERLOO</v>
      </c>
      <c r="J119" s="9">
        <f>IF('[1]Game Input'!$AC119&lt;&gt;"",'[1]Game Input'!$AC119,"")</f>
        <v>19</v>
      </c>
      <c r="K119" s="9">
        <f>IF('[1]Game Input'!$AD119&lt;&gt;"",'[1]Game Input'!$AD119,"")</f>
        <v>4</v>
      </c>
      <c r="L119" s="9">
        <f>IF('[1]Game Input'!$AJ119&lt;&gt;"",'[1]Game Input'!$AJ119,"")</f>
        <v>0</v>
      </c>
      <c r="M119" s="9">
        <f>IF('[1]Game Input'!$AK119&lt;&gt;"",'[1]Game Input'!$AK119,"")</f>
        <v>0</v>
      </c>
      <c r="N119" s="9">
        <f>IF('[1]Game Input'!$AN119&lt;&gt;"",'[1]Game Input'!$AN119,"")</f>
        <v>2</v>
      </c>
      <c r="O119" s="9">
        <f>IF('[1]Game Input'!$AO119&lt;&gt;"",'[1]Game Input'!$AO119,"")</f>
        <v>1</v>
      </c>
      <c r="P119" s="9">
        <f>IF('[1]Game Input'!$AP119&lt;&gt;"",'[1]Game Input'!$AP119,"")</f>
        <v>1</v>
      </c>
      <c r="Q119" s="9">
        <f>IF('[1]Game Input'!$AQ119&lt;&gt;"",'[1]Game Input'!$AQ119,"")</f>
        <v>0</v>
      </c>
      <c r="R119" s="9">
        <f>IF('[1]Game Input'!$AR119&lt;&gt;"",'[1]Game Input'!$AR119,"")</f>
        <v>0</v>
      </c>
      <c r="S119" s="9">
        <f>IF('[1]Game Input'!$AS119&lt;&gt;"",'[1]Game Input'!$AS119,"")</f>
        <v>0</v>
      </c>
      <c r="T119" s="10" t="str">
        <f>IF('[1]Game Input'!$BA119&lt;&gt;"",'[1]Game Input'!$BA119,"")</f>
        <v>GREEN BAY</v>
      </c>
      <c r="U119" s="9">
        <f>IF('[1]Game Input'!$BU119&lt;&gt;"",'[1]Game Input'!$BU119,"")</f>
        <v>25</v>
      </c>
      <c r="V119" s="9">
        <f>IF('[1]Game Input'!$BV119&lt;&gt;"",'[1]Game Input'!$BV119,"")</f>
        <v>7</v>
      </c>
      <c r="W119" s="9">
        <f>IF('[1]Game Input'!$CB119&lt;&gt;"",'[1]Game Input'!$CB119,"")</f>
        <v>0</v>
      </c>
      <c r="X119" s="9">
        <f>IF('[1]Game Input'!$CC119&lt;&gt;"",'[1]Game Input'!$CC119,"")</f>
        <v>0</v>
      </c>
      <c r="Y119" s="9">
        <f>IF('[1]Game Input'!$CF119&lt;&gt;"",'[1]Game Input'!$CF119,"")</f>
        <v>5</v>
      </c>
      <c r="Z119" s="9">
        <f>IF('[1]Game Input'!$CG119&lt;&gt;"",'[1]Game Input'!$CG119,"")</f>
        <v>1</v>
      </c>
      <c r="AA119" s="9">
        <f>IF('[1]Game Input'!$CH119&lt;&gt;"",'[1]Game Input'!$CH119,"")</f>
        <v>1</v>
      </c>
      <c r="AB119" s="9">
        <f>IF('[1]Game Input'!$CI119&lt;&gt;"",'[1]Game Input'!$CI119,"")</f>
        <v>0</v>
      </c>
      <c r="AC119" s="9">
        <f>IF('[1]Game Input'!$CJ119&lt;&gt;"",'[1]Game Input'!$CJ119,"")</f>
        <v>0</v>
      </c>
      <c r="AD119" s="9">
        <f>IF('[1]Game Input'!$CK119&lt;&gt;"",'[1]Game Input'!$CK119,"")</f>
        <v>0</v>
      </c>
      <c r="AE119" s="8"/>
      <c r="AF119" s="8"/>
      <c r="AG119" s="8"/>
      <c r="AH119" s="8"/>
    </row>
    <row r="120" spans="1:34" x14ac:dyDescent="0.2">
      <c r="A120" s="6">
        <f>IF('[1]Game Input'!$A120&lt;&gt;"",'[1]Game Input'!$A120,"")</f>
        <v>43414</v>
      </c>
      <c r="B120" s="6" t="str">
        <f>IF(A120&gt;$B$1,VLOOKUP(MONTH($A120),DOTWMonth,2,FALSE),"")</f>
        <v>November</v>
      </c>
      <c r="C120" s="10" t="str">
        <f>IF(A120&gt;$B$1,VLOOKUP(WEEKDAY($A120),DOTWMonth,3,FALSE),"")</f>
        <v>Saturday</v>
      </c>
      <c r="D120" s="7">
        <f>IF('[1]Game Input'!$B120&lt;&gt;"",'[1]Game Input'!$B120,"")</f>
        <v>0.83819444444444446</v>
      </c>
      <c r="E120" s="7">
        <f>IF('[1]Game Input'!$C120&lt;&gt;"",'[1]Game Input'!$C120,"")</f>
        <v>0.79652777777777783</v>
      </c>
      <c r="F120" s="8" t="str">
        <f>IF('[1]Game Input'!$D120&lt;&gt;"",'[1]Game Input'!$D120,"")</f>
        <v>Standard</v>
      </c>
      <c r="G120" s="8" t="str">
        <f>IF('[1]Game Input'!$G120&lt;&gt;"",'[1]Game Input'!$G120,"")</f>
        <v>DUB @ CIL</v>
      </c>
      <c r="H120" s="8" t="str">
        <f>IF('[1]Game Input'!$H120&lt;&gt;"",'[1]Game Input'!$H120,"")</f>
        <v>Vs. Conference</v>
      </c>
      <c r="I120" s="8" t="str">
        <f>IF('[1]Game Input'!$I120&lt;&gt;"",'[1]Game Input'!$I120,"")</f>
        <v>DUBUQUE</v>
      </c>
      <c r="J120" s="9">
        <f>IF('[1]Game Input'!$AC120&lt;&gt;"",'[1]Game Input'!$AC120,"")</f>
        <v>19</v>
      </c>
      <c r="K120" s="9">
        <f>IF('[1]Game Input'!$AD120&lt;&gt;"",'[1]Game Input'!$AD120,"")</f>
        <v>4</v>
      </c>
      <c r="L120" s="9">
        <f>IF('[1]Game Input'!$AJ120&lt;&gt;"",'[1]Game Input'!$AJ120,"")</f>
        <v>0</v>
      </c>
      <c r="M120" s="9">
        <f>IF('[1]Game Input'!$AK120&lt;&gt;"",'[1]Game Input'!$AK120,"")</f>
        <v>0</v>
      </c>
      <c r="N120" s="9">
        <f>IF('[1]Game Input'!$AN120&lt;&gt;"",'[1]Game Input'!$AN120,"")</f>
        <v>2</v>
      </c>
      <c r="O120" s="9">
        <f>IF('[1]Game Input'!$AO120&lt;&gt;"",'[1]Game Input'!$AO120,"")</f>
        <v>1</v>
      </c>
      <c r="P120" s="9">
        <f>IF('[1]Game Input'!$AP120&lt;&gt;"",'[1]Game Input'!$AP120,"")</f>
        <v>1</v>
      </c>
      <c r="Q120" s="9">
        <f>IF('[1]Game Input'!$AQ120&lt;&gt;"",'[1]Game Input'!$AQ120,"")</f>
        <v>0</v>
      </c>
      <c r="R120" s="9">
        <f>IF('[1]Game Input'!$AR120&lt;&gt;"",'[1]Game Input'!$AR120,"")</f>
        <v>0</v>
      </c>
      <c r="S120" s="9">
        <f>IF('[1]Game Input'!$AS120&lt;&gt;"",'[1]Game Input'!$AS120,"")</f>
        <v>0</v>
      </c>
      <c r="T120" s="10" t="str">
        <f>IF('[1]Game Input'!$BA120&lt;&gt;"",'[1]Game Input'!$BA120,"")</f>
        <v>CENTRAL ILLINOIS</v>
      </c>
      <c r="U120" s="9">
        <f>IF('[1]Game Input'!$BU120&lt;&gt;"",'[1]Game Input'!$BU120,"")</f>
        <v>23</v>
      </c>
      <c r="V120" s="9">
        <f>IF('[1]Game Input'!$BV120&lt;&gt;"",'[1]Game Input'!$BV120,"")</f>
        <v>6</v>
      </c>
      <c r="W120" s="9">
        <f>IF('[1]Game Input'!$CB120&lt;&gt;"",'[1]Game Input'!$CB120,"")</f>
        <v>0</v>
      </c>
      <c r="X120" s="9">
        <f>IF('[1]Game Input'!$CC120&lt;&gt;"",'[1]Game Input'!$CC120,"")</f>
        <v>0</v>
      </c>
      <c r="Y120" s="9">
        <f>IF('[1]Game Input'!$CF120&lt;&gt;"",'[1]Game Input'!$CF120,"")</f>
        <v>4</v>
      </c>
      <c r="Z120" s="9">
        <f>IF('[1]Game Input'!$CG120&lt;&gt;"",'[1]Game Input'!$CG120,"")</f>
        <v>1</v>
      </c>
      <c r="AA120" s="9">
        <f>IF('[1]Game Input'!$CH120&lt;&gt;"",'[1]Game Input'!$CH120,"")</f>
        <v>1</v>
      </c>
      <c r="AB120" s="9">
        <f>IF('[1]Game Input'!$CI120&lt;&gt;"",'[1]Game Input'!$CI120,"")</f>
        <v>0</v>
      </c>
      <c r="AC120" s="9">
        <f>IF('[1]Game Input'!$CJ120&lt;&gt;"",'[1]Game Input'!$CJ120,"")</f>
        <v>0</v>
      </c>
      <c r="AD120" s="9">
        <f>IF('[1]Game Input'!$CK120&lt;&gt;"",'[1]Game Input'!$CK120,"")</f>
        <v>0</v>
      </c>
      <c r="AE120" s="8" t="s">
        <v>155</v>
      </c>
      <c r="AF120" s="8"/>
      <c r="AG120" s="8" t="s">
        <v>114</v>
      </c>
      <c r="AH120" s="8" t="s">
        <v>124</v>
      </c>
    </row>
    <row r="121" spans="1:34" x14ac:dyDescent="0.2">
      <c r="A121" s="6">
        <f>IF('[1]Game Input'!$A121&lt;&gt;"",'[1]Game Input'!$A121,"")</f>
        <v>43415</v>
      </c>
      <c r="B121" s="6" t="str">
        <f>IF(A121&gt;$B$1,VLOOKUP(MONTH($A121),DOTWMonth,2,FALSE),"")</f>
        <v>November</v>
      </c>
      <c r="C121" s="10" t="str">
        <f>IF(A121&gt;$B$1,VLOOKUP(WEEKDAY($A121),DOTWMonth,3,FALSE),"")</f>
        <v>Sunday</v>
      </c>
      <c r="D121" s="7">
        <f>IF('[1]Game Input'!$B121&lt;&gt;"",'[1]Game Input'!$B121,"")</f>
        <v>0.62847222222222221</v>
      </c>
      <c r="E121" s="7">
        <f>IF('[1]Game Input'!$C121&lt;&gt;"",'[1]Game Input'!$C121,"")</f>
        <v>0.58680555555555558</v>
      </c>
      <c r="F121" s="8" t="str">
        <f>IF('[1]Game Input'!$D121&lt;&gt;"",'[1]Game Input'!$D121,"")</f>
        <v>Standard</v>
      </c>
      <c r="G121" s="8" t="str">
        <f>IF('[1]Game Input'!$G121&lt;&gt;"",'[1]Game Input'!$G121,"")</f>
        <v>TC @ LIN</v>
      </c>
      <c r="H121" s="8" t="str">
        <f>IF('[1]Game Input'!$H121&lt;&gt;"",'[1]Game Input'!$H121,"")</f>
        <v>Vs. Conference</v>
      </c>
      <c r="I121" s="8" t="str">
        <f>IF('[1]Game Input'!$I121&lt;&gt;"",'[1]Game Input'!$I121,"")</f>
        <v>TRI-CITY</v>
      </c>
      <c r="J121" s="9">
        <f>IF('[1]Game Input'!$AC121&lt;&gt;"",'[1]Game Input'!$AC121,"")</f>
        <v>12</v>
      </c>
      <c r="K121" s="9">
        <f>IF('[1]Game Input'!$AD121&lt;&gt;"",'[1]Game Input'!$AD121,"")</f>
        <v>6</v>
      </c>
      <c r="L121" s="9">
        <f>IF('[1]Game Input'!$AJ121&lt;&gt;"",'[1]Game Input'!$AJ121,"")</f>
        <v>0</v>
      </c>
      <c r="M121" s="9">
        <f>IF('[1]Game Input'!$AK121&lt;&gt;"",'[1]Game Input'!$AK121,"")</f>
        <v>0</v>
      </c>
      <c r="N121" s="9">
        <f>IF('[1]Game Input'!$AN121&lt;&gt;"",'[1]Game Input'!$AN121,"")</f>
        <v>6</v>
      </c>
      <c r="O121" s="9">
        <f>IF('[1]Game Input'!$AO121&lt;&gt;"",'[1]Game Input'!$AO121,"")</f>
        <v>0</v>
      </c>
      <c r="P121" s="9">
        <f>IF('[1]Game Input'!$AP121&lt;&gt;"",'[1]Game Input'!$AP121,"")</f>
        <v>0</v>
      </c>
      <c r="Q121" s="9">
        <f>IF('[1]Game Input'!$AQ121&lt;&gt;"",'[1]Game Input'!$AQ121,"")</f>
        <v>0</v>
      </c>
      <c r="R121" s="9">
        <f>IF('[1]Game Input'!$AR121&lt;&gt;"",'[1]Game Input'!$AR121,"")</f>
        <v>0</v>
      </c>
      <c r="S121" s="9">
        <f>IF('[1]Game Input'!$AS121&lt;&gt;"",'[1]Game Input'!$AS121,"")</f>
        <v>0</v>
      </c>
      <c r="T121" s="10" t="str">
        <f>IF('[1]Game Input'!$BA121&lt;&gt;"",'[1]Game Input'!$BA121,"")</f>
        <v>LINCOLN</v>
      </c>
      <c r="U121" s="9">
        <f>IF('[1]Game Input'!$BU121&lt;&gt;"",'[1]Game Input'!$BU121,"")</f>
        <v>12</v>
      </c>
      <c r="V121" s="9">
        <f>IF('[1]Game Input'!$BV121&lt;&gt;"",'[1]Game Input'!$BV121,"")</f>
        <v>6</v>
      </c>
      <c r="W121" s="9">
        <f>IF('[1]Game Input'!$CB121&lt;&gt;"",'[1]Game Input'!$CB121,"")</f>
        <v>0</v>
      </c>
      <c r="X121" s="9">
        <f>IF('[1]Game Input'!$CC121&lt;&gt;"",'[1]Game Input'!$CC121,"")</f>
        <v>0</v>
      </c>
      <c r="Y121" s="9">
        <f>IF('[1]Game Input'!$CF121&lt;&gt;"",'[1]Game Input'!$CF121,"")</f>
        <v>6</v>
      </c>
      <c r="Z121" s="9">
        <f>IF('[1]Game Input'!$CG121&lt;&gt;"",'[1]Game Input'!$CG121,"")</f>
        <v>0</v>
      </c>
      <c r="AA121" s="9">
        <f>IF('[1]Game Input'!$CH121&lt;&gt;"",'[1]Game Input'!$CH121,"")</f>
        <v>0</v>
      </c>
      <c r="AB121" s="9">
        <f>IF('[1]Game Input'!$CI121&lt;&gt;"",'[1]Game Input'!$CI121,"")</f>
        <v>0</v>
      </c>
      <c r="AC121" s="9">
        <f>IF('[1]Game Input'!$CJ121&lt;&gt;"",'[1]Game Input'!$CJ121,"")</f>
        <v>0</v>
      </c>
      <c r="AD121" s="9">
        <f>IF('[1]Game Input'!$CK121&lt;&gt;"",'[1]Game Input'!$CK121,"")</f>
        <v>0</v>
      </c>
      <c r="AE121" s="8"/>
      <c r="AF121" s="8"/>
      <c r="AG121" s="8"/>
      <c r="AH121" s="8"/>
    </row>
    <row r="122" spans="1:34" x14ac:dyDescent="0.2">
      <c r="A122" s="6">
        <f>IF('[1]Game Input'!$A122&lt;&gt;"",'[1]Game Input'!$A122,"")</f>
        <v>43415</v>
      </c>
      <c r="B122" s="6" t="str">
        <f>IF(A122&gt;$B$1,VLOOKUP(MONTH($A122),DOTWMonth,2,FALSE),"")</f>
        <v>November</v>
      </c>
      <c r="C122" s="10" t="str">
        <f>IF(A122&gt;$B$1,VLOOKUP(WEEKDAY($A122),DOTWMonth,3,FALSE),"")</f>
        <v>Sunday</v>
      </c>
      <c r="D122" s="7">
        <f>IF('[1]Game Input'!$B122&lt;&gt;"",'[1]Game Input'!$B122,"")</f>
        <v>0.71180555555555547</v>
      </c>
      <c r="E122" s="7">
        <f>IF('[1]Game Input'!$C122&lt;&gt;"",'[1]Game Input'!$C122,"")</f>
        <v>0.67013888888888884</v>
      </c>
      <c r="F122" s="8" t="str">
        <f>IF('[1]Game Input'!$D122&lt;&gt;"",'[1]Game Input'!$D122,"")</f>
        <v>Standard</v>
      </c>
      <c r="G122" s="8" t="str">
        <f>IF('[1]Game Input'!$G122&lt;&gt;"",'[1]Game Input'!$G122,"")</f>
        <v>CR @ OMA</v>
      </c>
      <c r="H122" s="8" t="str">
        <f>IF('[1]Game Input'!$H122&lt;&gt;"",'[1]Game Input'!$H122,"")</f>
        <v>Vs. Non-Conference</v>
      </c>
      <c r="I122" s="8" t="str">
        <f>IF('[1]Game Input'!$I122&lt;&gt;"",'[1]Game Input'!$I122,"")</f>
        <v>CEDAR RAPIDS</v>
      </c>
      <c r="J122" s="9">
        <f>IF('[1]Game Input'!$AC122&lt;&gt;"",'[1]Game Input'!$AC122,"")</f>
        <v>25</v>
      </c>
      <c r="K122" s="9">
        <f>IF('[1]Game Input'!$AD122&lt;&gt;"",'[1]Game Input'!$AD122,"")</f>
        <v>7</v>
      </c>
      <c r="L122" s="9">
        <f>IF('[1]Game Input'!$AJ122&lt;&gt;"",'[1]Game Input'!$AJ122,"")</f>
        <v>0</v>
      </c>
      <c r="M122" s="9">
        <f>IF('[1]Game Input'!$AK122&lt;&gt;"",'[1]Game Input'!$AK122,"")</f>
        <v>0</v>
      </c>
      <c r="N122" s="9">
        <f>IF('[1]Game Input'!$AN122&lt;&gt;"",'[1]Game Input'!$AN122,"")</f>
        <v>5</v>
      </c>
      <c r="O122" s="9">
        <f>IF('[1]Game Input'!$AO122&lt;&gt;"",'[1]Game Input'!$AO122,"")</f>
        <v>1</v>
      </c>
      <c r="P122" s="9">
        <f>IF('[1]Game Input'!$AP122&lt;&gt;"",'[1]Game Input'!$AP122,"")</f>
        <v>1</v>
      </c>
      <c r="Q122" s="9">
        <f>IF('[1]Game Input'!$AQ122&lt;&gt;"",'[1]Game Input'!$AQ122,"")</f>
        <v>0</v>
      </c>
      <c r="R122" s="9">
        <f>IF('[1]Game Input'!$AR122&lt;&gt;"",'[1]Game Input'!$AR122,"")</f>
        <v>0</v>
      </c>
      <c r="S122" s="9">
        <f>IF('[1]Game Input'!$AS122&lt;&gt;"",'[1]Game Input'!$AS122,"")</f>
        <v>0</v>
      </c>
      <c r="T122" s="10" t="str">
        <f>IF('[1]Game Input'!$BA122&lt;&gt;"",'[1]Game Input'!$BA122,"")</f>
        <v>OMAHA</v>
      </c>
      <c r="U122" s="9">
        <f>IF('[1]Game Input'!$BU122&lt;&gt;"",'[1]Game Input'!$BU122,"")</f>
        <v>33</v>
      </c>
      <c r="V122" s="9">
        <f>IF('[1]Game Input'!$BV122&lt;&gt;"",'[1]Game Input'!$BV122,"")</f>
        <v>7</v>
      </c>
      <c r="W122" s="9">
        <f>IF('[1]Game Input'!$CB122&lt;&gt;"",'[1]Game Input'!$CB122,"")</f>
        <v>0</v>
      </c>
      <c r="X122" s="9">
        <f>IF('[1]Game Input'!$CC122&lt;&gt;"",'[1]Game Input'!$CC122,"")</f>
        <v>0</v>
      </c>
      <c r="Y122" s="9">
        <f>IF('[1]Game Input'!$CF122&lt;&gt;"",'[1]Game Input'!$CF122,"")</f>
        <v>4</v>
      </c>
      <c r="Z122" s="9">
        <f>IF('[1]Game Input'!$CG122&lt;&gt;"",'[1]Game Input'!$CG122,"")</f>
        <v>1</v>
      </c>
      <c r="AA122" s="9">
        <f>IF('[1]Game Input'!$CH122&lt;&gt;"",'[1]Game Input'!$CH122,"")</f>
        <v>1</v>
      </c>
      <c r="AB122" s="9">
        <f>IF('[1]Game Input'!$CI122&lt;&gt;"",'[1]Game Input'!$CI122,"")</f>
        <v>1</v>
      </c>
      <c r="AC122" s="9">
        <f>IF('[1]Game Input'!$CJ122&lt;&gt;"",'[1]Game Input'!$CJ122,"")</f>
        <v>0</v>
      </c>
      <c r="AD122" s="9">
        <f>IF('[1]Game Input'!$CK122&lt;&gt;"",'[1]Game Input'!$CK122,"")</f>
        <v>0</v>
      </c>
      <c r="AE122" s="8" t="s">
        <v>92</v>
      </c>
      <c r="AF122" s="8"/>
      <c r="AG122" s="8" t="s">
        <v>108</v>
      </c>
      <c r="AH122" s="8" t="s">
        <v>122</v>
      </c>
    </row>
    <row r="123" spans="1:34" x14ac:dyDescent="0.2">
      <c r="A123" s="6">
        <f>IF('[1]Game Input'!$A123&lt;&gt;"",'[1]Game Input'!$A123,"")</f>
        <v>43415</v>
      </c>
      <c r="B123" s="6" t="str">
        <f>IF(A123&gt;$B$1,VLOOKUP(MONTH($A123),DOTWMonth,2,FALSE),"")</f>
        <v>November</v>
      </c>
      <c r="C123" s="10" t="str">
        <f>IF(A123&gt;$B$1,VLOOKUP(WEEKDAY($A123),DOTWMonth,3,FALSE),"")</f>
        <v>Sunday</v>
      </c>
      <c r="D123" s="7">
        <f>IF('[1]Game Input'!$B123&lt;&gt;"",'[1]Game Input'!$B123,"")</f>
        <v>0.71319444444444446</v>
      </c>
      <c r="E123" s="7">
        <f>IF('[1]Game Input'!$C123&lt;&gt;"",'[1]Game Input'!$C123,"")</f>
        <v>0.67152777777777783</v>
      </c>
      <c r="F123" s="8" t="str">
        <f>IF('[1]Game Input'!$D123&lt;&gt;"",'[1]Game Input'!$D123,"")</f>
        <v>Standard</v>
      </c>
      <c r="G123" s="8" t="str">
        <f>IF('[1]Game Input'!$G123&lt;&gt;"",'[1]Game Input'!$G123,"")</f>
        <v>MUS @ CIL</v>
      </c>
      <c r="H123" s="8" t="str">
        <f>IF('[1]Game Input'!$H123&lt;&gt;"",'[1]Game Input'!$H123,"")</f>
        <v>Vs. Conference</v>
      </c>
      <c r="I123" s="8" t="str">
        <f>IF('[1]Game Input'!$I123&lt;&gt;"",'[1]Game Input'!$I123,"")</f>
        <v>MUSKEGON</v>
      </c>
      <c r="J123" s="9">
        <f>IF('[1]Game Input'!$AC123&lt;&gt;"",'[1]Game Input'!$AC123,"")</f>
        <v>12</v>
      </c>
      <c r="K123" s="9">
        <f>IF('[1]Game Input'!$AD123&lt;&gt;"",'[1]Game Input'!$AD123,"")</f>
        <v>6</v>
      </c>
      <c r="L123" s="9">
        <f>IF('[1]Game Input'!$AJ123&lt;&gt;"",'[1]Game Input'!$AJ123,"")</f>
        <v>0</v>
      </c>
      <c r="M123" s="9">
        <f>IF('[1]Game Input'!$AK123&lt;&gt;"",'[1]Game Input'!$AK123,"")</f>
        <v>0</v>
      </c>
      <c r="N123" s="9">
        <f>IF('[1]Game Input'!$AN123&lt;&gt;"",'[1]Game Input'!$AN123,"")</f>
        <v>6</v>
      </c>
      <c r="O123" s="9">
        <f>IF('[1]Game Input'!$AO123&lt;&gt;"",'[1]Game Input'!$AO123,"")</f>
        <v>0</v>
      </c>
      <c r="P123" s="9">
        <f>IF('[1]Game Input'!$AP123&lt;&gt;"",'[1]Game Input'!$AP123,"")</f>
        <v>0</v>
      </c>
      <c r="Q123" s="9">
        <f>IF('[1]Game Input'!$AQ123&lt;&gt;"",'[1]Game Input'!$AQ123,"")</f>
        <v>0</v>
      </c>
      <c r="R123" s="9">
        <f>IF('[1]Game Input'!$AR123&lt;&gt;"",'[1]Game Input'!$AR123,"")</f>
        <v>0</v>
      </c>
      <c r="S123" s="9">
        <f>IF('[1]Game Input'!$AS123&lt;&gt;"",'[1]Game Input'!$AS123,"")</f>
        <v>0</v>
      </c>
      <c r="T123" s="10" t="str">
        <f>IF('[1]Game Input'!$BA123&lt;&gt;"",'[1]Game Input'!$BA123,"")</f>
        <v>CENTRAL ILLINOIS</v>
      </c>
      <c r="U123" s="9">
        <f>IF('[1]Game Input'!$BU123&lt;&gt;"",'[1]Game Input'!$BU123,"")</f>
        <v>16</v>
      </c>
      <c r="V123" s="9">
        <f>IF('[1]Game Input'!$BV123&lt;&gt;"",'[1]Game Input'!$BV123,"")</f>
        <v>8</v>
      </c>
      <c r="W123" s="9">
        <f>IF('[1]Game Input'!$CB123&lt;&gt;"",'[1]Game Input'!$CB123,"")</f>
        <v>0</v>
      </c>
      <c r="X123" s="9">
        <f>IF('[1]Game Input'!$CC123&lt;&gt;"",'[1]Game Input'!$CC123,"")</f>
        <v>0</v>
      </c>
      <c r="Y123" s="9">
        <f>IF('[1]Game Input'!$CF123&lt;&gt;"",'[1]Game Input'!$CF123,"")</f>
        <v>8</v>
      </c>
      <c r="Z123" s="9">
        <f>IF('[1]Game Input'!$CG123&lt;&gt;"",'[1]Game Input'!$CG123,"")</f>
        <v>0</v>
      </c>
      <c r="AA123" s="9">
        <f>IF('[1]Game Input'!$CH123&lt;&gt;"",'[1]Game Input'!$CH123,"")</f>
        <v>0</v>
      </c>
      <c r="AB123" s="9">
        <f>IF('[1]Game Input'!$CI123&lt;&gt;"",'[1]Game Input'!$CI123,"")</f>
        <v>0</v>
      </c>
      <c r="AC123" s="9">
        <f>IF('[1]Game Input'!$CJ123&lt;&gt;"",'[1]Game Input'!$CJ123,"")</f>
        <v>0</v>
      </c>
      <c r="AD123" s="9">
        <f>IF('[1]Game Input'!$CK123&lt;&gt;"",'[1]Game Input'!$CK123,"")</f>
        <v>0</v>
      </c>
      <c r="AE123" s="8" t="s">
        <v>91</v>
      </c>
      <c r="AF123" s="8" t="s">
        <v>97</v>
      </c>
      <c r="AG123" s="8" t="s">
        <v>120</v>
      </c>
      <c r="AH123" s="8" t="s">
        <v>113</v>
      </c>
    </row>
    <row r="124" spans="1:34" x14ac:dyDescent="0.2">
      <c r="A124" s="6">
        <f>IF('[1]Game Input'!$A124&lt;&gt;"",'[1]Game Input'!$A124,"")</f>
        <v>43420</v>
      </c>
      <c r="B124" s="6" t="str">
        <f>IF(A124&gt;$B$1,VLOOKUP(MONTH($A124),DOTWMonth,2,FALSE),"")</f>
        <v>November</v>
      </c>
      <c r="C124" s="10" t="str">
        <f>IF(A124&gt;$B$1,VLOOKUP(WEEKDAY($A124),DOTWMonth,3,FALSE),"")</f>
        <v>Friday</v>
      </c>
      <c r="D124" s="7">
        <f>IF('[1]Game Input'!$B124&lt;&gt;"",'[1]Game Input'!$B124,"")</f>
        <v>0.79166666666666663</v>
      </c>
      <c r="E124" s="7">
        <f>IF('[1]Game Input'!$C124&lt;&gt;"",'[1]Game Input'!$C124,"")</f>
        <v>0.75</v>
      </c>
      <c r="F124" s="8" t="str">
        <f>IF('[1]Game Input'!$D124&lt;&gt;"",'[1]Game Input'!$D124,"")</f>
        <v>Standard</v>
      </c>
      <c r="G124" s="8" t="str">
        <f>IF('[1]Game Input'!$G124&lt;&gt;"",'[1]Game Input'!$G124,"")</f>
        <v>CR @ USA</v>
      </c>
      <c r="H124" s="8" t="str">
        <f>IF('[1]Game Input'!$H124&lt;&gt;"",'[1]Game Input'!$H124,"")</f>
        <v>Vs. Conference</v>
      </c>
      <c r="I124" s="8" t="str">
        <f>IF('[1]Game Input'!$I124&lt;&gt;"",'[1]Game Input'!$I124,"")</f>
        <v>CEDAR RAPIDS</v>
      </c>
      <c r="J124" s="9">
        <f>IF('[1]Game Input'!$AC124&lt;&gt;"",'[1]Game Input'!$AC124,"")</f>
        <v>4</v>
      </c>
      <c r="K124" s="9">
        <f>IF('[1]Game Input'!$AD124&lt;&gt;"",'[1]Game Input'!$AD124,"")</f>
        <v>2</v>
      </c>
      <c r="L124" s="9">
        <f>IF('[1]Game Input'!$AJ124&lt;&gt;"",'[1]Game Input'!$AJ124,"")</f>
        <v>0</v>
      </c>
      <c r="M124" s="9">
        <f>IF('[1]Game Input'!$AK124&lt;&gt;"",'[1]Game Input'!$AK124,"")</f>
        <v>0</v>
      </c>
      <c r="N124" s="9">
        <f>IF('[1]Game Input'!$AN124&lt;&gt;"",'[1]Game Input'!$AN124,"")</f>
        <v>2</v>
      </c>
      <c r="O124" s="9">
        <f>IF('[1]Game Input'!$AO124&lt;&gt;"",'[1]Game Input'!$AO124,"")</f>
        <v>0</v>
      </c>
      <c r="P124" s="9">
        <f>IF('[1]Game Input'!$AP124&lt;&gt;"",'[1]Game Input'!$AP124,"")</f>
        <v>0</v>
      </c>
      <c r="Q124" s="9">
        <f>IF('[1]Game Input'!$AQ124&lt;&gt;"",'[1]Game Input'!$AQ124,"")</f>
        <v>0</v>
      </c>
      <c r="R124" s="9">
        <f>IF('[1]Game Input'!$AR124&lt;&gt;"",'[1]Game Input'!$AR124,"")</f>
        <v>0</v>
      </c>
      <c r="S124" s="9">
        <f>IF('[1]Game Input'!$AS124&lt;&gt;"",'[1]Game Input'!$AS124,"")</f>
        <v>0</v>
      </c>
      <c r="T124" s="10" t="str">
        <f>IF('[1]Game Input'!$BA124&lt;&gt;"",'[1]Game Input'!$BA124,"")</f>
        <v>TEAM USA</v>
      </c>
      <c r="U124" s="9">
        <f>IF('[1]Game Input'!$BU124&lt;&gt;"",'[1]Game Input'!$BU124,"")</f>
        <v>4</v>
      </c>
      <c r="V124" s="9">
        <f>IF('[1]Game Input'!$BV124&lt;&gt;"",'[1]Game Input'!$BV124,"")</f>
        <v>2</v>
      </c>
      <c r="W124" s="9">
        <f>IF('[1]Game Input'!$CB124&lt;&gt;"",'[1]Game Input'!$CB124,"")</f>
        <v>0</v>
      </c>
      <c r="X124" s="9">
        <f>IF('[1]Game Input'!$CC124&lt;&gt;"",'[1]Game Input'!$CC124,"")</f>
        <v>0</v>
      </c>
      <c r="Y124" s="9">
        <f>IF('[1]Game Input'!$CF124&lt;&gt;"",'[1]Game Input'!$CF124,"")</f>
        <v>2</v>
      </c>
      <c r="Z124" s="9">
        <f>IF('[1]Game Input'!$CG124&lt;&gt;"",'[1]Game Input'!$CG124,"")</f>
        <v>0</v>
      </c>
      <c r="AA124" s="9">
        <f>IF('[1]Game Input'!$CH124&lt;&gt;"",'[1]Game Input'!$CH124,"")</f>
        <v>0</v>
      </c>
      <c r="AB124" s="9">
        <f>IF('[1]Game Input'!$CI124&lt;&gt;"",'[1]Game Input'!$CI124,"")</f>
        <v>0</v>
      </c>
      <c r="AC124" s="9">
        <f>IF('[1]Game Input'!$CJ124&lt;&gt;"",'[1]Game Input'!$CJ124,"")</f>
        <v>0</v>
      </c>
      <c r="AD124" s="9">
        <f>IF('[1]Game Input'!$CK124&lt;&gt;"",'[1]Game Input'!$CK124,"")</f>
        <v>0</v>
      </c>
      <c r="AE124" s="8" t="s">
        <v>97</v>
      </c>
      <c r="AF124" s="8"/>
      <c r="AG124" s="8" t="s">
        <v>143</v>
      </c>
      <c r="AH124" s="8" t="s">
        <v>135</v>
      </c>
    </row>
    <row r="125" spans="1:34" x14ac:dyDescent="0.2">
      <c r="A125" s="6">
        <f>IF('[1]Game Input'!$A125&lt;&gt;"",'[1]Game Input'!$A125,"")</f>
        <v>43420</v>
      </c>
      <c r="B125" s="6" t="str">
        <f>IF(A125&gt;$B$1,VLOOKUP(MONTH($A125),DOTWMonth,2,FALSE),"")</f>
        <v>November</v>
      </c>
      <c r="C125" s="10" t="str">
        <f>IF(A125&gt;$B$1,VLOOKUP(WEEKDAY($A125),DOTWMonth,3,FALSE),"")</f>
        <v>Friday</v>
      </c>
      <c r="D125" s="7">
        <f>IF('[1]Game Input'!$B125&lt;&gt;"",'[1]Game Input'!$B125,"")</f>
        <v>0.83680555555555547</v>
      </c>
      <c r="E125" s="7">
        <f>IF('[1]Game Input'!$C125&lt;&gt;"",'[1]Game Input'!$C125,"")</f>
        <v>0.79513888888888884</v>
      </c>
      <c r="F125" s="8" t="str">
        <f>IF('[1]Game Input'!$D125&lt;&gt;"",'[1]Game Input'!$D125,"")</f>
        <v>Standard</v>
      </c>
      <c r="G125" s="8" t="str">
        <f>IF('[1]Game Input'!$G125&lt;&gt;"",'[1]Game Input'!$G125,"")</f>
        <v>SC @ DM</v>
      </c>
      <c r="H125" s="8" t="str">
        <f>IF('[1]Game Input'!$H125&lt;&gt;"",'[1]Game Input'!$H125,"")</f>
        <v>Vs. Conference</v>
      </c>
      <c r="I125" s="8" t="str">
        <f>IF('[1]Game Input'!$I125&lt;&gt;"",'[1]Game Input'!$I125,"")</f>
        <v>SIOUX CITY</v>
      </c>
      <c r="J125" s="9">
        <f>IF('[1]Game Input'!$AC125&lt;&gt;"",'[1]Game Input'!$AC125,"")</f>
        <v>78</v>
      </c>
      <c r="K125" s="9">
        <f>IF('[1]Game Input'!$AD125&lt;&gt;"",'[1]Game Input'!$AD125,"")</f>
        <v>17</v>
      </c>
      <c r="L125" s="9">
        <f>IF('[1]Game Input'!$AJ125&lt;&gt;"",'[1]Game Input'!$AJ125,"")</f>
        <v>0</v>
      </c>
      <c r="M125" s="9">
        <f>IF('[1]Game Input'!$AK125&lt;&gt;"",'[1]Game Input'!$AK125,"")</f>
        <v>0</v>
      </c>
      <c r="N125" s="9">
        <f>IF('[1]Game Input'!$AN125&lt;&gt;"",'[1]Game Input'!$AN125,"")</f>
        <v>9</v>
      </c>
      <c r="O125" s="9">
        <f>IF('[1]Game Input'!$AO125&lt;&gt;"",'[1]Game Input'!$AO125,"")</f>
        <v>4</v>
      </c>
      <c r="P125" s="9">
        <f>IF('[1]Game Input'!$AP125&lt;&gt;"",'[1]Game Input'!$AP125,"")</f>
        <v>1</v>
      </c>
      <c r="Q125" s="9">
        <f>IF('[1]Game Input'!$AQ125&lt;&gt;"",'[1]Game Input'!$AQ125,"")</f>
        <v>3</v>
      </c>
      <c r="R125" s="9">
        <f>IF('[1]Game Input'!$AR125&lt;&gt;"",'[1]Game Input'!$AR125,"")</f>
        <v>0</v>
      </c>
      <c r="S125" s="9">
        <f>IF('[1]Game Input'!$AS125&lt;&gt;"",'[1]Game Input'!$AS125,"")</f>
        <v>0</v>
      </c>
      <c r="T125" s="10" t="str">
        <f>IF('[1]Game Input'!$BA125&lt;&gt;"",'[1]Game Input'!$BA125,"")</f>
        <v>DES MOINES</v>
      </c>
      <c r="U125" s="9">
        <f>IF('[1]Game Input'!$BU125&lt;&gt;"",'[1]Game Input'!$BU125,"")</f>
        <v>80</v>
      </c>
      <c r="V125" s="9">
        <f>IF('[1]Game Input'!$BV125&lt;&gt;"",'[1]Game Input'!$BV125,"")</f>
        <v>18</v>
      </c>
      <c r="W125" s="9">
        <f>IF('[1]Game Input'!$CB125&lt;&gt;"",'[1]Game Input'!$CB125,"")</f>
        <v>0</v>
      </c>
      <c r="X125" s="9">
        <f>IF('[1]Game Input'!$CC125&lt;&gt;"",'[1]Game Input'!$CC125,"")</f>
        <v>0</v>
      </c>
      <c r="Y125" s="9">
        <f>IF('[1]Game Input'!$CF125&lt;&gt;"",'[1]Game Input'!$CF125,"")</f>
        <v>10</v>
      </c>
      <c r="Z125" s="9">
        <f>IF('[1]Game Input'!$CG125&lt;&gt;"",'[1]Game Input'!$CG125,"")</f>
        <v>4</v>
      </c>
      <c r="AA125" s="9">
        <f>IF('[1]Game Input'!$CH125&lt;&gt;"",'[1]Game Input'!$CH125,"")</f>
        <v>1</v>
      </c>
      <c r="AB125" s="9">
        <f>IF('[1]Game Input'!$CI125&lt;&gt;"",'[1]Game Input'!$CI125,"")</f>
        <v>3</v>
      </c>
      <c r="AC125" s="9">
        <f>IF('[1]Game Input'!$CJ125&lt;&gt;"",'[1]Game Input'!$CJ125,"")</f>
        <v>0</v>
      </c>
      <c r="AD125" s="9">
        <f>IF('[1]Game Input'!$CK125&lt;&gt;"",'[1]Game Input'!$CK125,"")</f>
        <v>0</v>
      </c>
      <c r="AE125" s="8" t="s">
        <v>95</v>
      </c>
      <c r="AF125" s="8"/>
      <c r="AG125" s="8" t="s">
        <v>111</v>
      </c>
      <c r="AH125" s="8" t="s">
        <v>112</v>
      </c>
    </row>
    <row r="126" spans="1:34" x14ac:dyDescent="0.2">
      <c r="A126" s="6">
        <f>IF('[1]Game Input'!$A126&lt;&gt;"",'[1]Game Input'!$A126,"")</f>
        <v>43420</v>
      </c>
      <c r="B126" s="6" t="str">
        <f>IF(A126&gt;$B$1,VLOOKUP(MONTH($A126),DOTWMonth,2,FALSE),"")</f>
        <v>November</v>
      </c>
      <c r="C126" s="10" t="str">
        <f>IF(A126&gt;$B$1,VLOOKUP(WEEKDAY($A126),DOTWMonth,3,FALSE),"")</f>
        <v>Friday</v>
      </c>
      <c r="D126" s="7">
        <f>IF('[1]Game Input'!$B126&lt;&gt;"",'[1]Game Input'!$B126,"")</f>
        <v>0.83680555555555547</v>
      </c>
      <c r="E126" s="7">
        <f>IF('[1]Game Input'!$C126&lt;&gt;"",'[1]Game Input'!$C126,"")</f>
        <v>0.79513888888888884</v>
      </c>
      <c r="F126" s="8" t="str">
        <f>IF('[1]Game Input'!$D126&lt;&gt;"",'[1]Game Input'!$D126,"")</f>
        <v>Standard</v>
      </c>
      <c r="G126" s="8" t="str">
        <f>IF('[1]Game Input'!$G126&lt;&gt;"",'[1]Game Input'!$G126,"")</f>
        <v>SF @ LIN</v>
      </c>
      <c r="H126" s="8" t="str">
        <f>IF('[1]Game Input'!$H126&lt;&gt;"",'[1]Game Input'!$H126,"")</f>
        <v>Vs. Conference</v>
      </c>
      <c r="I126" s="8" t="str">
        <f>IF('[1]Game Input'!$I126&lt;&gt;"",'[1]Game Input'!$I126,"")</f>
        <v>SIOUX FALLS</v>
      </c>
      <c r="J126" s="9">
        <f>IF('[1]Game Input'!$AC126&lt;&gt;"",'[1]Game Input'!$AC126,"")</f>
        <v>10</v>
      </c>
      <c r="K126" s="9">
        <f>IF('[1]Game Input'!$AD126&lt;&gt;"",'[1]Game Input'!$AD126,"")</f>
        <v>5</v>
      </c>
      <c r="L126" s="9">
        <f>IF('[1]Game Input'!$AJ126&lt;&gt;"",'[1]Game Input'!$AJ126,"")</f>
        <v>0</v>
      </c>
      <c r="M126" s="9">
        <f>IF('[1]Game Input'!$AK126&lt;&gt;"",'[1]Game Input'!$AK126,"")</f>
        <v>0</v>
      </c>
      <c r="N126" s="9">
        <f>IF('[1]Game Input'!$AN126&lt;&gt;"",'[1]Game Input'!$AN126,"")</f>
        <v>5</v>
      </c>
      <c r="O126" s="9">
        <f>IF('[1]Game Input'!$AO126&lt;&gt;"",'[1]Game Input'!$AO126,"")</f>
        <v>0</v>
      </c>
      <c r="P126" s="9">
        <f>IF('[1]Game Input'!$AP126&lt;&gt;"",'[1]Game Input'!$AP126,"")</f>
        <v>0</v>
      </c>
      <c r="Q126" s="9">
        <f>IF('[1]Game Input'!$AQ126&lt;&gt;"",'[1]Game Input'!$AQ126,"")</f>
        <v>0</v>
      </c>
      <c r="R126" s="9">
        <f>IF('[1]Game Input'!$AR126&lt;&gt;"",'[1]Game Input'!$AR126,"")</f>
        <v>0</v>
      </c>
      <c r="S126" s="9">
        <f>IF('[1]Game Input'!$AS126&lt;&gt;"",'[1]Game Input'!$AS126,"")</f>
        <v>0</v>
      </c>
      <c r="T126" s="10" t="str">
        <f>IF('[1]Game Input'!$BA126&lt;&gt;"",'[1]Game Input'!$BA126,"")</f>
        <v>LINCOLN</v>
      </c>
      <c r="U126" s="9">
        <f>IF('[1]Game Input'!$BU126&lt;&gt;"",'[1]Game Input'!$BU126,"")</f>
        <v>14</v>
      </c>
      <c r="V126" s="9">
        <f>IF('[1]Game Input'!$BV126&lt;&gt;"",'[1]Game Input'!$BV126,"")</f>
        <v>7</v>
      </c>
      <c r="W126" s="9">
        <f>IF('[1]Game Input'!$CB126&lt;&gt;"",'[1]Game Input'!$CB126,"")</f>
        <v>0</v>
      </c>
      <c r="X126" s="9">
        <f>IF('[1]Game Input'!$CC126&lt;&gt;"",'[1]Game Input'!$CC126,"")</f>
        <v>0</v>
      </c>
      <c r="Y126" s="9">
        <f>IF('[1]Game Input'!$CF126&lt;&gt;"",'[1]Game Input'!$CF126,"")</f>
        <v>7</v>
      </c>
      <c r="Z126" s="9">
        <f>IF('[1]Game Input'!$CG126&lt;&gt;"",'[1]Game Input'!$CG126,"")</f>
        <v>0</v>
      </c>
      <c r="AA126" s="9">
        <f>IF('[1]Game Input'!$CH126&lt;&gt;"",'[1]Game Input'!$CH126,"")</f>
        <v>0</v>
      </c>
      <c r="AB126" s="9">
        <f>IF('[1]Game Input'!$CI126&lt;&gt;"",'[1]Game Input'!$CI126,"")</f>
        <v>0</v>
      </c>
      <c r="AC126" s="9">
        <f>IF('[1]Game Input'!$CJ126&lt;&gt;"",'[1]Game Input'!$CJ126,"")</f>
        <v>0</v>
      </c>
      <c r="AD126" s="9">
        <f>IF('[1]Game Input'!$CK126&lt;&gt;"",'[1]Game Input'!$CK126,"")</f>
        <v>0</v>
      </c>
      <c r="AE126" s="8"/>
      <c r="AF126" s="8"/>
      <c r="AG126" s="8"/>
      <c r="AH126" s="8"/>
    </row>
    <row r="127" spans="1:34" x14ac:dyDescent="0.2">
      <c r="A127" s="6">
        <f>IF('[1]Game Input'!$A127&lt;&gt;"",'[1]Game Input'!$A127,"")</f>
        <v>43420</v>
      </c>
      <c r="B127" s="6" t="str">
        <f>IF(A127&gt;$B$1,VLOOKUP(MONTH($A127),DOTWMonth,2,FALSE),"")</f>
        <v>November</v>
      </c>
      <c r="C127" s="10" t="str">
        <f>IF(A127&gt;$B$1,VLOOKUP(WEEKDAY($A127),DOTWMonth,3,FALSE),"")</f>
        <v>Friday</v>
      </c>
      <c r="D127" s="7">
        <f>IF('[1]Game Input'!$B127&lt;&gt;"",'[1]Game Input'!$B127,"")</f>
        <v>0.83680555555555547</v>
      </c>
      <c r="E127" s="7">
        <f>IF('[1]Game Input'!$C127&lt;&gt;"",'[1]Game Input'!$C127,"")</f>
        <v>0.79513888888888884</v>
      </c>
      <c r="F127" s="8" t="str">
        <f>IF('[1]Game Input'!$D127&lt;&gt;"",'[1]Game Input'!$D127,"")</f>
        <v>Standard</v>
      </c>
      <c r="G127" s="8" t="str">
        <f>IF('[1]Game Input'!$G127&lt;&gt;"",'[1]Game Input'!$G127,"")</f>
        <v>CHI @ MAD</v>
      </c>
      <c r="H127" s="8" t="str">
        <f>IF('[1]Game Input'!$H127&lt;&gt;"",'[1]Game Input'!$H127,"")</f>
        <v>Vs. Conference</v>
      </c>
      <c r="I127" s="8" t="str">
        <f>IF('[1]Game Input'!$I127&lt;&gt;"",'[1]Game Input'!$I127,"")</f>
        <v>CHICAGO</v>
      </c>
      <c r="J127" s="9">
        <f>IF('[1]Game Input'!$AC127&lt;&gt;"",'[1]Game Input'!$AC127,"")</f>
        <v>6</v>
      </c>
      <c r="K127" s="9">
        <f>IF('[1]Game Input'!$AD127&lt;&gt;"",'[1]Game Input'!$AD127,"")</f>
        <v>3</v>
      </c>
      <c r="L127" s="9">
        <f>IF('[1]Game Input'!$AJ127&lt;&gt;"",'[1]Game Input'!$AJ127,"")</f>
        <v>0</v>
      </c>
      <c r="M127" s="9">
        <f>IF('[1]Game Input'!$AK127&lt;&gt;"",'[1]Game Input'!$AK127,"")</f>
        <v>0</v>
      </c>
      <c r="N127" s="9">
        <f>IF('[1]Game Input'!$AN127&lt;&gt;"",'[1]Game Input'!$AN127,"")</f>
        <v>3</v>
      </c>
      <c r="O127" s="9">
        <f>IF('[1]Game Input'!$AO127&lt;&gt;"",'[1]Game Input'!$AO127,"")</f>
        <v>0</v>
      </c>
      <c r="P127" s="9">
        <f>IF('[1]Game Input'!$AP127&lt;&gt;"",'[1]Game Input'!$AP127,"")</f>
        <v>0</v>
      </c>
      <c r="Q127" s="9">
        <f>IF('[1]Game Input'!$AQ127&lt;&gt;"",'[1]Game Input'!$AQ127,"")</f>
        <v>0</v>
      </c>
      <c r="R127" s="9">
        <f>IF('[1]Game Input'!$AR127&lt;&gt;"",'[1]Game Input'!$AR127,"")</f>
        <v>0</v>
      </c>
      <c r="S127" s="9">
        <f>IF('[1]Game Input'!$AS127&lt;&gt;"",'[1]Game Input'!$AS127,"")</f>
        <v>0</v>
      </c>
      <c r="T127" s="10" t="str">
        <f>IF('[1]Game Input'!$BA127&lt;&gt;"",'[1]Game Input'!$BA127,"")</f>
        <v>MADISON</v>
      </c>
      <c r="U127" s="9">
        <f>IF('[1]Game Input'!$BU127&lt;&gt;"",'[1]Game Input'!$BU127,"")</f>
        <v>10</v>
      </c>
      <c r="V127" s="9">
        <f>IF('[1]Game Input'!$BV127&lt;&gt;"",'[1]Game Input'!$BV127,"")</f>
        <v>5</v>
      </c>
      <c r="W127" s="9">
        <f>IF('[1]Game Input'!$CB127&lt;&gt;"",'[1]Game Input'!$CB127,"")</f>
        <v>0</v>
      </c>
      <c r="X127" s="9">
        <f>IF('[1]Game Input'!$CC127&lt;&gt;"",'[1]Game Input'!$CC127,"")</f>
        <v>0</v>
      </c>
      <c r="Y127" s="9">
        <f>IF('[1]Game Input'!$CF127&lt;&gt;"",'[1]Game Input'!$CF127,"")</f>
        <v>5</v>
      </c>
      <c r="Z127" s="9">
        <f>IF('[1]Game Input'!$CG127&lt;&gt;"",'[1]Game Input'!$CG127,"")</f>
        <v>0</v>
      </c>
      <c r="AA127" s="9">
        <f>IF('[1]Game Input'!$CH127&lt;&gt;"",'[1]Game Input'!$CH127,"")</f>
        <v>0</v>
      </c>
      <c r="AB127" s="9">
        <f>IF('[1]Game Input'!$CI127&lt;&gt;"",'[1]Game Input'!$CI127,"")</f>
        <v>0</v>
      </c>
      <c r="AC127" s="9">
        <f>IF('[1]Game Input'!$CJ127&lt;&gt;"",'[1]Game Input'!$CJ127,"")</f>
        <v>0</v>
      </c>
      <c r="AD127" s="9">
        <f>IF('[1]Game Input'!$CK127&lt;&gt;"",'[1]Game Input'!$CK127,"")</f>
        <v>0</v>
      </c>
      <c r="AE127" s="8"/>
      <c r="AF127" s="8"/>
      <c r="AG127" s="8"/>
      <c r="AH127" s="8"/>
    </row>
    <row r="128" spans="1:34" x14ac:dyDescent="0.2">
      <c r="A128" s="6">
        <f>IF('[1]Game Input'!$A128&lt;&gt;"",'[1]Game Input'!$A128,"")</f>
        <v>43420</v>
      </c>
      <c r="B128" s="6" t="str">
        <f>IF(A128&gt;$B$1,VLOOKUP(MONTH($A128),DOTWMonth,2,FALSE),"")</f>
        <v>November</v>
      </c>
      <c r="C128" s="10" t="str">
        <f>IF(A128&gt;$B$1,VLOOKUP(WEEKDAY($A128),DOTWMonth,3,FALSE),"")</f>
        <v>Friday</v>
      </c>
      <c r="D128" s="7">
        <f>IF('[1]Game Input'!$B128&lt;&gt;"",'[1]Game Input'!$B128,"")</f>
        <v>0.83680555555555547</v>
      </c>
      <c r="E128" s="7">
        <f>IF('[1]Game Input'!$C128&lt;&gt;"",'[1]Game Input'!$C128,"")</f>
        <v>0.79513888888888884</v>
      </c>
      <c r="F128" s="8" t="str">
        <f>IF('[1]Game Input'!$D128&lt;&gt;"",'[1]Game Input'!$D128,"")</f>
        <v>Standard</v>
      </c>
      <c r="G128" s="8" t="str">
        <f>IF('[1]Game Input'!$G128&lt;&gt;"",'[1]Game Input'!$G128,"")</f>
        <v>TC @ WAT</v>
      </c>
      <c r="H128" s="8" t="str">
        <f>IF('[1]Game Input'!$H128&lt;&gt;"",'[1]Game Input'!$H128,"")</f>
        <v>Vs. Conference</v>
      </c>
      <c r="I128" s="8" t="str">
        <f>IF('[1]Game Input'!$I128&lt;&gt;"",'[1]Game Input'!$I128,"")</f>
        <v>TRI-CITY</v>
      </c>
      <c r="J128" s="9">
        <f>IF('[1]Game Input'!$AC128&lt;&gt;"",'[1]Game Input'!$AC128,"")</f>
        <v>18</v>
      </c>
      <c r="K128" s="9">
        <f>IF('[1]Game Input'!$AD128&lt;&gt;"",'[1]Game Input'!$AD128,"")</f>
        <v>9</v>
      </c>
      <c r="L128" s="9">
        <f>IF('[1]Game Input'!$AJ128&lt;&gt;"",'[1]Game Input'!$AJ128,"")</f>
        <v>0</v>
      </c>
      <c r="M128" s="9">
        <f>IF('[1]Game Input'!$AK128&lt;&gt;"",'[1]Game Input'!$AK128,"")</f>
        <v>0</v>
      </c>
      <c r="N128" s="9">
        <f>IF('[1]Game Input'!$AN128&lt;&gt;"",'[1]Game Input'!$AN128,"")</f>
        <v>9</v>
      </c>
      <c r="O128" s="9">
        <f>IF('[1]Game Input'!$AO128&lt;&gt;"",'[1]Game Input'!$AO128,"")</f>
        <v>0</v>
      </c>
      <c r="P128" s="9">
        <f>IF('[1]Game Input'!$AP128&lt;&gt;"",'[1]Game Input'!$AP128,"")</f>
        <v>0</v>
      </c>
      <c r="Q128" s="9">
        <f>IF('[1]Game Input'!$AQ128&lt;&gt;"",'[1]Game Input'!$AQ128,"")</f>
        <v>0</v>
      </c>
      <c r="R128" s="9">
        <f>IF('[1]Game Input'!$AR128&lt;&gt;"",'[1]Game Input'!$AR128,"")</f>
        <v>0</v>
      </c>
      <c r="S128" s="9">
        <f>IF('[1]Game Input'!$AS128&lt;&gt;"",'[1]Game Input'!$AS128,"")</f>
        <v>0</v>
      </c>
      <c r="T128" s="10" t="str">
        <f>IF('[1]Game Input'!$BA128&lt;&gt;"",'[1]Game Input'!$BA128,"")</f>
        <v>WATERLOO</v>
      </c>
      <c r="U128" s="9">
        <f>IF('[1]Game Input'!$BU128&lt;&gt;"",'[1]Game Input'!$BU128,"")</f>
        <v>10</v>
      </c>
      <c r="V128" s="9">
        <f>IF('[1]Game Input'!$BV128&lt;&gt;"",'[1]Game Input'!$BV128,"")</f>
        <v>5</v>
      </c>
      <c r="W128" s="9">
        <f>IF('[1]Game Input'!$CB128&lt;&gt;"",'[1]Game Input'!$CB128,"")</f>
        <v>0</v>
      </c>
      <c r="X128" s="9">
        <f>IF('[1]Game Input'!$CC128&lt;&gt;"",'[1]Game Input'!$CC128,"")</f>
        <v>0</v>
      </c>
      <c r="Y128" s="9">
        <f>IF('[1]Game Input'!$CF128&lt;&gt;"",'[1]Game Input'!$CF128,"")</f>
        <v>5</v>
      </c>
      <c r="Z128" s="9">
        <f>IF('[1]Game Input'!$CG128&lt;&gt;"",'[1]Game Input'!$CG128,"")</f>
        <v>0</v>
      </c>
      <c r="AA128" s="9">
        <f>IF('[1]Game Input'!$CH128&lt;&gt;"",'[1]Game Input'!$CH128,"")</f>
        <v>0</v>
      </c>
      <c r="AB128" s="9">
        <f>IF('[1]Game Input'!$CI128&lt;&gt;"",'[1]Game Input'!$CI128,"")</f>
        <v>0</v>
      </c>
      <c r="AC128" s="9">
        <f>IF('[1]Game Input'!$CJ128&lt;&gt;"",'[1]Game Input'!$CJ128,"")</f>
        <v>0</v>
      </c>
      <c r="AD128" s="9">
        <f>IF('[1]Game Input'!$CK128&lt;&gt;"",'[1]Game Input'!$CK128,"")</f>
        <v>0</v>
      </c>
      <c r="AE128" s="8"/>
      <c r="AF128" s="8"/>
      <c r="AG128" s="8"/>
      <c r="AH128" s="8"/>
    </row>
    <row r="129" spans="1:34" x14ac:dyDescent="0.2">
      <c r="A129" s="6">
        <f>IF('[1]Game Input'!$A129&lt;&gt;"",'[1]Game Input'!$A129,"")</f>
        <v>43420</v>
      </c>
      <c r="B129" s="6" t="str">
        <f>IF(A129&gt;$B$1,VLOOKUP(MONTH($A129),DOTWMonth,2,FALSE),"")</f>
        <v>November</v>
      </c>
      <c r="C129" s="10" t="str">
        <f>IF(A129&gt;$B$1,VLOOKUP(WEEKDAY($A129),DOTWMonth,3,FALSE),"")</f>
        <v>Friday</v>
      </c>
      <c r="D129" s="7">
        <f>IF('[1]Game Input'!$B129&lt;&gt;"",'[1]Game Input'!$B129,"")</f>
        <v>0.83680555555555547</v>
      </c>
      <c r="E129" s="7">
        <f>IF('[1]Game Input'!$C129&lt;&gt;"",'[1]Game Input'!$C129,"")</f>
        <v>0.79513888888888884</v>
      </c>
      <c r="F129" s="8" t="str">
        <f>IF('[1]Game Input'!$D129&lt;&gt;"",'[1]Game Input'!$D129,"")</f>
        <v>Standard</v>
      </c>
      <c r="G129" s="8" t="str">
        <f>IF('[1]Game Input'!$G129&lt;&gt;"",'[1]Game Input'!$G129,"")</f>
        <v>FGO @ DUB</v>
      </c>
      <c r="H129" s="8" t="str">
        <f>IF('[1]Game Input'!$H129&lt;&gt;"",'[1]Game Input'!$H129,"")</f>
        <v>Vs. Non-Conference</v>
      </c>
      <c r="I129" s="8" t="str">
        <f>IF('[1]Game Input'!$I129&lt;&gt;"",'[1]Game Input'!$I129,"")</f>
        <v>FARGO</v>
      </c>
      <c r="J129" s="9">
        <f>IF('[1]Game Input'!$AC129&lt;&gt;"",'[1]Game Input'!$AC129,"")</f>
        <v>16</v>
      </c>
      <c r="K129" s="9">
        <f>IF('[1]Game Input'!$AD129&lt;&gt;"",'[1]Game Input'!$AD129,"")</f>
        <v>8</v>
      </c>
      <c r="L129" s="9">
        <f>IF('[1]Game Input'!$AJ129&lt;&gt;"",'[1]Game Input'!$AJ129,"")</f>
        <v>0</v>
      </c>
      <c r="M129" s="9">
        <f>IF('[1]Game Input'!$AK129&lt;&gt;"",'[1]Game Input'!$AK129,"")</f>
        <v>0</v>
      </c>
      <c r="N129" s="9">
        <f>IF('[1]Game Input'!$AN129&lt;&gt;"",'[1]Game Input'!$AN129,"")</f>
        <v>8</v>
      </c>
      <c r="O129" s="9">
        <f>IF('[1]Game Input'!$AO129&lt;&gt;"",'[1]Game Input'!$AO129,"")</f>
        <v>0</v>
      </c>
      <c r="P129" s="9">
        <f>IF('[1]Game Input'!$AP129&lt;&gt;"",'[1]Game Input'!$AP129,"")</f>
        <v>0</v>
      </c>
      <c r="Q129" s="9">
        <f>IF('[1]Game Input'!$AQ129&lt;&gt;"",'[1]Game Input'!$AQ129,"")</f>
        <v>0</v>
      </c>
      <c r="R129" s="9">
        <f>IF('[1]Game Input'!$AR129&lt;&gt;"",'[1]Game Input'!$AR129,"")</f>
        <v>0</v>
      </c>
      <c r="S129" s="9">
        <f>IF('[1]Game Input'!$AS129&lt;&gt;"",'[1]Game Input'!$AS129,"")</f>
        <v>0</v>
      </c>
      <c r="T129" s="10" t="str">
        <f>IF('[1]Game Input'!$BA129&lt;&gt;"",'[1]Game Input'!$BA129,"")</f>
        <v>DUBUQUE</v>
      </c>
      <c r="U129" s="9">
        <f>IF('[1]Game Input'!$BU129&lt;&gt;"",'[1]Game Input'!$BU129,"")</f>
        <v>26</v>
      </c>
      <c r="V129" s="9">
        <f>IF('[1]Game Input'!$BV129&lt;&gt;"",'[1]Game Input'!$BV129,"")</f>
        <v>9</v>
      </c>
      <c r="W129" s="9">
        <f>IF('[1]Game Input'!$CB129&lt;&gt;"",'[1]Game Input'!$CB129,"")</f>
        <v>0</v>
      </c>
      <c r="X129" s="9">
        <f>IF('[1]Game Input'!$CC129&lt;&gt;"",'[1]Game Input'!$CC129,"")</f>
        <v>0</v>
      </c>
      <c r="Y129" s="9">
        <f>IF('[1]Game Input'!$CF129&lt;&gt;"",'[1]Game Input'!$CF129,"")</f>
        <v>8</v>
      </c>
      <c r="Z129" s="9">
        <f>IF('[1]Game Input'!$CG129&lt;&gt;"",'[1]Game Input'!$CG129,"")</f>
        <v>0</v>
      </c>
      <c r="AA129" s="9">
        <f>IF('[1]Game Input'!$CH129&lt;&gt;"",'[1]Game Input'!$CH129,"")</f>
        <v>1</v>
      </c>
      <c r="AB129" s="9">
        <f>IF('[1]Game Input'!$CI129&lt;&gt;"",'[1]Game Input'!$CI129,"")</f>
        <v>0</v>
      </c>
      <c r="AC129" s="9">
        <f>IF('[1]Game Input'!$CJ129&lt;&gt;"",'[1]Game Input'!$CJ129,"")</f>
        <v>0</v>
      </c>
      <c r="AD129" s="9">
        <f>IF('[1]Game Input'!$CK129&lt;&gt;"",'[1]Game Input'!$CK129,"")</f>
        <v>0</v>
      </c>
      <c r="AE129" s="8"/>
      <c r="AF129" s="8"/>
      <c r="AG129" s="8"/>
      <c r="AH129" s="8"/>
    </row>
    <row r="130" spans="1:34" x14ac:dyDescent="0.2">
      <c r="A130" s="6">
        <f>IF('[1]Game Input'!$A130&lt;&gt;"",'[1]Game Input'!$A130,"")</f>
        <v>43420</v>
      </c>
      <c r="B130" s="6" t="str">
        <f>IF(A130&gt;$B$1,VLOOKUP(MONTH($A130),DOTWMonth,2,FALSE),"")</f>
        <v>November</v>
      </c>
      <c r="C130" s="10" t="str">
        <f>IF(A130&gt;$B$1,VLOOKUP(WEEKDAY($A130),DOTWMonth,3,FALSE),"")</f>
        <v>Friday</v>
      </c>
      <c r="D130" s="7">
        <f>IF('[1]Game Input'!$B130&lt;&gt;"",'[1]Game Input'!$B130,"")</f>
        <v>0.83819444444444446</v>
      </c>
      <c r="E130" s="7">
        <f>IF('[1]Game Input'!$C130&lt;&gt;"",'[1]Game Input'!$C130,"")</f>
        <v>0.79652777777777783</v>
      </c>
      <c r="F130" s="8" t="str">
        <f>IF('[1]Game Input'!$D130&lt;&gt;"",'[1]Game Input'!$D130,"")</f>
        <v>Standard</v>
      </c>
      <c r="G130" s="8" t="str">
        <f>IF('[1]Game Input'!$G130&lt;&gt;"",'[1]Game Input'!$G130,"")</f>
        <v>YNG @ CIL</v>
      </c>
      <c r="H130" s="8" t="str">
        <f>IF('[1]Game Input'!$H130&lt;&gt;"",'[1]Game Input'!$H130,"")</f>
        <v>Vs. Conference</v>
      </c>
      <c r="I130" s="8" t="str">
        <f>IF('[1]Game Input'!$I130&lt;&gt;"",'[1]Game Input'!$I130,"")</f>
        <v>YOUNGSTOWN</v>
      </c>
      <c r="J130" s="9">
        <f>IF('[1]Game Input'!$AC130&lt;&gt;"",'[1]Game Input'!$AC130,"")</f>
        <v>4</v>
      </c>
      <c r="K130" s="9">
        <f>IF('[1]Game Input'!$AD130&lt;&gt;"",'[1]Game Input'!$AD130,"")</f>
        <v>2</v>
      </c>
      <c r="L130" s="9">
        <f>IF('[1]Game Input'!$AJ130&lt;&gt;"",'[1]Game Input'!$AJ130,"")</f>
        <v>0</v>
      </c>
      <c r="M130" s="9">
        <f>IF('[1]Game Input'!$AK130&lt;&gt;"",'[1]Game Input'!$AK130,"")</f>
        <v>0</v>
      </c>
      <c r="N130" s="9">
        <f>IF('[1]Game Input'!$AN130&lt;&gt;"",'[1]Game Input'!$AN130,"")</f>
        <v>2</v>
      </c>
      <c r="O130" s="9">
        <f>IF('[1]Game Input'!$AO130&lt;&gt;"",'[1]Game Input'!$AO130,"")</f>
        <v>0</v>
      </c>
      <c r="P130" s="9">
        <f>IF('[1]Game Input'!$AP130&lt;&gt;"",'[1]Game Input'!$AP130,"")</f>
        <v>0</v>
      </c>
      <c r="Q130" s="9">
        <f>IF('[1]Game Input'!$AQ130&lt;&gt;"",'[1]Game Input'!$AQ130,"")</f>
        <v>0</v>
      </c>
      <c r="R130" s="9">
        <f>IF('[1]Game Input'!$AR130&lt;&gt;"",'[1]Game Input'!$AR130,"")</f>
        <v>0</v>
      </c>
      <c r="S130" s="9">
        <f>IF('[1]Game Input'!$AS130&lt;&gt;"",'[1]Game Input'!$AS130,"")</f>
        <v>0</v>
      </c>
      <c r="T130" s="10" t="str">
        <f>IF('[1]Game Input'!$BA130&lt;&gt;"",'[1]Game Input'!$BA130,"")</f>
        <v>CENTRAL ILLINOIS</v>
      </c>
      <c r="U130" s="9">
        <f>IF('[1]Game Input'!$BU130&lt;&gt;"",'[1]Game Input'!$BU130,"")</f>
        <v>8</v>
      </c>
      <c r="V130" s="9">
        <f>IF('[1]Game Input'!$BV130&lt;&gt;"",'[1]Game Input'!$BV130,"")</f>
        <v>4</v>
      </c>
      <c r="W130" s="9">
        <f>IF('[1]Game Input'!$CB130&lt;&gt;"",'[1]Game Input'!$CB130,"")</f>
        <v>0</v>
      </c>
      <c r="X130" s="9">
        <f>IF('[1]Game Input'!$CC130&lt;&gt;"",'[1]Game Input'!$CC130,"")</f>
        <v>0</v>
      </c>
      <c r="Y130" s="9">
        <f>IF('[1]Game Input'!$CF130&lt;&gt;"",'[1]Game Input'!$CF130,"")</f>
        <v>4</v>
      </c>
      <c r="Z130" s="9">
        <f>IF('[1]Game Input'!$CG130&lt;&gt;"",'[1]Game Input'!$CG130,"")</f>
        <v>0</v>
      </c>
      <c r="AA130" s="9">
        <f>IF('[1]Game Input'!$CH130&lt;&gt;"",'[1]Game Input'!$CH130,"")</f>
        <v>0</v>
      </c>
      <c r="AB130" s="9">
        <f>IF('[1]Game Input'!$CI130&lt;&gt;"",'[1]Game Input'!$CI130,"")</f>
        <v>0</v>
      </c>
      <c r="AC130" s="9">
        <f>IF('[1]Game Input'!$CJ130&lt;&gt;"",'[1]Game Input'!$CJ130,"")</f>
        <v>0</v>
      </c>
      <c r="AD130" s="9">
        <f>IF('[1]Game Input'!$CK130&lt;&gt;"",'[1]Game Input'!$CK130,"")</f>
        <v>0</v>
      </c>
      <c r="AE130" s="8" t="s">
        <v>92</v>
      </c>
      <c r="AF130" s="8"/>
      <c r="AG130" s="8" t="s">
        <v>117</v>
      </c>
      <c r="AH130" s="8" t="s">
        <v>116</v>
      </c>
    </row>
    <row r="131" spans="1:34" x14ac:dyDescent="0.2">
      <c r="A131" s="6">
        <f>IF('[1]Game Input'!$A131&lt;&gt;"",'[1]Game Input'!$A131,"")</f>
        <v>43420</v>
      </c>
      <c r="B131" s="6" t="str">
        <f>IF(A131&gt;$B$1,VLOOKUP(MONTH($A131),DOTWMonth,2,FALSE),"")</f>
        <v>November</v>
      </c>
      <c r="C131" s="10" t="str">
        <f>IF(A131&gt;$B$1,VLOOKUP(WEEKDAY($A131),DOTWMonth,3,FALSE),"")</f>
        <v>Friday</v>
      </c>
      <c r="D131" s="7">
        <f>IF('[1]Game Input'!$B131&lt;&gt;"",'[1]Game Input'!$B131,"")</f>
        <v>0.85763888888888884</v>
      </c>
      <c r="E131" s="7">
        <f>IF('[1]Game Input'!$C131&lt;&gt;"",'[1]Game Input'!$C131,"")</f>
        <v>0.81597222222222221</v>
      </c>
      <c r="F131" s="8" t="str">
        <f>IF('[1]Game Input'!$D131&lt;&gt;"",'[1]Game Input'!$D131,"")</f>
        <v>Standard</v>
      </c>
      <c r="G131" s="8" t="str">
        <f>IF('[1]Game Input'!$G131&lt;&gt;"",'[1]Game Input'!$G131,"")</f>
        <v>USA @ OMA</v>
      </c>
      <c r="H131" s="8" t="str">
        <f>IF('[1]Game Input'!$H131&lt;&gt;"",'[1]Game Input'!$H131,"")</f>
        <v>Vs. Non-Conference</v>
      </c>
      <c r="I131" s="8" t="str">
        <f>IF('[1]Game Input'!$I131&lt;&gt;"",'[1]Game Input'!$I131,"")</f>
        <v>TEAM USA</v>
      </c>
      <c r="J131" s="9">
        <f>IF('[1]Game Input'!$AC131&lt;&gt;"",'[1]Game Input'!$AC131,"")</f>
        <v>10</v>
      </c>
      <c r="K131" s="9">
        <f>IF('[1]Game Input'!$AD131&lt;&gt;"",'[1]Game Input'!$AD131,"")</f>
        <v>5</v>
      </c>
      <c r="L131" s="9">
        <f>IF('[1]Game Input'!$AJ131&lt;&gt;"",'[1]Game Input'!$AJ131,"")</f>
        <v>0</v>
      </c>
      <c r="M131" s="9">
        <f>IF('[1]Game Input'!$AK131&lt;&gt;"",'[1]Game Input'!$AK131,"")</f>
        <v>0</v>
      </c>
      <c r="N131" s="9">
        <f>IF('[1]Game Input'!$AN131&lt;&gt;"",'[1]Game Input'!$AN131,"")</f>
        <v>5</v>
      </c>
      <c r="O131" s="9">
        <f>IF('[1]Game Input'!$AO131&lt;&gt;"",'[1]Game Input'!$AO131,"")</f>
        <v>0</v>
      </c>
      <c r="P131" s="9">
        <f>IF('[1]Game Input'!$AP131&lt;&gt;"",'[1]Game Input'!$AP131,"")</f>
        <v>0</v>
      </c>
      <c r="Q131" s="9">
        <f>IF('[1]Game Input'!$AQ131&lt;&gt;"",'[1]Game Input'!$AQ131,"")</f>
        <v>0</v>
      </c>
      <c r="R131" s="9">
        <f>IF('[1]Game Input'!$AR131&lt;&gt;"",'[1]Game Input'!$AR131,"")</f>
        <v>0</v>
      </c>
      <c r="S131" s="9">
        <f>IF('[1]Game Input'!$AS131&lt;&gt;"",'[1]Game Input'!$AS131,"")</f>
        <v>0</v>
      </c>
      <c r="T131" s="10" t="str">
        <f>IF('[1]Game Input'!$BA131&lt;&gt;"",'[1]Game Input'!$BA131,"")</f>
        <v>OMAHA</v>
      </c>
      <c r="U131" s="9">
        <f>IF('[1]Game Input'!$BU131&lt;&gt;"",'[1]Game Input'!$BU131,"")</f>
        <v>14</v>
      </c>
      <c r="V131" s="9">
        <f>IF('[1]Game Input'!$BV131&lt;&gt;"",'[1]Game Input'!$BV131,"")</f>
        <v>7</v>
      </c>
      <c r="W131" s="9">
        <f>IF('[1]Game Input'!$CB131&lt;&gt;"",'[1]Game Input'!$CB131,"")</f>
        <v>0</v>
      </c>
      <c r="X131" s="9">
        <f>IF('[1]Game Input'!$CC131&lt;&gt;"",'[1]Game Input'!$CC131,"")</f>
        <v>0</v>
      </c>
      <c r="Y131" s="9">
        <f>IF('[1]Game Input'!$CF131&lt;&gt;"",'[1]Game Input'!$CF131,"")</f>
        <v>7</v>
      </c>
      <c r="Z131" s="9">
        <f>IF('[1]Game Input'!$CG131&lt;&gt;"",'[1]Game Input'!$CG131,"")</f>
        <v>0</v>
      </c>
      <c r="AA131" s="9">
        <f>IF('[1]Game Input'!$CH131&lt;&gt;"",'[1]Game Input'!$CH131,"")</f>
        <v>0</v>
      </c>
      <c r="AB131" s="9">
        <f>IF('[1]Game Input'!$CI131&lt;&gt;"",'[1]Game Input'!$CI131,"")</f>
        <v>0</v>
      </c>
      <c r="AC131" s="9">
        <f>IF('[1]Game Input'!$CJ131&lt;&gt;"",'[1]Game Input'!$CJ131,"")</f>
        <v>0</v>
      </c>
      <c r="AD131" s="9">
        <f>IF('[1]Game Input'!$CK131&lt;&gt;"",'[1]Game Input'!$CK131,"")</f>
        <v>0</v>
      </c>
      <c r="AE131" s="8"/>
      <c r="AF131" s="8"/>
      <c r="AG131" s="8"/>
      <c r="AH131" s="8"/>
    </row>
    <row r="132" spans="1:34" x14ac:dyDescent="0.2">
      <c r="A132" s="6">
        <f>IF('[1]Game Input'!$A132&lt;&gt;"",'[1]Game Input'!$A132,"")</f>
        <v>43421</v>
      </c>
      <c r="B132" s="6" t="str">
        <f>IF(A132&gt;$B$1,VLOOKUP(MONTH($A132),DOTWMonth,2,FALSE),"")</f>
        <v>November</v>
      </c>
      <c r="C132" s="10" t="str">
        <f>IF(A132&gt;$B$1,VLOOKUP(WEEKDAY($A132),DOTWMonth,3,FALSE),"")</f>
        <v>Saturday</v>
      </c>
      <c r="D132" s="7">
        <f>IF('[1]Game Input'!$B132&lt;&gt;"",'[1]Game Input'!$B132,"")</f>
        <v>0.79166666666666663</v>
      </c>
      <c r="E132" s="7">
        <f>IF('[1]Game Input'!$C132&lt;&gt;"",'[1]Game Input'!$C132,"")</f>
        <v>0.75</v>
      </c>
      <c r="F132" s="8" t="str">
        <f>IF('[1]Game Input'!$D132&lt;&gt;"",'[1]Game Input'!$D132,"")</f>
        <v>Standard</v>
      </c>
      <c r="G132" s="8" t="str">
        <f>IF('[1]Game Input'!$G132&lt;&gt;"",'[1]Game Input'!$G132,"")</f>
        <v>CHI @ USA</v>
      </c>
      <c r="H132" s="8" t="str">
        <f>IF('[1]Game Input'!$H132&lt;&gt;"",'[1]Game Input'!$H132,"")</f>
        <v>Vs. Conference</v>
      </c>
      <c r="I132" s="8" t="str">
        <f>IF('[1]Game Input'!$I132&lt;&gt;"",'[1]Game Input'!$I132,"")</f>
        <v>CHICAGO</v>
      </c>
      <c r="J132" s="9">
        <f>IF('[1]Game Input'!$AC132&lt;&gt;"",'[1]Game Input'!$AC132,"")</f>
        <v>10</v>
      </c>
      <c r="K132" s="9">
        <f>IF('[1]Game Input'!$AD132&lt;&gt;"",'[1]Game Input'!$AD132,"")</f>
        <v>5</v>
      </c>
      <c r="L132" s="9">
        <f>IF('[1]Game Input'!$AJ132&lt;&gt;"",'[1]Game Input'!$AJ132,"")</f>
        <v>0</v>
      </c>
      <c r="M132" s="9">
        <f>IF('[1]Game Input'!$AK132&lt;&gt;"",'[1]Game Input'!$AK132,"")</f>
        <v>0</v>
      </c>
      <c r="N132" s="9">
        <f>IF('[1]Game Input'!$AN132&lt;&gt;"",'[1]Game Input'!$AN132,"")</f>
        <v>5</v>
      </c>
      <c r="O132" s="9">
        <f>IF('[1]Game Input'!$AO132&lt;&gt;"",'[1]Game Input'!$AO132,"")</f>
        <v>0</v>
      </c>
      <c r="P132" s="9">
        <f>IF('[1]Game Input'!$AP132&lt;&gt;"",'[1]Game Input'!$AP132,"")</f>
        <v>0</v>
      </c>
      <c r="Q132" s="9">
        <f>IF('[1]Game Input'!$AQ132&lt;&gt;"",'[1]Game Input'!$AQ132,"")</f>
        <v>0</v>
      </c>
      <c r="R132" s="9">
        <f>IF('[1]Game Input'!$AR132&lt;&gt;"",'[1]Game Input'!$AR132,"")</f>
        <v>0</v>
      </c>
      <c r="S132" s="9">
        <f>IF('[1]Game Input'!$AS132&lt;&gt;"",'[1]Game Input'!$AS132,"")</f>
        <v>0</v>
      </c>
      <c r="T132" s="10" t="str">
        <f>IF('[1]Game Input'!$BA132&lt;&gt;"",'[1]Game Input'!$BA132,"")</f>
        <v>TEAM USA</v>
      </c>
      <c r="U132" s="9">
        <f>IF('[1]Game Input'!$BU132&lt;&gt;"",'[1]Game Input'!$BU132,"")</f>
        <v>4</v>
      </c>
      <c r="V132" s="9">
        <f>IF('[1]Game Input'!$BV132&lt;&gt;"",'[1]Game Input'!$BV132,"")</f>
        <v>2</v>
      </c>
      <c r="W132" s="9">
        <f>IF('[1]Game Input'!$CB132&lt;&gt;"",'[1]Game Input'!$CB132,"")</f>
        <v>0</v>
      </c>
      <c r="X132" s="9">
        <f>IF('[1]Game Input'!$CC132&lt;&gt;"",'[1]Game Input'!$CC132,"")</f>
        <v>0</v>
      </c>
      <c r="Y132" s="9">
        <f>IF('[1]Game Input'!$CF132&lt;&gt;"",'[1]Game Input'!$CF132,"")</f>
        <v>2</v>
      </c>
      <c r="Z132" s="9">
        <f>IF('[1]Game Input'!$CG132&lt;&gt;"",'[1]Game Input'!$CG132,"")</f>
        <v>0</v>
      </c>
      <c r="AA132" s="9">
        <f>IF('[1]Game Input'!$CH132&lt;&gt;"",'[1]Game Input'!$CH132,"")</f>
        <v>0</v>
      </c>
      <c r="AB132" s="9">
        <f>IF('[1]Game Input'!$CI132&lt;&gt;"",'[1]Game Input'!$CI132,"")</f>
        <v>0</v>
      </c>
      <c r="AC132" s="9">
        <f>IF('[1]Game Input'!$CJ132&lt;&gt;"",'[1]Game Input'!$CJ132,"")</f>
        <v>0</v>
      </c>
      <c r="AD132" s="9">
        <f>IF('[1]Game Input'!$CK132&lt;&gt;"",'[1]Game Input'!$CK132,"")</f>
        <v>0</v>
      </c>
      <c r="AE132" s="8"/>
      <c r="AF132" s="8"/>
      <c r="AG132" s="8"/>
      <c r="AH132" s="8"/>
    </row>
    <row r="133" spans="1:34" x14ac:dyDescent="0.2">
      <c r="A133" s="6">
        <f>IF('[1]Game Input'!$A133&lt;&gt;"",'[1]Game Input'!$A133,"")</f>
        <v>43421</v>
      </c>
      <c r="B133" s="6" t="str">
        <f>IF(A133&gt;$B$1,VLOOKUP(MONTH($A133),DOTWMonth,2,FALSE),"")</f>
        <v>November</v>
      </c>
      <c r="C133" s="10" t="str">
        <f>IF(A133&gt;$B$1,VLOOKUP(WEEKDAY($A133),DOTWMonth,3,FALSE),"")</f>
        <v>Saturday</v>
      </c>
      <c r="D133" s="7">
        <f>IF('[1]Game Input'!$B133&lt;&gt;"",'[1]Game Input'!$B133,"")</f>
        <v>0.80208333333333337</v>
      </c>
      <c r="E133" s="7">
        <f>IF('[1]Game Input'!$C133&lt;&gt;"",'[1]Game Input'!$C133,"")</f>
        <v>0.76041666666666674</v>
      </c>
      <c r="F133" s="8" t="str">
        <f>IF('[1]Game Input'!$D133&lt;&gt;"",'[1]Game Input'!$D133,"")</f>
        <v>Standard</v>
      </c>
      <c r="G133" s="8" t="str">
        <f>IF('[1]Game Input'!$G133&lt;&gt;"",'[1]Game Input'!$G133,"")</f>
        <v>CR @ MUS</v>
      </c>
      <c r="H133" s="8" t="str">
        <f>IF('[1]Game Input'!$H133&lt;&gt;"",'[1]Game Input'!$H133,"")</f>
        <v>Vs. Conference</v>
      </c>
      <c r="I133" s="8" t="str">
        <f>IF('[1]Game Input'!$I133&lt;&gt;"",'[1]Game Input'!$I133,"")</f>
        <v>CEDAR RAPIDS</v>
      </c>
      <c r="J133" s="9">
        <f>IF('[1]Game Input'!$AC133&lt;&gt;"",'[1]Game Input'!$AC133,"")</f>
        <v>27</v>
      </c>
      <c r="K133" s="9">
        <f>IF('[1]Game Input'!$AD133&lt;&gt;"",'[1]Game Input'!$AD133,"")</f>
        <v>8</v>
      </c>
      <c r="L133" s="9">
        <f>IF('[1]Game Input'!$AJ133&lt;&gt;"",'[1]Game Input'!$AJ133,"")</f>
        <v>0</v>
      </c>
      <c r="M133" s="9">
        <f>IF('[1]Game Input'!$AK133&lt;&gt;"",'[1]Game Input'!$AK133,"")</f>
        <v>0</v>
      </c>
      <c r="N133" s="9">
        <f>IF('[1]Game Input'!$AN133&lt;&gt;"",'[1]Game Input'!$AN133,"")</f>
        <v>6</v>
      </c>
      <c r="O133" s="9">
        <f>IF('[1]Game Input'!$AO133&lt;&gt;"",'[1]Game Input'!$AO133,"")</f>
        <v>1</v>
      </c>
      <c r="P133" s="9">
        <f>IF('[1]Game Input'!$AP133&lt;&gt;"",'[1]Game Input'!$AP133,"")</f>
        <v>1</v>
      </c>
      <c r="Q133" s="9">
        <f>IF('[1]Game Input'!$AQ133&lt;&gt;"",'[1]Game Input'!$AQ133,"")</f>
        <v>0</v>
      </c>
      <c r="R133" s="9">
        <f>IF('[1]Game Input'!$AR133&lt;&gt;"",'[1]Game Input'!$AR133,"")</f>
        <v>0</v>
      </c>
      <c r="S133" s="9">
        <f>IF('[1]Game Input'!$AS133&lt;&gt;"",'[1]Game Input'!$AS133,"")</f>
        <v>0</v>
      </c>
      <c r="T133" s="10" t="str">
        <f>IF('[1]Game Input'!$BA133&lt;&gt;"",'[1]Game Input'!$BA133,"")</f>
        <v>MUSKEGON</v>
      </c>
      <c r="U133" s="9">
        <f>IF('[1]Game Input'!$BU133&lt;&gt;"",'[1]Game Input'!$BU133,"")</f>
        <v>31</v>
      </c>
      <c r="V133" s="9">
        <f>IF('[1]Game Input'!$BV133&lt;&gt;"",'[1]Game Input'!$BV133,"")</f>
        <v>10</v>
      </c>
      <c r="W133" s="9">
        <f>IF('[1]Game Input'!$CB133&lt;&gt;"",'[1]Game Input'!$CB133,"")</f>
        <v>0</v>
      </c>
      <c r="X133" s="9">
        <f>IF('[1]Game Input'!$CC133&lt;&gt;"",'[1]Game Input'!$CC133,"")</f>
        <v>0</v>
      </c>
      <c r="Y133" s="9">
        <f>IF('[1]Game Input'!$CF133&lt;&gt;"",'[1]Game Input'!$CF133,"")</f>
        <v>8</v>
      </c>
      <c r="Z133" s="9">
        <f>IF('[1]Game Input'!$CG133&lt;&gt;"",'[1]Game Input'!$CG133,"")</f>
        <v>1</v>
      </c>
      <c r="AA133" s="9">
        <f>IF('[1]Game Input'!$CH133&lt;&gt;"",'[1]Game Input'!$CH133,"")</f>
        <v>1</v>
      </c>
      <c r="AB133" s="9">
        <f>IF('[1]Game Input'!$CI133&lt;&gt;"",'[1]Game Input'!$CI133,"")</f>
        <v>0</v>
      </c>
      <c r="AC133" s="9">
        <f>IF('[1]Game Input'!$CJ133&lt;&gt;"",'[1]Game Input'!$CJ133,"")</f>
        <v>0</v>
      </c>
      <c r="AD133" s="9">
        <f>IF('[1]Game Input'!$CK133&lt;&gt;"",'[1]Game Input'!$CK133,"")</f>
        <v>0</v>
      </c>
      <c r="AE133" s="8" t="s">
        <v>94</v>
      </c>
      <c r="AF133" s="8"/>
      <c r="AG133" s="8" t="s">
        <v>113</v>
      </c>
      <c r="AH133" s="8" t="s">
        <v>141</v>
      </c>
    </row>
    <row r="134" spans="1:34" x14ac:dyDescent="0.2">
      <c r="A134" s="6">
        <f>IF('[1]Game Input'!$A134&lt;&gt;"",'[1]Game Input'!$A134,"")</f>
        <v>43421</v>
      </c>
      <c r="B134" s="6" t="str">
        <f>IF(A134&gt;$B$1,VLOOKUP(MONTH($A134),DOTWMonth,2,FALSE),"")</f>
        <v>November</v>
      </c>
      <c r="C134" s="10" t="str">
        <f>IF(A134&gt;$B$1,VLOOKUP(WEEKDAY($A134),DOTWMonth,3,FALSE),"")</f>
        <v>Saturday</v>
      </c>
      <c r="D134" s="7">
        <f>IF('[1]Game Input'!$B134&lt;&gt;"",'[1]Game Input'!$B134,"")</f>
        <v>0.83680555555555547</v>
      </c>
      <c r="E134" s="7">
        <f>IF('[1]Game Input'!$C134&lt;&gt;"",'[1]Game Input'!$C134,"")</f>
        <v>0.79513888888888884</v>
      </c>
      <c r="F134" s="8" t="str">
        <f>IF('[1]Game Input'!$D134&lt;&gt;"",'[1]Game Input'!$D134,"")</f>
        <v>Standard</v>
      </c>
      <c r="G134" s="8" t="str">
        <f>IF('[1]Game Input'!$G134&lt;&gt;"",'[1]Game Input'!$G134,"")</f>
        <v>FGO @ DM</v>
      </c>
      <c r="H134" s="8" t="str">
        <f>IF('[1]Game Input'!$H134&lt;&gt;"",'[1]Game Input'!$H134,"")</f>
        <v>Vs. Conference</v>
      </c>
      <c r="I134" s="8" t="str">
        <f>IF('[1]Game Input'!$I134&lt;&gt;"",'[1]Game Input'!$I134,"")</f>
        <v>FARGO</v>
      </c>
      <c r="J134" s="9">
        <f>IF('[1]Game Input'!$AC134&lt;&gt;"",'[1]Game Input'!$AC134,"")</f>
        <v>8</v>
      </c>
      <c r="K134" s="9">
        <f>IF('[1]Game Input'!$AD134&lt;&gt;"",'[1]Game Input'!$AD134,"")</f>
        <v>5</v>
      </c>
      <c r="L134" s="9">
        <f>IF('[1]Game Input'!$AJ134&lt;&gt;"",'[1]Game Input'!$AJ134,"")</f>
        <v>0</v>
      </c>
      <c r="M134" s="9">
        <f>IF('[1]Game Input'!$AK134&lt;&gt;"",'[1]Game Input'!$AK134,"")</f>
        <v>0</v>
      </c>
      <c r="N134" s="9">
        <f>IF('[1]Game Input'!$AN134&lt;&gt;"",'[1]Game Input'!$AN134,"")</f>
        <v>4</v>
      </c>
      <c r="O134" s="9">
        <f>IF('[1]Game Input'!$AO134&lt;&gt;"",'[1]Game Input'!$AO134,"")</f>
        <v>0</v>
      </c>
      <c r="P134" s="9">
        <f>IF('[1]Game Input'!$AP134&lt;&gt;"",'[1]Game Input'!$AP134,"")</f>
        <v>0</v>
      </c>
      <c r="Q134" s="9">
        <f>IF('[1]Game Input'!$AQ134&lt;&gt;"",'[1]Game Input'!$AQ134,"")</f>
        <v>0</v>
      </c>
      <c r="R134" s="9">
        <f>IF('[1]Game Input'!$AR134&lt;&gt;"",'[1]Game Input'!$AR134,"")</f>
        <v>0</v>
      </c>
      <c r="S134" s="9">
        <f>IF('[1]Game Input'!$AS134&lt;&gt;"",'[1]Game Input'!$AS134,"")</f>
        <v>0</v>
      </c>
      <c r="T134" s="10" t="str">
        <f>IF('[1]Game Input'!$BA134&lt;&gt;"",'[1]Game Input'!$BA134,"")</f>
        <v>DES MOINES</v>
      </c>
      <c r="U134" s="9">
        <f>IF('[1]Game Input'!$BU134&lt;&gt;"",'[1]Game Input'!$BU134,"")</f>
        <v>14</v>
      </c>
      <c r="V134" s="9">
        <f>IF('[1]Game Input'!$BV134&lt;&gt;"",'[1]Game Input'!$BV134,"")</f>
        <v>7</v>
      </c>
      <c r="W134" s="9">
        <f>IF('[1]Game Input'!$CB134&lt;&gt;"",'[1]Game Input'!$CB134,"")</f>
        <v>1</v>
      </c>
      <c r="X134" s="9">
        <f>IF('[1]Game Input'!$CC134&lt;&gt;"",'[1]Game Input'!$CC134,"")</f>
        <v>1</v>
      </c>
      <c r="Y134" s="9">
        <f>IF('[1]Game Input'!$CF134&lt;&gt;"",'[1]Game Input'!$CF134,"")</f>
        <v>7</v>
      </c>
      <c r="Z134" s="9">
        <f>IF('[1]Game Input'!$CG134&lt;&gt;"",'[1]Game Input'!$CG134,"")</f>
        <v>0</v>
      </c>
      <c r="AA134" s="9">
        <f>IF('[1]Game Input'!$CH134&lt;&gt;"",'[1]Game Input'!$CH134,"")</f>
        <v>0</v>
      </c>
      <c r="AB134" s="9">
        <f>IF('[1]Game Input'!$CI134&lt;&gt;"",'[1]Game Input'!$CI134,"")</f>
        <v>0</v>
      </c>
      <c r="AC134" s="9">
        <f>IF('[1]Game Input'!$CJ134&lt;&gt;"",'[1]Game Input'!$CJ134,"")</f>
        <v>0</v>
      </c>
      <c r="AD134" s="9">
        <f>IF('[1]Game Input'!$CK134&lt;&gt;"",'[1]Game Input'!$CK134,"")</f>
        <v>1</v>
      </c>
      <c r="AE134" s="8" t="s">
        <v>103</v>
      </c>
      <c r="AF134" s="8"/>
      <c r="AG134" s="8" t="s">
        <v>122</v>
      </c>
      <c r="AH134" s="8" t="s">
        <v>108</v>
      </c>
    </row>
    <row r="135" spans="1:34" x14ac:dyDescent="0.2">
      <c r="A135" s="6">
        <f>IF('[1]Game Input'!$A135&lt;&gt;"",'[1]Game Input'!$A135,"")</f>
        <v>43421</v>
      </c>
      <c r="B135" s="6" t="str">
        <f>IF(A135&gt;$B$1,VLOOKUP(MONTH($A135),DOTWMonth,2,FALSE),"")</f>
        <v>November</v>
      </c>
      <c r="C135" s="10" t="str">
        <f>IF(A135&gt;$B$1,VLOOKUP(WEEKDAY($A135),DOTWMonth,3,FALSE),"")</f>
        <v>Saturday</v>
      </c>
      <c r="D135" s="7">
        <f>IF('[1]Game Input'!$B135&lt;&gt;"",'[1]Game Input'!$B135,"")</f>
        <v>0.83680555555555547</v>
      </c>
      <c r="E135" s="7">
        <f>IF('[1]Game Input'!$C135&lt;&gt;"",'[1]Game Input'!$C135,"")</f>
        <v>0.79513888888888884</v>
      </c>
      <c r="F135" s="8" t="str">
        <f>IF('[1]Game Input'!$D135&lt;&gt;"",'[1]Game Input'!$D135,"")</f>
        <v>Standard</v>
      </c>
      <c r="G135" s="8" t="str">
        <f>IF('[1]Game Input'!$G135&lt;&gt;"",'[1]Game Input'!$G135,"")</f>
        <v>USA @ DUB</v>
      </c>
      <c r="H135" s="8" t="str">
        <f>IF('[1]Game Input'!$H135&lt;&gt;"",'[1]Game Input'!$H135,"")</f>
        <v>Vs. Conference</v>
      </c>
      <c r="I135" s="8" t="str">
        <f>IF('[1]Game Input'!$I135&lt;&gt;"",'[1]Game Input'!$I135,"")</f>
        <v>TEAM USA</v>
      </c>
      <c r="J135" s="9">
        <f>IF('[1]Game Input'!$AC135&lt;&gt;"",'[1]Game Input'!$AC135,"")</f>
        <v>6</v>
      </c>
      <c r="K135" s="9">
        <f>IF('[1]Game Input'!$AD135&lt;&gt;"",'[1]Game Input'!$AD135,"")</f>
        <v>3</v>
      </c>
      <c r="L135" s="9">
        <f>IF('[1]Game Input'!$AJ135&lt;&gt;"",'[1]Game Input'!$AJ135,"")</f>
        <v>0</v>
      </c>
      <c r="M135" s="9">
        <f>IF('[1]Game Input'!$AK135&lt;&gt;"",'[1]Game Input'!$AK135,"")</f>
        <v>0</v>
      </c>
      <c r="N135" s="9">
        <f>IF('[1]Game Input'!$AN135&lt;&gt;"",'[1]Game Input'!$AN135,"")</f>
        <v>3</v>
      </c>
      <c r="O135" s="9">
        <f>IF('[1]Game Input'!$AO135&lt;&gt;"",'[1]Game Input'!$AO135,"")</f>
        <v>0</v>
      </c>
      <c r="P135" s="9">
        <f>IF('[1]Game Input'!$AP135&lt;&gt;"",'[1]Game Input'!$AP135,"")</f>
        <v>0</v>
      </c>
      <c r="Q135" s="9">
        <f>IF('[1]Game Input'!$AQ135&lt;&gt;"",'[1]Game Input'!$AQ135,"")</f>
        <v>0</v>
      </c>
      <c r="R135" s="9">
        <f>IF('[1]Game Input'!$AR135&lt;&gt;"",'[1]Game Input'!$AR135,"")</f>
        <v>0</v>
      </c>
      <c r="S135" s="9">
        <f>IF('[1]Game Input'!$AS135&lt;&gt;"",'[1]Game Input'!$AS135,"")</f>
        <v>0</v>
      </c>
      <c r="T135" s="10" t="str">
        <f>IF('[1]Game Input'!$BA135&lt;&gt;"",'[1]Game Input'!$BA135,"")</f>
        <v>DUBUQUE</v>
      </c>
      <c r="U135" s="9">
        <f>IF('[1]Game Input'!$BU135&lt;&gt;"",'[1]Game Input'!$BU135,"")</f>
        <v>14</v>
      </c>
      <c r="V135" s="9">
        <f>IF('[1]Game Input'!$BV135&lt;&gt;"",'[1]Game Input'!$BV135,"")</f>
        <v>7</v>
      </c>
      <c r="W135" s="9">
        <f>IF('[1]Game Input'!$CB135&lt;&gt;"",'[1]Game Input'!$CB135,"")</f>
        <v>0</v>
      </c>
      <c r="X135" s="9">
        <f>IF('[1]Game Input'!$CC135&lt;&gt;"",'[1]Game Input'!$CC135,"")</f>
        <v>0</v>
      </c>
      <c r="Y135" s="9">
        <f>IF('[1]Game Input'!$CF135&lt;&gt;"",'[1]Game Input'!$CF135,"")</f>
        <v>7</v>
      </c>
      <c r="Z135" s="9">
        <f>IF('[1]Game Input'!$CG135&lt;&gt;"",'[1]Game Input'!$CG135,"")</f>
        <v>0</v>
      </c>
      <c r="AA135" s="9">
        <f>IF('[1]Game Input'!$CH135&lt;&gt;"",'[1]Game Input'!$CH135,"")</f>
        <v>0</v>
      </c>
      <c r="AB135" s="9">
        <f>IF('[1]Game Input'!$CI135&lt;&gt;"",'[1]Game Input'!$CI135,"")</f>
        <v>0</v>
      </c>
      <c r="AC135" s="9">
        <f>IF('[1]Game Input'!$CJ135&lt;&gt;"",'[1]Game Input'!$CJ135,"")</f>
        <v>0</v>
      </c>
      <c r="AD135" s="9">
        <f>IF('[1]Game Input'!$CK135&lt;&gt;"",'[1]Game Input'!$CK135,"")</f>
        <v>0</v>
      </c>
      <c r="AE135" s="8"/>
      <c r="AF135" s="8"/>
      <c r="AG135" s="8"/>
      <c r="AH135" s="8"/>
    </row>
    <row r="136" spans="1:34" x14ac:dyDescent="0.2">
      <c r="A136" s="6">
        <f>IF('[1]Game Input'!$A136&lt;&gt;"",'[1]Game Input'!$A136,"")</f>
        <v>43421</v>
      </c>
      <c r="B136" s="6" t="str">
        <f>IF(A136&gt;$B$1,VLOOKUP(MONTH($A136),DOTWMonth,2,FALSE),"")</f>
        <v>November</v>
      </c>
      <c r="C136" s="10" t="str">
        <f>IF(A136&gt;$B$1,VLOOKUP(WEEKDAY($A136),DOTWMonth,3,FALSE),"")</f>
        <v>Saturday</v>
      </c>
      <c r="D136" s="7">
        <f>IF('[1]Game Input'!$B136&lt;&gt;"",'[1]Game Input'!$B136,"")</f>
        <v>0.83680555555555547</v>
      </c>
      <c r="E136" s="7">
        <f>IF('[1]Game Input'!$C136&lt;&gt;"",'[1]Game Input'!$C136,"")</f>
        <v>0.79513888888888884</v>
      </c>
      <c r="F136" s="8" t="str">
        <f>IF('[1]Game Input'!$D136&lt;&gt;"",'[1]Game Input'!$D136,"")</f>
        <v>Standard</v>
      </c>
      <c r="G136" s="8" t="str">
        <f>IF('[1]Game Input'!$G136&lt;&gt;"",'[1]Game Input'!$G136,"")</f>
        <v>GB @ MAD</v>
      </c>
      <c r="H136" s="8" t="str">
        <f>IF('[1]Game Input'!$H136&lt;&gt;"",'[1]Game Input'!$H136,"")</f>
        <v>Vs. Conference</v>
      </c>
      <c r="I136" s="8" t="str">
        <f>IF('[1]Game Input'!$I136&lt;&gt;"",'[1]Game Input'!$I136,"")</f>
        <v>GREEN BAY</v>
      </c>
      <c r="J136" s="9">
        <f>IF('[1]Game Input'!$AC136&lt;&gt;"",'[1]Game Input'!$AC136,"")</f>
        <v>4</v>
      </c>
      <c r="K136" s="9">
        <f>IF('[1]Game Input'!$AD136&lt;&gt;"",'[1]Game Input'!$AD136,"")</f>
        <v>2</v>
      </c>
      <c r="L136" s="9">
        <f>IF('[1]Game Input'!$AJ136&lt;&gt;"",'[1]Game Input'!$AJ136,"")</f>
        <v>0</v>
      </c>
      <c r="M136" s="9">
        <f>IF('[1]Game Input'!$AK136&lt;&gt;"",'[1]Game Input'!$AK136,"")</f>
        <v>0</v>
      </c>
      <c r="N136" s="9">
        <f>IF('[1]Game Input'!$AN136&lt;&gt;"",'[1]Game Input'!$AN136,"")</f>
        <v>2</v>
      </c>
      <c r="O136" s="9">
        <f>IF('[1]Game Input'!$AO136&lt;&gt;"",'[1]Game Input'!$AO136,"")</f>
        <v>0</v>
      </c>
      <c r="P136" s="9">
        <f>IF('[1]Game Input'!$AP136&lt;&gt;"",'[1]Game Input'!$AP136,"")</f>
        <v>0</v>
      </c>
      <c r="Q136" s="9">
        <f>IF('[1]Game Input'!$AQ136&lt;&gt;"",'[1]Game Input'!$AQ136,"")</f>
        <v>0</v>
      </c>
      <c r="R136" s="9">
        <f>IF('[1]Game Input'!$AR136&lt;&gt;"",'[1]Game Input'!$AR136,"")</f>
        <v>0</v>
      </c>
      <c r="S136" s="9">
        <f>IF('[1]Game Input'!$AS136&lt;&gt;"",'[1]Game Input'!$AS136,"")</f>
        <v>0</v>
      </c>
      <c r="T136" s="10" t="str">
        <f>IF('[1]Game Input'!$BA136&lt;&gt;"",'[1]Game Input'!$BA136,"")</f>
        <v>MADISON</v>
      </c>
      <c r="U136" s="9">
        <f>IF('[1]Game Input'!$BU136&lt;&gt;"",'[1]Game Input'!$BU136,"")</f>
        <v>4</v>
      </c>
      <c r="V136" s="9">
        <f>IF('[1]Game Input'!$BV136&lt;&gt;"",'[1]Game Input'!$BV136,"")</f>
        <v>2</v>
      </c>
      <c r="W136" s="9">
        <f>IF('[1]Game Input'!$CB136&lt;&gt;"",'[1]Game Input'!$CB136,"")</f>
        <v>0</v>
      </c>
      <c r="X136" s="9">
        <f>IF('[1]Game Input'!$CC136&lt;&gt;"",'[1]Game Input'!$CC136,"")</f>
        <v>0</v>
      </c>
      <c r="Y136" s="9">
        <f>IF('[1]Game Input'!$CF136&lt;&gt;"",'[1]Game Input'!$CF136,"")</f>
        <v>2</v>
      </c>
      <c r="Z136" s="9">
        <f>IF('[1]Game Input'!$CG136&lt;&gt;"",'[1]Game Input'!$CG136,"")</f>
        <v>0</v>
      </c>
      <c r="AA136" s="9">
        <f>IF('[1]Game Input'!$CH136&lt;&gt;"",'[1]Game Input'!$CH136,"")</f>
        <v>0</v>
      </c>
      <c r="AB136" s="9">
        <f>IF('[1]Game Input'!$CI136&lt;&gt;"",'[1]Game Input'!$CI136,"")</f>
        <v>0</v>
      </c>
      <c r="AC136" s="9">
        <f>IF('[1]Game Input'!$CJ136&lt;&gt;"",'[1]Game Input'!$CJ136,"")</f>
        <v>0</v>
      </c>
      <c r="AD136" s="9">
        <f>IF('[1]Game Input'!$CK136&lt;&gt;"",'[1]Game Input'!$CK136,"")</f>
        <v>0</v>
      </c>
      <c r="AE136" s="8"/>
      <c r="AF136" s="8"/>
      <c r="AG136" s="8"/>
      <c r="AH136" s="8"/>
    </row>
    <row r="137" spans="1:34" x14ac:dyDescent="0.2">
      <c r="A137" s="6">
        <f>IF('[1]Game Input'!$A137&lt;&gt;"",'[1]Game Input'!$A137,"")</f>
        <v>43421</v>
      </c>
      <c r="B137" s="6" t="str">
        <f>IF(A137&gt;$B$1,VLOOKUP(MONTH($A137),DOTWMonth,2,FALSE),"")</f>
        <v>November</v>
      </c>
      <c r="C137" s="10" t="str">
        <f>IF(A137&gt;$B$1,VLOOKUP(WEEKDAY($A137),DOTWMonth,3,FALSE),"")</f>
        <v>Saturday</v>
      </c>
      <c r="D137" s="7">
        <f>IF('[1]Game Input'!$B137&lt;&gt;"",'[1]Game Input'!$B137,"")</f>
        <v>0.83680555555555547</v>
      </c>
      <c r="E137" s="7">
        <f>IF('[1]Game Input'!$C137&lt;&gt;"",'[1]Game Input'!$C137,"")</f>
        <v>0.79513888888888884</v>
      </c>
      <c r="F137" s="8" t="str">
        <f>IF('[1]Game Input'!$D137&lt;&gt;"",'[1]Game Input'!$D137,"")</f>
        <v>Standard</v>
      </c>
      <c r="G137" s="8" t="str">
        <f>IF('[1]Game Input'!$G137&lt;&gt;"",'[1]Game Input'!$G137,"")</f>
        <v>LIN @ WAT</v>
      </c>
      <c r="H137" s="8" t="str">
        <f>IF('[1]Game Input'!$H137&lt;&gt;"",'[1]Game Input'!$H137,"")</f>
        <v>Vs. Conference</v>
      </c>
      <c r="I137" s="8" t="str">
        <f>IF('[1]Game Input'!$I137&lt;&gt;"",'[1]Game Input'!$I137,"")</f>
        <v>LINCOLN</v>
      </c>
      <c r="J137" s="9">
        <f>IF('[1]Game Input'!$AC137&lt;&gt;"",'[1]Game Input'!$AC137,"")</f>
        <v>29</v>
      </c>
      <c r="K137" s="9">
        <f>IF('[1]Game Input'!$AD137&lt;&gt;"",'[1]Game Input'!$AD137,"")</f>
        <v>9</v>
      </c>
      <c r="L137" s="9">
        <f>IF('[1]Game Input'!$AJ137&lt;&gt;"",'[1]Game Input'!$AJ137,"")</f>
        <v>0</v>
      </c>
      <c r="M137" s="9">
        <f>IF('[1]Game Input'!$AK137&lt;&gt;"",'[1]Game Input'!$AK137,"")</f>
        <v>0</v>
      </c>
      <c r="N137" s="9">
        <f>IF('[1]Game Input'!$AN137&lt;&gt;"",'[1]Game Input'!$AN137,"")</f>
        <v>7</v>
      </c>
      <c r="O137" s="9">
        <f>IF('[1]Game Input'!$AO137&lt;&gt;"",'[1]Game Input'!$AO137,"")</f>
        <v>1</v>
      </c>
      <c r="P137" s="9">
        <f>IF('[1]Game Input'!$AP137&lt;&gt;"",'[1]Game Input'!$AP137,"")</f>
        <v>1</v>
      </c>
      <c r="Q137" s="9">
        <f>IF('[1]Game Input'!$AQ137&lt;&gt;"",'[1]Game Input'!$AQ137,"")</f>
        <v>0</v>
      </c>
      <c r="R137" s="9">
        <f>IF('[1]Game Input'!$AR137&lt;&gt;"",'[1]Game Input'!$AR137,"")</f>
        <v>0</v>
      </c>
      <c r="S137" s="9">
        <f>IF('[1]Game Input'!$AS137&lt;&gt;"",'[1]Game Input'!$AS137,"")</f>
        <v>0</v>
      </c>
      <c r="T137" s="10" t="str">
        <f>IF('[1]Game Input'!$BA137&lt;&gt;"",'[1]Game Input'!$BA137,"")</f>
        <v>WATERLOO</v>
      </c>
      <c r="U137" s="9">
        <f>IF('[1]Game Input'!$BU137&lt;&gt;"",'[1]Game Input'!$BU137,"")</f>
        <v>20</v>
      </c>
      <c r="V137" s="9">
        <f>IF('[1]Game Input'!$BV137&lt;&gt;"",'[1]Game Input'!$BV137,"")</f>
        <v>10</v>
      </c>
      <c r="W137" s="9">
        <f>IF('[1]Game Input'!$CB137&lt;&gt;"",'[1]Game Input'!$CB137,"")</f>
        <v>0</v>
      </c>
      <c r="X137" s="9">
        <f>IF('[1]Game Input'!$CC137&lt;&gt;"",'[1]Game Input'!$CC137,"")</f>
        <v>0</v>
      </c>
      <c r="Y137" s="9">
        <f>IF('[1]Game Input'!$CF137&lt;&gt;"",'[1]Game Input'!$CF137,"")</f>
        <v>10</v>
      </c>
      <c r="Z137" s="9">
        <f>IF('[1]Game Input'!$CG137&lt;&gt;"",'[1]Game Input'!$CG137,"")</f>
        <v>0</v>
      </c>
      <c r="AA137" s="9">
        <f>IF('[1]Game Input'!$CH137&lt;&gt;"",'[1]Game Input'!$CH137,"")</f>
        <v>0</v>
      </c>
      <c r="AB137" s="9">
        <f>IF('[1]Game Input'!$CI137&lt;&gt;"",'[1]Game Input'!$CI137,"")</f>
        <v>0</v>
      </c>
      <c r="AC137" s="9">
        <f>IF('[1]Game Input'!$CJ137&lt;&gt;"",'[1]Game Input'!$CJ137,"")</f>
        <v>0</v>
      </c>
      <c r="AD137" s="9">
        <f>IF('[1]Game Input'!$CK137&lt;&gt;"",'[1]Game Input'!$CK137,"")</f>
        <v>0</v>
      </c>
      <c r="AE137" s="8"/>
      <c r="AF137" s="8"/>
      <c r="AG137" s="8"/>
      <c r="AH137" s="8"/>
    </row>
    <row r="138" spans="1:34" x14ac:dyDescent="0.2">
      <c r="A138" s="6">
        <f>IF('[1]Game Input'!$A138&lt;&gt;"",'[1]Game Input'!$A138,"")</f>
        <v>43421</v>
      </c>
      <c r="B138" s="6" t="str">
        <f>IF(A138&gt;$B$1,VLOOKUP(MONTH($A138),DOTWMonth,2,FALSE),"")</f>
        <v>November</v>
      </c>
      <c r="C138" s="10" t="str">
        <f>IF(A138&gt;$B$1,VLOOKUP(WEEKDAY($A138),DOTWMonth,3,FALSE),"")</f>
        <v>Saturday</v>
      </c>
      <c r="D138" s="7">
        <f>IF('[1]Game Input'!$B138&lt;&gt;"",'[1]Game Input'!$B138,"")</f>
        <v>0.83819444444444446</v>
      </c>
      <c r="E138" s="7">
        <f>IF('[1]Game Input'!$C138&lt;&gt;"",'[1]Game Input'!$C138,"")</f>
        <v>0.79652777777777783</v>
      </c>
      <c r="F138" s="8" t="str">
        <f>IF('[1]Game Input'!$D138&lt;&gt;"",'[1]Game Input'!$D138,"")</f>
        <v>Standard</v>
      </c>
      <c r="G138" s="8" t="str">
        <f>IF('[1]Game Input'!$G138&lt;&gt;"",'[1]Game Input'!$G138,"")</f>
        <v>YNG @ CIL</v>
      </c>
      <c r="H138" s="8" t="str">
        <f>IF('[1]Game Input'!$H138&lt;&gt;"",'[1]Game Input'!$H138,"")</f>
        <v>Vs. Conference</v>
      </c>
      <c r="I138" s="8" t="str">
        <f>IF('[1]Game Input'!$I138&lt;&gt;"",'[1]Game Input'!$I138,"")</f>
        <v>YOUNGSTOWN</v>
      </c>
      <c r="J138" s="9">
        <f>IF('[1]Game Input'!$AC138&lt;&gt;"",'[1]Game Input'!$AC138,"")</f>
        <v>22</v>
      </c>
      <c r="K138" s="9">
        <f>IF('[1]Game Input'!$AD138&lt;&gt;"",'[1]Game Input'!$AD138,"")</f>
        <v>7</v>
      </c>
      <c r="L138" s="9">
        <f>IF('[1]Game Input'!$AJ138&lt;&gt;"",'[1]Game Input'!$AJ138,"")</f>
        <v>0</v>
      </c>
      <c r="M138" s="9">
        <f>IF('[1]Game Input'!$AK138&lt;&gt;"",'[1]Game Input'!$AK138,"")</f>
        <v>0</v>
      </c>
      <c r="N138" s="9">
        <f>IF('[1]Game Input'!$AN138&lt;&gt;"",'[1]Game Input'!$AN138,"")</f>
        <v>6</v>
      </c>
      <c r="O138" s="9">
        <f>IF('[1]Game Input'!$AO138&lt;&gt;"",'[1]Game Input'!$AO138,"")</f>
        <v>0</v>
      </c>
      <c r="P138" s="9">
        <f>IF('[1]Game Input'!$AP138&lt;&gt;"",'[1]Game Input'!$AP138,"")</f>
        <v>1</v>
      </c>
      <c r="Q138" s="9">
        <f>IF('[1]Game Input'!$AQ138&lt;&gt;"",'[1]Game Input'!$AQ138,"")</f>
        <v>0</v>
      </c>
      <c r="R138" s="9">
        <f>IF('[1]Game Input'!$AR138&lt;&gt;"",'[1]Game Input'!$AR138,"")</f>
        <v>0</v>
      </c>
      <c r="S138" s="9">
        <f>IF('[1]Game Input'!$AS138&lt;&gt;"",'[1]Game Input'!$AS138,"")</f>
        <v>0</v>
      </c>
      <c r="T138" s="10" t="str">
        <f>IF('[1]Game Input'!$BA138&lt;&gt;"",'[1]Game Input'!$BA138,"")</f>
        <v>CENTRAL ILLINOIS</v>
      </c>
      <c r="U138" s="9">
        <f>IF('[1]Game Input'!$BU138&lt;&gt;"",'[1]Game Input'!$BU138,"")</f>
        <v>32</v>
      </c>
      <c r="V138" s="9">
        <f>IF('[1]Game Input'!$BV138&lt;&gt;"",'[1]Game Input'!$BV138,"")</f>
        <v>8</v>
      </c>
      <c r="W138" s="9">
        <f>IF('[1]Game Input'!$CB138&lt;&gt;"",'[1]Game Input'!$CB138,"")</f>
        <v>0</v>
      </c>
      <c r="X138" s="9">
        <f>IF('[1]Game Input'!$CC138&lt;&gt;"",'[1]Game Input'!$CC138,"")</f>
        <v>0</v>
      </c>
      <c r="Y138" s="9">
        <f>IF('[1]Game Input'!$CF138&lt;&gt;"",'[1]Game Input'!$CF138,"")</f>
        <v>6</v>
      </c>
      <c r="Z138" s="9">
        <f>IF('[1]Game Input'!$CG138&lt;&gt;"",'[1]Game Input'!$CG138,"")</f>
        <v>0</v>
      </c>
      <c r="AA138" s="9">
        <f>IF('[1]Game Input'!$CH138&lt;&gt;"",'[1]Game Input'!$CH138,"")</f>
        <v>1</v>
      </c>
      <c r="AB138" s="9">
        <f>IF('[1]Game Input'!$CI138&lt;&gt;"",'[1]Game Input'!$CI138,"")</f>
        <v>1</v>
      </c>
      <c r="AC138" s="9">
        <f>IF('[1]Game Input'!$CJ138&lt;&gt;"",'[1]Game Input'!$CJ138,"")</f>
        <v>0</v>
      </c>
      <c r="AD138" s="9">
        <f>IF('[1]Game Input'!$CK138&lt;&gt;"",'[1]Game Input'!$CK138,"")</f>
        <v>0</v>
      </c>
      <c r="AE138" s="8" t="s">
        <v>102</v>
      </c>
      <c r="AF138" s="8"/>
      <c r="AG138" s="8" t="s">
        <v>117</v>
      </c>
      <c r="AH138" s="8" t="s">
        <v>116</v>
      </c>
    </row>
    <row r="139" spans="1:34" x14ac:dyDescent="0.2">
      <c r="A139" s="6">
        <f>IF('[1]Game Input'!$A139&lt;&gt;"",'[1]Game Input'!$A139,"")</f>
        <v>43422</v>
      </c>
      <c r="B139" s="6" t="str">
        <f>IF(A139&gt;$B$1,VLOOKUP(MONTH($A139),DOTWMonth,2,FALSE),"")</f>
        <v>November</v>
      </c>
      <c r="C139" s="10" t="str">
        <f>IF(A139&gt;$B$1,VLOOKUP(WEEKDAY($A139),DOTWMonth,3,FALSE),"")</f>
        <v>Sunday</v>
      </c>
      <c r="D139" s="7">
        <f>IF('[1]Game Input'!$B139&lt;&gt;"",'[1]Game Input'!$B139,"")</f>
        <v>0.71180555555555547</v>
      </c>
      <c r="E139" s="7">
        <f>IF('[1]Game Input'!$C139&lt;&gt;"",'[1]Game Input'!$C139,"")</f>
        <v>0.67013888888888884</v>
      </c>
      <c r="F139" s="8" t="str">
        <f>IF('[1]Game Input'!$D139&lt;&gt;"",'[1]Game Input'!$D139,"")</f>
        <v>Standard</v>
      </c>
      <c r="G139" s="8" t="str">
        <f>IF('[1]Game Input'!$G139&lt;&gt;"",'[1]Game Input'!$G139,"")</f>
        <v>SF @ OMA</v>
      </c>
      <c r="H139" s="8" t="str">
        <f>IF('[1]Game Input'!$H139&lt;&gt;"",'[1]Game Input'!$H139,"")</f>
        <v>Vs. Conference</v>
      </c>
      <c r="I139" s="8" t="str">
        <f>IF('[1]Game Input'!$I139&lt;&gt;"",'[1]Game Input'!$I139,"")</f>
        <v>SIOUX FALLS</v>
      </c>
      <c r="J139" s="9">
        <f>IF('[1]Game Input'!$AC139&lt;&gt;"",'[1]Game Input'!$AC139,"")</f>
        <v>4</v>
      </c>
      <c r="K139" s="9">
        <f>IF('[1]Game Input'!$AD139&lt;&gt;"",'[1]Game Input'!$AD139,"")</f>
        <v>2</v>
      </c>
      <c r="L139" s="9">
        <f>IF('[1]Game Input'!$AJ139&lt;&gt;"",'[1]Game Input'!$AJ139,"")</f>
        <v>0</v>
      </c>
      <c r="M139" s="9">
        <f>IF('[1]Game Input'!$AK139&lt;&gt;"",'[1]Game Input'!$AK139,"")</f>
        <v>0</v>
      </c>
      <c r="N139" s="9">
        <f>IF('[1]Game Input'!$AN139&lt;&gt;"",'[1]Game Input'!$AN139,"")</f>
        <v>2</v>
      </c>
      <c r="O139" s="9">
        <f>IF('[1]Game Input'!$AO139&lt;&gt;"",'[1]Game Input'!$AO139,"")</f>
        <v>0</v>
      </c>
      <c r="P139" s="9">
        <f>IF('[1]Game Input'!$AP139&lt;&gt;"",'[1]Game Input'!$AP139,"")</f>
        <v>0</v>
      </c>
      <c r="Q139" s="9">
        <f>IF('[1]Game Input'!$AQ139&lt;&gt;"",'[1]Game Input'!$AQ139,"")</f>
        <v>0</v>
      </c>
      <c r="R139" s="9">
        <f>IF('[1]Game Input'!$AR139&lt;&gt;"",'[1]Game Input'!$AR139,"")</f>
        <v>0</v>
      </c>
      <c r="S139" s="9">
        <f>IF('[1]Game Input'!$AS139&lt;&gt;"",'[1]Game Input'!$AS139,"")</f>
        <v>0</v>
      </c>
      <c r="T139" s="10" t="str">
        <f>IF('[1]Game Input'!$BA139&lt;&gt;"",'[1]Game Input'!$BA139,"")</f>
        <v>OMAHA</v>
      </c>
      <c r="U139" s="9">
        <f>IF('[1]Game Input'!$BU139&lt;&gt;"",'[1]Game Input'!$BU139,"")</f>
        <v>8</v>
      </c>
      <c r="V139" s="9">
        <f>IF('[1]Game Input'!$BV139&lt;&gt;"",'[1]Game Input'!$BV139,"")</f>
        <v>4</v>
      </c>
      <c r="W139" s="9">
        <f>IF('[1]Game Input'!$CB139&lt;&gt;"",'[1]Game Input'!$CB139,"")</f>
        <v>0</v>
      </c>
      <c r="X139" s="9">
        <f>IF('[1]Game Input'!$CC139&lt;&gt;"",'[1]Game Input'!$CC139,"")</f>
        <v>0</v>
      </c>
      <c r="Y139" s="9">
        <f>IF('[1]Game Input'!$CF139&lt;&gt;"",'[1]Game Input'!$CF139,"")</f>
        <v>4</v>
      </c>
      <c r="Z139" s="9">
        <f>IF('[1]Game Input'!$CG139&lt;&gt;"",'[1]Game Input'!$CG139,"")</f>
        <v>0</v>
      </c>
      <c r="AA139" s="9">
        <f>IF('[1]Game Input'!$CH139&lt;&gt;"",'[1]Game Input'!$CH139,"")</f>
        <v>0</v>
      </c>
      <c r="AB139" s="9">
        <f>IF('[1]Game Input'!$CI139&lt;&gt;"",'[1]Game Input'!$CI139,"")</f>
        <v>0</v>
      </c>
      <c r="AC139" s="9">
        <f>IF('[1]Game Input'!$CJ139&lt;&gt;"",'[1]Game Input'!$CJ139,"")</f>
        <v>0</v>
      </c>
      <c r="AD139" s="9">
        <f>IF('[1]Game Input'!$CK139&lt;&gt;"",'[1]Game Input'!$CK139,"")</f>
        <v>0</v>
      </c>
      <c r="AE139" s="8"/>
      <c r="AF139" s="8"/>
      <c r="AG139" s="8"/>
      <c r="AH139" s="8"/>
    </row>
    <row r="140" spans="1:34" x14ac:dyDescent="0.2">
      <c r="A140" s="6">
        <f>IF('[1]Game Input'!$A140&lt;&gt;"",'[1]Game Input'!$A140,"")</f>
        <v>43425</v>
      </c>
      <c r="B140" s="6" t="str">
        <f>IF(A140&gt;$B$1,VLOOKUP(MONTH($A140),DOTWMonth,2,FALSE),"")</f>
        <v>November</v>
      </c>
      <c r="C140" s="10" t="str">
        <f>IF(A140&gt;$B$1,VLOOKUP(WEEKDAY($A140),DOTWMonth,3,FALSE),"")</f>
        <v>Wednesday</v>
      </c>
      <c r="D140" s="7">
        <f>IF('[1]Game Input'!$B140&lt;&gt;"",'[1]Game Input'!$B140,"")</f>
        <v>0.79513888888888884</v>
      </c>
      <c r="E140" s="7">
        <f>IF('[1]Game Input'!$C140&lt;&gt;"",'[1]Game Input'!$C140,"")</f>
        <v>0.75347222222222221</v>
      </c>
      <c r="F140" s="8" t="str">
        <f>IF('[1]Game Input'!$D140&lt;&gt;"",'[1]Game Input'!$D140,"")</f>
        <v>Standard</v>
      </c>
      <c r="G140" s="8" t="str">
        <f>IF('[1]Game Input'!$G140&lt;&gt;"",'[1]Game Input'!$G140,"")</f>
        <v>CIL @ GB</v>
      </c>
      <c r="H140" s="8" t="str">
        <f>IF('[1]Game Input'!$H140&lt;&gt;"",'[1]Game Input'!$H140,"")</f>
        <v>Vs. Conference</v>
      </c>
      <c r="I140" s="8" t="str">
        <f>IF('[1]Game Input'!$I140&lt;&gt;"",'[1]Game Input'!$I140,"")</f>
        <v>CENTRAL ILLINOIS</v>
      </c>
      <c r="J140" s="9">
        <f>IF('[1]Game Input'!$AC140&lt;&gt;"",'[1]Game Input'!$AC140,"")</f>
        <v>38</v>
      </c>
      <c r="K140" s="9">
        <f>IF('[1]Game Input'!$AD140&lt;&gt;"",'[1]Game Input'!$AD140,"")</f>
        <v>8</v>
      </c>
      <c r="L140" s="9">
        <f>IF('[1]Game Input'!$AJ140&lt;&gt;"",'[1]Game Input'!$AJ140,"")</f>
        <v>0</v>
      </c>
      <c r="M140" s="9">
        <f>IF('[1]Game Input'!$AK140&lt;&gt;"",'[1]Game Input'!$AK140,"")</f>
        <v>0</v>
      </c>
      <c r="N140" s="9">
        <f>IF('[1]Game Input'!$AN140&lt;&gt;"",'[1]Game Input'!$AN140,"")</f>
        <v>4</v>
      </c>
      <c r="O140" s="9">
        <f>IF('[1]Game Input'!$AO140&lt;&gt;"",'[1]Game Input'!$AO140,"")</f>
        <v>2</v>
      </c>
      <c r="P140" s="9">
        <f>IF('[1]Game Input'!$AP140&lt;&gt;"",'[1]Game Input'!$AP140,"")</f>
        <v>1</v>
      </c>
      <c r="Q140" s="9">
        <f>IF('[1]Game Input'!$AQ140&lt;&gt;"",'[1]Game Input'!$AQ140,"")</f>
        <v>1</v>
      </c>
      <c r="R140" s="9">
        <f>IF('[1]Game Input'!$AR140&lt;&gt;"",'[1]Game Input'!$AR140,"")</f>
        <v>0</v>
      </c>
      <c r="S140" s="9">
        <f>IF('[1]Game Input'!$AS140&lt;&gt;"",'[1]Game Input'!$AS140,"")</f>
        <v>0</v>
      </c>
      <c r="T140" s="10" t="str">
        <f>IF('[1]Game Input'!$BA140&lt;&gt;"",'[1]Game Input'!$BA140,"")</f>
        <v>GREEN BAY</v>
      </c>
      <c r="U140" s="9">
        <f>IF('[1]Game Input'!$BU140&lt;&gt;"",'[1]Game Input'!$BU140,"")</f>
        <v>25</v>
      </c>
      <c r="V140" s="9">
        <f>IF('[1]Game Input'!$BV140&lt;&gt;"",'[1]Game Input'!$BV140,"")</f>
        <v>7</v>
      </c>
      <c r="W140" s="9">
        <f>IF('[1]Game Input'!$CB140&lt;&gt;"",'[1]Game Input'!$CB140,"")</f>
        <v>0</v>
      </c>
      <c r="X140" s="9">
        <f>IF('[1]Game Input'!$CC140&lt;&gt;"",'[1]Game Input'!$CC140,"")</f>
        <v>0</v>
      </c>
      <c r="Y140" s="9">
        <f>IF('[1]Game Input'!$CF140&lt;&gt;"",'[1]Game Input'!$CF140,"")</f>
        <v>5</v>
      </c>
      <c r="Z140" s="9">
        <f>IF('[1]Game Input'!$CG140&lt;&gt;"",'[1]Game Input'!$CG140,"")</f>
        <v>1</v>
      </c>
      <c r="AA140" s="9">
        <f>IF('[1]Game Input'!$CH140&lt;&gt;"",'[1]Game Input'!$CH140,"")</f>
        <v>1</v>
      </c>
      <c r="AB140" s="9">
        <f>IF('[1]Game Input'!$CI140&lt;&gt;"",'[1]Game Input'!$CI140,"")</f>
        <v>0</v>
      </c>
      <c r="AC140" s="9">
        <f>IF('[1]Game Input'!$CJ140&lt;&gt;"",'[1]Game Input'!$CJ140,"")</f>
        <v>0</v>
      </c>
      <c r="AD140" s="9">
        <f>IF('[1]Game Input'!$CK140&lt;&gt;"",'[1]Game Input'!$CK140,"")</f>
        <v>0</v>
      </c>
      <c r="AE140" s="8" t="s">
        <v>103</v>
      </c>
      <c r="AF140" s="8" t="s">
        <v>93</v>
      </c>
      <c r="AG140" s="8" t="s">
        <v>122</v>
      </c>
      <c r="AH140" s="8" t="s">
        <v>113</v>
      </c>
    </row>
    <row r="141" spans="1:34" x14ac:dyDescent="0.2">
      <c r="A141" s="6">
        <f>IF('[1]Game Input'!$A141&lt;&gt;"",'[1]Game Input'!$A141,"")</f>
        <v>43425</v>
      </c>
      <c r="B141" s="6" t="str">
        <f>IF(A141&gt;$B$1,VLOOKUP(MONTH($A141),DOTWMonth,2,FALSE),"")</f>
        <v>November</v>
      </c>
      <c r="C141" s="10" t="str">
        <f>IF(A141&gt;$B$1,VLOOKUP(WEEKDAY($A141),DOTWMonth,3,FALSE),"")</f>
        <v>Wednesday</v>
      </c>
      <c r="D141" s="7">
        <f>IF('[1]Game Input'!$B141&lt;&gt;"",'[1]Game Input'!$B141,"")</f>
        <v>0.80208333333333337</v>
      </c>
      <c r="E141" s="7">
        <f>IF('[1]Game Input'!$C141&lt;&gt;"",'[1]Game Input'!$C141,"")</f>
        <v>0.76041666666666674</v>
      </c>
      <c r="F141" s="8" t="str">
        <f>IF('[1]Game Input'!$D141&lt;&gt;"",'[1]Game Input'!$D141,"")</f>
        <v>Standard</v>
      </c>
      <c r="G141" s="8" t="str">
        <f>IF('[1]Game Input'!$G141&lt;&gt;"",'[1]Game Input'!$G141,"")</f>
        <v>USA @ MUS</v>
      </c>
      <c r="H141" s="8" t="str">
        <f>IF('[1]Game Input'!$H141&lt;&gt;"",'[1]Game Input'!$H141,"")</f>
        <v>Vs. Conference</v>
      </c>
      <c r="I141" s="8" t="str">
        <f>IF('[1]Game Input'!$I141&lt;&gt;"",'[1]Game Input'!$I141,"")</f>
        <v>TEAM USA</v>
      </c>
      <c r="J141" s="9">
        <f>IF('[1]Game Input'!$AC141&lt;&gt;"",'[1]Game Input'!$AC141,"")</f>
        <v>12</v>
      </c>
      <c r="K141" s="9">
        <f>IF('[1]Game Input'!$AD141&lt;&gt;"",'[1]Game Input'!$AD141,"")</f>
        <v>6</v>
      </c>
      <c r="L141" s="9">
        <f>IF('[1]Game Input'!$AJ141&lt;&gt;"",'[1]Game Input'!$AJ141,"")</f>
        <v>0</v>
      </c>
      <c r="M141" s="9">
        <f>IF('[1]Game Input'!$AK141&lt;&gt;"",'[1]Game Input'!$AK141,"")</f>
        <v>0</v>
      </c>
      <c r="N141" s="9">
        <f>IF('[1]Game Input'!$AN141&lt;&gt;"",'[1]Game Input'!$AN141,"")</f>
        <v>6</v>
      </c>
      <c r="O141" s="9">
        <f>IF('[1]Game Input'!$AO141&lt;&gt;"",'[1]Game Input'!$AO141,"")</f>
        <v>0</v>
      </c>
      <c r="P141" s="9">
        <f>IF('[1]Game Input'!$AP141&lt;&gt;"",'[1]Game Input'!$AP141,"")</f>
        <v>0</v>
      </c>
      <c r="Q141" s="9">
        <f>IF('[1]Game Input'!$AQ141&lt;&gt;"",'[1]Game Input'!$AQ141,"")</f>
        <v>0</v>
      </c>
      <c r="R141" s="9">
        <f>IF('[1]Game Input'!$AR141&lt;&gt;"",'[1]Game Input'!$AR141,"")</f>
        <v>0</v>
      </c>
      <c r="S141" s="9">
        <f>IF('[1]Game Input'!$AS141&lt;&gt;"",'[1]Game Input'!$AS141,"")</f>
        <v>0</v>
      </c>
      <c r="T141" s="10" t="str">
        <f>IF('[1]Game Input'!$BA141&lt;&gt;"",'[1]Game Input'!$BA141,"")</f>
        <v>MUSKEGON</v>
      </c>
      <c r="U141" s="9">
        <f>IF('[1]Game Input'!$BU141&lt;&gt;"",'[1]Game Input'!$BU141,"")</f>
        <v>12</v>
      </c>
      <c r="V141" s="9">
        <f>IF('[1]Game Input'!$BV141&lt;&gt;"",'[1]Game Input'!$BV141,"")</f>
        <v>6</v>
      </c>
      <c r="W141" s="9">
        <f>IF('[1]Game Input'!$CB141&lt;&gt;"",'[1]Game Input'!$CB141,"")</f>
        <v>0</v>
      </c>
      <c r="X141" s="9">
        <f>IF('[1]Game Input'!$CC141&lt;&gt;"",'[1]Game Input'!$CC141,"")</f>
        <v>0</v>
      </c>
      <c r="Y141" s="9">
        <f>IF('[1]Game Input'!$CF141&lt;&gt;"",'[1]Game Input'!$CF141,"")</f>
        <v>6</v>
      </c>
      <c r="Z141" s="9">
        <f>IF('[1]Game Input'!$CG141&lt;&gt;"",'[1]Game Input'!$CG141,"")</f>
        <v>0</v>
      </c>
      <c r="AA141" s="9">
        <f>IF('[1]Game Input'!$CH141&lt;&gt;"",'[1]Game Input'!$CH141,"")</f>
        <v>0</v>
      </c>
      <c r="AB141" s="9">
        <f>IF('[1]Game Input'!$CI141&lt;&gt;"",'[1]Game Input'!$CI141,"")</f>
        <v>0</v>
      </c>
      <c r="AC141" s="9">
        <f>IF('[1]Game Input'!$CJ141&lt;&gt;"",'[1]Game Input'!$CJ141,"")</f>
        <v>0</v>
      </c>
      <c r="AD141" s="9">
        <f>IF('[1]Game Input'!$CK141&lt;&gt;"",'[1]Game Input'!$CK141,"")</f>
        <v>0</v>
      </c>
      <c r="AE141" s="8"/>
      <c r="AF141" s="8"/>
      <c r="AG141" s="8"/>
      <c r="AH141" s="8"/>
    </row>
    <row r="142" spans="1:34" x14ac:dyDescent="0.2">
      <c r="A142" s="6">
        <f>IF('[1]Game Input'!$A142&lt;&gt;"",'[1]Game Input'!$A142,"")</f>
        <v>43425</v>
      </c>
      <c r="B142" s="6" t="str">
        <f>IF(A142&gt;$B$1,VLOOKUP(MONTH($A142),DOTWMonth,2,FALSE),"")</f>
        <v>November</v>
      </c>
      <c r="C142" s="10" t="str">
        <f>IF(A142&gt;$B$1,VLOOKUP(WEEKDAY($A142),DOTWMonth,3,FALSE),"")</f>
        <v>Wednesday</v>
      </c>
      <c r="D142" s="7">
        <f>IF('[1]Game Input'!$B142&lt;&gt;"",'[1]Game Input'!$B142,"")</f>
        <v>0.8159722222222221</v>
      </c>
      <c r="E142" s="7">
        <f>IF('[1]Game Input'!$C142&lt;&gt;"",'[1]Game Input'!$C142,"")</f>
        <v>0.77430555555555547</v>
      </c>
      <c r="F142" s="8" t="str">
        <f>IF('[1]Game Input'!$D142&lt;&gt;"",'[1]Game Input'!$D142,"")</f>
        <v>Standard</v>
      </c>
      <c r="G142" s="8" t="str">
        <f>IF('[1]Game Input'!$G142&lt;&gt;"",'[1]Game Input'!$G142,"")</f>
        <v>WAT @ SC</v>
      </c>
      <c r="H142" s="8" t="str">
        <f>IF('[1]Game Input'!$H142&lt;&gt;"",'[1]Game Input'!$H142,"")</f>
        <v>Vs. Conference</v>
      </c>
      <c r="I142" s="8" t="str">
        <f>IF('[1]Game Input'!$I142&lt;&gt;"",'[1]Game Input'!$I142,"")</f>
        <v>WATERLOO</v>
      </c>
      <c r="J142" s="9">
        <f>IF('[1]Game Input'!$AC142&lt;&gt;"",'[1]Game Input'!$AC142,"")</f>
        <v>10</v>
      </c>
      <c r="K142" s="9">
        <f>IF('[1]Game Input'!$AD142&lt;&gt;"",'[1]Game Input'!$AD142,"")</f>
        <v>5</v>
      </c>
      <c r="L142" s="9">
        <f>IF('[1]Game Input'!$AJ142&lt;&gt;"",'[1]Game Input'!$AJ142,"")</f>
        <v>0</v>
      </c>
      <c r="M142" s="9">
        <f>IF('[1]Game Input'!$AK142&lt;&gt;"",'[1]Game Input'!$AK142,"")</f>
        <v>0</v>
      </c>
      <c r="N142" s="9">
        <f>IF('[1]Game Input'!$AN142&lt;&gt;"",'[1]Game Input'!$AN142,"")</f>
        <v>5</v>
      </c>
      <c r="O142" s="9">
        <f>IF('[1]Game Input'!$AO142&lt;&gt;"",'[1]Game Input'!$AO142,"")</f>
        <v>0</v>
      </c>
      <c r="P142" s="9">
        <f>IF('[1]Game Input'!$AP142&lt;&gt;"",'[1]Game Input'!$AP142,"")</f>
        <v>0</v>
      </c>
      <c r="Q142" s="9">
        <f>IF('[1]Game Input'!$AQ142&lt;&gt;"",'[1]Game Input'!$AQ142,"")</f>
        <v>0</v>
      </c>
      <c r="R142" s="9">
        <f>IF('[1]Game Input'!$AR142&lt;&gt;"",'[1]Game Input'!$AR142,"")</f>
        <v>0</v>
      </c>
      <c r="S142" s="9">
        <f>IF('[1]Game Input'!$AS142&lt;&gt;"",'[1]Game Input'!$AS142,"")</f>
        <v>0</v>
      </c>
      <c r="T142" s="10" t="str">
        <f>IF('[1]Game Input'!$BA142&lt;&gt;"",'[1]Game Input'!$BA142,"")</f>
        <v>SIOUX CITY</v>
      </c>
      <c r="U142" s="9">
        <f>IF('[1]Game Input'!$BU142&lt;&gt;"",'[1]Game Input'!$BU142,"")</f>
        <v>6</v>
      </c>
      <c r="V142" s="9">
        <f>IF('[1]Game Input'!$BV142&lt;&gt;"",'[1]Game Input'!$BV142,"")</f>
        <v>3</v>
      </c>
      <c r="W142" s="9">
        <f>IF('[1]Game Input'!$CB142&lt;&gt;"",'[1]Game Input'!$CB142,"")</f>
        <v>0</v>
      </c>
      <c r="X142" s="9">
        <f>IF('[1]Game Input'!$CC142&lt;&gt;"",'[1]Game Input'!$CC142,"")</f>
        <v>0</v>
      </c>
      <c r="Y142" s="9">
        <f>IF('[1]Game Input'!$CF142&lt;&gt;"",'[1]Game Input'!$CF142,"")</f>
        <v>3</v>
      </c>
      <c r="Z142" s="9">
        <f>IF('[1]Game Input'!$CG142&lt;&gt;"",'[1]Game Input'!$CG142,"")</f>
        <v>0</v>
      </c>
      <c r="AA142" s="9">
        <f>IF('[1]Game Input'!$CH142&lt;&gt;"",'[1]Game Input'!$CH142,"")</f>
        <v>0</v>
      </c>
      <c r="AB142" s="9">
        <f>IF('[1]Game Input'!$CI142&lt;&gt;"",'[1]Game Input'!$CI142,"")</f>
        <v>0</v>
      </c>
      <c r="AC142" s="9">
        <f>IF('[1]Game Input'!$CJ142&lt;&gt;"",'[1]Game Input'!$CJ142,"")</f>
        <v>0</v>
      </c>
      <c r="AD142" s="9">
        <f>IF('[1]Game Input'!$CK142&lt;&gt;"",'[1]Game Input'!$CK142,"")</f>
        <v>0</v>
      </c>
      <c r="AE142" s="8"/>
      <c r="AF142" s="8"/>
      <c r="AG142" s="8"/>
      <c r="AH142" s="8"/>
    </row>
    <row r="143" spans="1:34" x14ac:dyDescent="0.2">
      <c r="A143" s="6">
        <f>IF('[1]Game Input'!$A143&lt;&gt;"",'[1]Game Input'!$A143,"")</f>
        <v>43425</v>
      </c>
      <c r="B143" s="6" t="str">
        <f>IF(A143&gt;$B$1,VLOOKUP(MONTH($A143),DOTWMonth,2,FALSE),"")</f>
        <v>November</v>
      </c>
      <c r="C143" s="10" t="str">
        <f>IF(A143&gt;$B$1,VLOOKUP(WEEKDAY($A143),DOTWMonth,3,FALSE),"")</f>
        <v>Wednesday</v>
      </c>
      <c r="D143" s="7">
        <f>IF('[1]Game Input'!$B143&lt;&gt;"",'[1]Game Input'!$B143,"")</f>
        <v>0.83680555555555547</v>
      </c>
      <c r="E143" s="7">
        <f>IF('[1]Game Input'!$C143&lt;&gt;"",'[1]Game Input'!$C143,"")</f>
        <v>0.79513888888888884</v>
      </c>
      <c r="F143" s="8" t="str">
        <f>IF('[1]Game Input'!$D143&lt;&gt;"",'[1]Game Input'!$D143,"")</f>
        <v>Standard</v>
      </c>
      <c r="G143" s="8" t="str">
        <f>IF('[1]Game Input'!$G143&lt;&gt;"",'[1]Game Input'!$G143,"")</f>
        <v>MAD @ DUB</v>
      </c>
      <c r="H143" s="8" t="str">
        <f>IF('[1]Game Input'!$H143&lt;&gt;"",'[1]Game Input'!$H143,"")</f>
        <v>Vs. Conference</v>
      </c>
      <c r="I143" s="8" t="str">
        <f>IF('[1]Game Input'!$I143&lt;&gt;"",'[1]Game Input'!$I143,"")</f>
        <v>MADISON</v>
      </c>
      <c r="J143" s="9">
        <f>IF('[1]Game Input'!$AC143&lt;&gt;"",'[1]Game Input'!$AC143,"")</f>
        <v>20</v>
      </c>
      <c r="K143" s="9">
        <f>IF('[1]Game Input'!$AD143&lt;&gt;"",'[1]Game Input'!$AD143,"")</f>
        <v>6</v>
      </c>
      <c r="L143" s="9">
        <f>IF('[1]Game Input'!$AJ143&lt;&gt;"",'[1]Game Input'!$AJ143,"")</f>
        <v>0</v>
      </c>
      <c r="M143" s="9">
        <f>IF('[1]Game Input'!$AK143&lt;&gt;"",'[1]Game Input'!$AK143,"")</f>
        <v>0</v>
      </c>
      <c r="N143" s="9">
        <f>IF('[1]Game Input'!$AN143&lt;&gt;"",'[1]Game Input'!$AN143,"")</f>
        <v>5</v>
      </c>
      <c r="O143" s="9">
        <f>IF('[1]Game Input'!$AO143&lt;&gt;"",'[1]Game Input'!$AO143,"")</f>
        <v>0</v>
      </c>
      <c r="P143" s="9">
        <f>IF('[1]Game Input'!$AP143&lt;&gt;"",'[1]Game Input'!$AP143,"")</f>
        <v>1</v>
      </c>
      <c r="Q143" s="9">
        <f>IF('[1]Game Input'!$AQ143&lt;&gt;"",'[1]Game Input'!$AQ143,"")</f>
        <v>0</v>
      </c>
      <c r="R143" s="9">
        <f>IF('[1]Game Input'!$AR143&lt;&gt;"",'[1]Game Input'!$AR143,"")</f>
        <v>0</v>
      </c>
      <c r="S143" s="9">
        <f>IF('[1]Game Input'!$AS143&lt;&gt;"",'[1]Game Input'!$AS143,"")</f>
        <v>0</v>
      </c>
      <c r="T143" s="10" t="str">
        <f>IF('[1]Game Input'!$BA143&lt;&gt;"",'[1]Game Input'!$BA143,"")</f>
        <v>DUBUQUE</v>
      </c>
      <c r="U143" s="9">
        <f>IF('[1]Game Input'!$BU143&lt;&gt;"",'[1]Game Input'!$BU143,"")</f>
        <v>20</v>
      </c>
      <c r="V143" s="9">
        <f>IF('[1]Game Input'!$BV143&lt;&gt;"",'[1]Game Input'!$BV143,"")</f>
        <v>6</v>
      </c>
      <c r="W143" s="9">
        <f>IF('[1]Game Input'!$CB143&lt;&gt;"",'[1]Game Input'!$CB143,"")</f>
        <v>0</v>
      </c>
      <c r="X143" s="9">
        <f>IF('[1]Game Input'!$CC143&lt;&gt;"",'[1]Game Input'!$CC143,"")</f>
        <v>0</v>
      </c>
      <c r="Y143" s="9">
        <f>IF('[1]Game Input'!$CF143&lt;&gt;"",'[1]Game Input'!$CF143,"")</f>
        <v>5</v>
      </c>
      <c r="Z143" s="9">
        <f>IF('[1]Game Input'!$CG143&lt;&gt;"",'[1]Game Input'!$CG143,"")</f>
        <v>0</v>
      </c>
      <c r="AA143" s="9">
        <f>IF('[1]Game Input'!$CH143&lt;&gt;"",'[1]Game Input'!$CH143,"")</f>
        <v>1</v>
      </c>
      <c r="AB143" s="9">
        <f>IF('[1]Game Input'!$CI143&lt;&gt;"",'[1]Game Input'!$CI143,"")</f>
        <v>0</v>
      </c>
      <c r="AC143" s="9">
        <f>IF('[1]Game Input'!$CJ143&lt;&gt;"",'[1]Game Input'!$CJ143,"")</f>
        <v>0</v>
      </c>
      <c r="AD143" s="9">
        <f>IF('[1]Game Input'!$CK143&lt;&gt;"",'[1]Game Input'!$CK143,"")</f>
        <v>0</v>
      </c>
      <c r="AE143" s="8"/>
      <c r="AF143" s="8"/>
      <c r="AG143" s="8"/>
      <c r="AH143" s="8"/>
    </row>
    <row r="144" spans="1:34" x14ac:dyDescent="0.2">
      <c r="A144" s="6">
        <f>IF('[1]Game Input'!$A144&lt;&gt;"",'[1]Game Input'!$A144,"")</f>
        <v>43425</v>
      </c>
      <c r="B144" s="6" t="str">
        <f>IF(A144&gt;$B$1,VLOOKUP(MONTH($A144),DOTWMonth,2,FALSE),"")</f>
        <v>November</v>
      </c>
      <c r="C144" s="10" t="str">
        <f>IF(A144&gt;$B$1,VLOOKUP(WEEKDAY($A144),DOTWMonth,3,FALSE),"")</f>
        <v>Wednesday</v>
      </c>
      <c r="D144" s="7">
        <f>IF('[1]Game Input'!$B144&lt;&gt;"",'[1]Game Input'!$B144,"")</f>
        <v>0.83680555555555547</v>
      </c>
      <c r="E144" s="7">
        <f>IF('[1]Game Input'!$C144&lt;&gt;"",'[1]Game Input'!$C144,"")</f>
        <v>0.79513888888888884</v>
      </c>
      <c r="F144" s="8" t="str">
        <f>IF('[1]Game Input'!$D144&lt;&gt;"",'[1]Game Input'!$D144,"")</f>
        <v>Standard</v>
      </c>
      <c r="G144" s="8" t="str">
        <f>IF('[1]Game Input'!$G144&lt;&gt;"",'[1]Game Input'!$G144,"")</f>
        <v>DM @ FGO</v>
      </c>
      <c r="H144" s="8" t="str">
        <f>IF('[1]Game Input'!$H144&lt;&gt;"",'[1]Game Input'!$H144,"")</f>
        <v>Vs. Conference</v>
      </c>
      <c r="I144" s="8" t="str">
        <f>IF('[1]Game Input'!$I144&lt;&gt;"",'[1]Game Input'!$I144,"")</f>
        <v>DES MOINES</v>
      </c>
      <c r="J144" s="9">
        <f>IF('[1]Game Input'!$AC144&lt;&gt;"",'[1]Game Input'!$AC144,"")</f>
        <v>4</v>
      </c>
      <c r="K144" s="9">
        <f>IF('[1]Game Input'!$AD144&lt;&gt;"",'[1]Game Input'!$AD144,"")</f>
        <v>2</v>
      </c>
      <c r="L144" s="9">
        <f>IF('[1]Game Input'!$AJ144&lt;&gt;"",'[1]Game Input'!$AJ144,"")</f>
        <v>0</v>
      </c>
      <c r="M144" s="9">
        <f>IF('[1]Game Input'!$AK144&lt;&gt;"",'[1]Game Input'!$AK144,"")</f>
        <v>0</v>
      </c>
      <c r="N144" s="9">
        <f>IF('[1]Game Input'!$AN144&lt;&gt;"",'[1]Game Input'!$AN144,"")</f>
        <v>2</v>
      </c>
      <c r="O144" s="9">
        <f>IF('[1]Game Input'!$AO144&lt;&gt;"",'[1]Game Input'!$AO144,"")</f>
        <v>0</v>
      </c>
      <c r="P144" s="9">
        <f>IF('[1]Game Input'!$AP144&lt;&gt;"",'[1]Game Input'!$AP144,"")</f>
        <v>0</v>
      </c>
      <c r="Q144" s="9">
        <f>IF('[1]Game Input'!$AQ144&lt;&gt;"",'[1]Game Input'!$AQ144,"")</f>
        <v>0</v>
      </c>
      <c r="R144" s="9">
        <f>IF('[1]Game Input'!$AR144&lt;&gt;"",'[1]Game Input'!$AR144,"")</f>
        <v>0</v>
      </c>
      <c r="S144" s="9">
        <f>IF('[1]Game Input'!$AS144&lt;&gt;"",'[1]Game Input'!$AS144,"")</f>
        <v>0</v>
      </c>
      <c r="T144" s="10" t="str">
        <f>IF('[1]Game Input'!$BA144&lt;&gt;"",'[1]Game Input'!$BA144,"")</f>
        <v>FARGO</v>
      </c>
      <c r="U144" s="9">
        <f>IF('[1]Game Input'!$BU144&lt;&gt;"",'[1]Game Input'!$BU144,"")</f>
        <v>2</v>
      </c>
      <c r="V144" s="9">
        <f>IF('[1]Game Input'!$BV144&lt;&gt;"",'[1]Game Input'!$BV144,"")</f>
        <v>1</v>
      </c>
      <c r="W144" s="9">
        <f>IF('[1]Game Input'!$CB144&lt;&gt;"",'[1]Game Input'!$CB144,"")</f>
        <v>0</v>
      </c>
      <c r="X144" s="9">
        <f>IF('[1]Game Input'!$CC144&lt;&gt;"",'[1]Game Input'!$CC144,"")</f>
        <v>0</v>
      </c>
      <c r="Y144" s="9">
        <f>IF('[1]Game Input'!$CF144&lt;&gt;"",'[1]Game Input'!$CF144,"")</f>
        <v>1</v>
      </c>
      <c r="Z144" s="9">
        <f>IF('[1]Game Input'!$CG144&lt;&gt;"",'[1]Game Input'!$CG144,"")</f>
        <v>0</v>
      </c>
      <c r="AA144" s="9">
        <f>IF('[1]Game Input'!$CH144&lt;&gt;"",'[1]Game Input'!$CH144,"")</f>
        <v>0</v>
      </c>
      <c r="AB144" s="9">
        <f>IF('[1]Game Input'!$CI144&lt;&gt;"",'[1]Game Input'!$CI144,"")</f>
        <v>0</v>
      </c>
      <c r="AC144" s="9">
        <f>IF('[1]Game Input'!$CJ144&lt;&gt;"",'[1]Game Input'!$CJ144,"")</f>
        <v>0</v>
      </c>
      <c r="AD144" s="9">
        <f>IF('[1]Game Input'!$CK144&lt;&gt;"",'[1]Game Input'!$CK144,"")</f>
        <v>0</v>
      </c>
      <c r="AE144" s="8" t="s">
        <v>97</v>
      </c>
      <c r="AF144" s="8" t="s">
        <v>131</v>
      </c>
      <c r="AG144" s="8" t="s">
        <v>128</v>
      </c>
      <c r="AH144" s="8" t="s">
        <v>120</v>
      </c>
    </row>
    <row r="145" spans="1:34" x14ac:dyDescent="0.2">
      <c r="A145" s="6">
        <f>IF('[1]Game Input'!$A145&lt;&gt;"",'[1]Game Input'!$A145,"")</f>
        <v>43425</v>
      </c>
      <c r="B145" s="6" t="str">
        <f>IF(A145&gt;$B$1,VLOOKUP(MONTH($A145),DOTWMonth,2,FALSE),"")</f>
        <v>November</v>
      </c>
      <c r="C145" s="10" t="str">
        <f>IF(A145&gt;$B$1,VLOOKUP(WEEKDAY($A145),DOTWMonth,3,FALSE),"")</f>
        <v>Wednesday</v>
      </c>
      <c r="D145" s="7">
        <f>IF('[1]Game Input'!$B145&lt;&gt;"",'[1]Game Input'!$B145,"")</f>
        <v>0.83680555555555547</v>
      </c>
      <c r="E145" s="7">
        <f>IF('[1]Game Input'!$C145&lt;&gt;"",'[1]Game Input'!$C145,"")</f>
        <v>0.79513888888888884</v>
      </c>
      <c r="F145" s="8" t="str">
        <f>IF('[1]Game Input'!$D145&lt;&gt;"",'[1]Game Input'!$D145,"")</f>
        <v>Standard</v>
      </c>
      <c r="G145" s="8" t="str">
        <f>IF('[1]Game Input'!$G145&lt;&gt;"",'[1]Game Input'!$G145,"")</f>
        <v>TC @ LIN</v>
      </c>
      <c r="H145" s="8" t="str">
        <f>IF('[1]Game Input'!$H145&lt;&gt;"",'[1]Game Input'!$H145,"")</f>
        <v>Vs. Conference</v>
      </c>
      <c r="I145" s="8" t="str">
        <f>IF('[1]Game Input'!$I145&lt;&gt;"",'[1]Game Input'!$I145,"")</f>
        <v>TRI-CITY</v>
      </c>
      <c r="J145" s="9">
        <f>IF('[1]Game Input'!$AC145&lt;&gt;"",'[1]Game Input'!$AC145,"")</f>
        <v>13</v>
      </c>
      <c r="K145" s="9">
        <f>IF('[1]Game Input'!$AD145&lt;&gt;"",'[1]Game Input'!$AD145,"")</f>
        <v>5</v>
      </c>
      <c r="L145" s="9">
        <f>IF('[1]Game Input'!$AJ145&lt;&gt;"",'[1]Game Input'!$AJ145,"")</f>
        <v>0</v>
      </c>
      <c r="M145" s="9">
        <f>IF('[1]Game Input'!$AK145&lt;&gt;"",'[1]Game Input'!$AK145,"")</f>
        <v>0</v>
      </c>
      <c r="N145" s="9">
        <f>IF('[1]Game Input'!$AN145&lt;&gt;"",'[1]Game Input'!$AN145,"")</f>
        <v>4</v>
      </c>
      <c r="O145" s="9">
        <f>IF('[1]Game Input'!$AO145&lt;&gt;"",'[1]Game Input'!$AO145,"")</f>
        <v>1</v>
      </c>
      <c r="P145" s="9">
        <f>IF('[1]Game Input'!$AP145&lt;&gt;"",'[1]Game Input'!$AP145,"")</f>
        <v>0</v>
      </c>
      <c r="Q145" s="9">
        <f>IF('[1]Game Input'!$AQ145&lt;&gt;"",'[1]Game Input'!$AQ145,"")</f>
        <v>0</v>
      </c>
      <c r="R145" s="9">
        <f>IF('[1]Game Input'!$AR145&lt;&gt;"",'[1]Game Input'!$AR145,"")</f>
        <v>0</v>
      </c>
      <c r="S145" s="9">
        <f>IF('[1]Game Input'!$AS145&lt;&gt;"",'[1]Game Input'!$AS145,"")</f>
        <v>0</v>
      </c>
      <c r="T145" s="10" t="str">
        <f>IF('[1]Game Input'!$BA145&lt;&gt;"",'[1]Game Input'!$BA145,"")</f>
        <v>LINCOLN</v>
      </c>
      <c r="U145" s="9">
        <f>IF('[1]Game Input'!$BU145&lt;&gt;"",'[1]Game Input'!$BU145,"")</f>
        <v>18</v>
      </c>
      <c r="V145" s="9">
        <f>IF('[1]Game Input'!$BV145&lt;&gt;"",'[1]Game Input'!$BV145,"")</f>
        <v>9</v>
      </c>
      <c r="W145" s="9">
        <f>IF('[1]Game Input'!$CB145&lt;&gt;"",'[1]Game Input'!$CB145,"")</f>
        <v>0</v>
      </c>
      <c r="X145" s="9">
        <f>IF('[1]Game Input'!$CC145&lt;&gt;"",'[1]Game Input'!$CC145,"")</f>
        <v>0</v>
      </c>
      <c r="Y145" s="9">
        <f>IF('[1]Game Input'!$CF145&lt;&gt;"",'[1]Game Input'!$CF145,"")</f>
        <v>9</v>
      </c>
      <c r="Z145" s="9">
        <f>IF('[1]Game Input'!$CG145&lt;&gt;"",'[1]Game Input'!$CG145,"")</f>
        <v>0</v>
      </c>
      <c r="AA145" s="9">
        <f>IF('[1]Game Input'!$CH145&lt;&gt;"",'[1]Game Input'!$CH145,"")</f>
        <v>0</v>
      </c>
      <c r="AB145" s="9">
        <f>IF('[1]Game Input'!$CI145&lt;&gt;"",'[1]Game Input'!$CI145,"")</f>
        <v>0</v>
      </c>
      <c r="AC145" s="9">
        <f>IF('[1]Game Input'!$CJ145&lt;&gt;"",'[1]Game Input'!$CJ145,"")</f>
        <v>0</v>
      </c>
      <c r="AD145" s="9">
        <f>IF('[1]Game Input'!$CK145&lt;&gt;"",'[1]Game Input'!$CK145,"")</f>
        <v>0</v>
      </c>
      <c r="AE145" s="8"/>
      <c r="AF145" s="8"/>
      <c r="AG145" s="8"/>
      <c r="AH145" s="8"/>
    </row>
    <row r="146" spans="1:34" x14ac:dyDescent="0.2">
      <c r="A146" s="6">
        <f>IF('[1]Game Input'!$A146&lt;&gt;"",'[1]Game Input'!$A146,"")</f>
        <v>43426</v>
      </c>
      <c r="B146" s="6" t="str">
        <f>IF(A146&gt;$B$1,VLOOKUP(MONTH($A146),DOTWMonth,2,FALSE),"")</f>
        <v>November</v>
      </c>
      <c r="C146" s="10" t="str">
        <f>IF(A146&gt;$B$1,VLOOKUP(WEEKDAY($A146),DOTWMonth,3,FALSE),"")</f>
        <v>Thursday</v>
      </c>
      <c r="D146" s="7">
        <f>IF('[1]Game Input'!$B146&lt;&gt;"",'[1]Game Input'!$B146,"")</f>
        <v>0.83680555555555547</v>
      </c>
      <c r="E146" s="7">
        <f>IF('[1]Game Input'!$C146&lt;&gt;"",'[1]Game Input'!$C146,"")</f>
        <v>0.79513888888888884</v>
      </c>
      <c r="F146" s="8" t="str">
        <f>IF('[1]Game Input'!$D146&lt;&gt;"",'[1]Game Input'!$D146,"")</f>
        <v>Standard</v>
      </c>
      <c r="G146" s="8" t="str">
        <f>IF('[1]Game Input'!$G146&lt;&gt;"",'[1]Game Input'!$G146,"")</f>
        <v>CR @ WAT</v>
      </c>
      <c r="H146" s="8" t="str">
        <f>IF('[1]Game Input'!$H146&lt;&gt;"",'[1]Game Input'!$H146,"")</f>
        <v>Vs. Non-Conference</v>
      </c>
      <c r="I146" s="8" t="str">
        <f>IF('[1]Game Input'!$I146&lt;&gt;"",'[1]Game Input'!$I146,"")</f>
        <v>CEDAR RAPIDS</v>
      </c>
      <c r="J146" s="9">
        <f>IF('[1]Game Input'!$AC146&lt;&gt;"",'[1]Game Input'!$AC146,"")</f>
        <v>2</v>
      </c>
      <c r="K146" s="9">
        <f>IF('[1]Game Input'!$AD146&lt;&gt;"",'[1]Game Input'!$AD146,"")</f>
        <v>1</v>
      </c>
      <c r="L146" s="9">
        <f>IF('[1]Game Input'!$AJ146&lt;&gt;"",'[1]Game Input'!$AJ146,"")</f>
        <v>0</v>
      </c>
      <c r="M146" s="9">
        <f>IF('[1]Game Input'!$AK146&lt;&gt;"",'[1]Game Input'!$AK146,"")</f>
        <v>0</v>
      </c>
      <c r="N146" s="9">
        <f>IF('[1]Game Input'!$AN146&lt;&gt;"",'[1]Game Input'!$AN146,"")</f>
        <v>1</v>
      </c>
      <c r="O146" s="9">
        <f>IF('[1]Game Input'!$AO146&lt;&gt;"",'[1]Game Input'!$AO146,"")</f>
        <v>0</v>
      </c>
      <c r="P146" s="9">
        <f>IF('[1]Game Input'!$AP146&lt;&gt;"",'[1]Game Input'!$AP146,"")</f>
        <v>0</v>
      </c>
      <c r="Q146" s="9">
        <f>IF('[1]Game Input'!$AQ146&lt;&gt;"",'[1]Game Input'!$AQ146,"")</f>
        <v>0</v>
      </c>
      <c r="R146" s="9">
        <f>IF('[1]Game Input'!$AR146&lt;&gt;"",'[1]Game Input'!$AR146,"")</f>
        <v>0</v>
      </c>
      <c r="S146" s="9">
        <f>IF('[1]Game Input'!$AS146&lt;&gt;"",'[1]Game Input'!$AS146,"")</f>
        <v>0</v>
      </c>
      <c r="T146" s="10" t="str">
        <f>IF('[1]Game Input'!$BA146&lt;&gt;"",'[1]Game Input'!$BA146,"")</f>
        <v>WATERLOO</v>
      </c>
      <c r="U146" s="9">
        <f>IF('[1]Game Input'!$BU146&lt;&gt;"",'[1]Game Input'!$BU146,"")</f>
        <v>4</v>
      </c>
      <c r="V146" s="9">
        <f>IF('[1]Game Input'!$BV146&lt;&gt;"",'[1]Game Input'!$BV146,"")</f>
        <v>2</v>
      </c>
      <c r="W146" s="9">
        <f>IF('[1]Game Input'!$CB146&lt;&gt;"",'[1]Game Input'!$CB146,"")</f>
        <v>0</v>
      </c>
      <c r="X146" s="9">
        <f>IF('[1]Game Input'!$CC146&lt;&gt;"",'[1]Game Input'!$CC146,"")</f>
        <v>0</v>
      </c>
      <c r="Y146" s="9">
        <f>IF('[1]Game Input'!$CF146&lt;&gt;"",'[1]Game Input'!$CF146,"")</f>
        <v>2</v>
      </c>
      <c r="Z146" s="9">
        <f>IF('[1]Game Input'!$CG146&lt;&gt;"",'[1]Game Input'!$CG146,"")</f>
        <v>0</v>
      </c>
      <c r="AA146" s="9">
        <f>IF('[1]Game Input'!$CH146&lt;&gt;"",'[1]Game Input'!$CH146,"")</f>
        <v>0</v>
      </c>
      <c r="AB146" s="9">
        <f>IF('[1]Game Input'!$CI146&lt;&gt;"",'[1]Game Input'!$CI146,"")</f>
        <v>0</v>
      </c>
      <c r="AC146" s="9">
        <f>IF('[1]Game Input'!$CJ146&lt;&gt;"",'[1]Game Input'!$CJ146,"")</f>
        <v>0</v>
      </c>
      <c r="AD146" s="9">
        <f>IF('[1]Game Input'!$CK146&lt;&gt;"",'[1]Game Input'!$CK146,"")</f>
        <v>0</v>
      </c>
      <c r="AE146" s="8" t="s">
        <v>97</v>
      </c>
      <c r="AF146" s="8" t="s">
        <v>105</v>
      </c>
      <c r="AG146" s="8" t="s">
        <v>147</v>
      </c>
      <c r="AH146" s="8" t="s">
        <v>120</v>
      </c>
    </row>
    <row r="147" spans="1:34" x14ac:dyDescent="0.2">
      <c r="A147" s="6">
        <f>IF('[1]Game Input'!$A147&lt;&gt;"",'[1]Game Input'!$A147,"")</f>
        <v>43427</v>
      </c>
      <c r="B147" s="6" t="str">
        <f>IF(A147&gt;$B$1,VLOOKUP(MONTH($A147),DOTWMonth,2,FALSE),"")</f>
        <v>November</v>
      </c>
      <c r="C147" s="10" t="str">
        <f>IF(A147&gt;$B$1,VLOOKUP(WEEKDAY($A147),DOTWMonth,3,FALSE),"")</f>
        <v>Friday</v>
      </c>
      <c r="D147" s="7">
        <f>IF('[1]Game Input'!$B147&lt;&gt;"",'[1]Game Input'!$B147,"")</f>
        <v>0.79513888888888884</v>
      </c>
      <c r="E147" s="7">
        <f>IF('[1]Game Input'!$C147&lt;&gt;"",'[1]Game Input'!$C147,"")</f>
        <v>0.75347222222222221</v>
      </c>
      <c r="F147" s="8" t="str">
        <f>IF('[1]Game Input'!$D147&lt;&gt;"",'[1]Game Input'!$D147,"")</f>
        <v>Standard</v>
      </c>
      <c r="G147" s="8" t="str">
        <f>IF('[1]Game Input'!$G147&lt;&gt;"",'[1]Game Input'!$G147,"")</f>
        <v>MAD @ YNG</v>
      </c>
      <c r="H147" s="8" t="str">
        <f>IF('[1]Game Input'!$H147&lt;&gt;"",'[1]Game Input'!$H147,"")</f>
        <v>Vs. Conference</v>
      </c>
      <c r="I147" s="8" t="str">
        <f>IF('[1]Game Input'!$I147&lt;&gt;"",'[1]Game Input'!$I147,"")</f>
        <v>MADISON</v>
      </c>
      <c r="J147" s="9">
        <f>IF('[1]Game Input'!$AC147&lt;&gt;"",'[1]Game Input'!$AC147,"")</f>
        <v>49</v>
      </c>
      <c r="K147" s="9">
        <f>IF('[1]Game Input'!$AD147&lt;&gt;"",'[1]Game Input'!$AD147,"")</f>
        <v>11</v>
      </c>
      <c r="L147" s="9">
        <f>IF('[1]Game Input'!$AJ147&lt;&gt;"",'[1]Game Input'!$AJ147,"")</f>
        <v>0</v>
      </c>
      <c r="M147" s="9">
        <f>IF('[1]Game Input'!$AK147&lt;&gt;"",'[1]Game Input'!$AK147,"")</f>
        <v>0</v>
      </c>
      <c r="N147" s="9">
        <f>IF('[1]Game Input'!$AN147&lt;&gt;"",'[1]Game Input'!$AN147,"")</f>
        <v>7</v>
      </c>
      <c r="O147" s="9">
        <f>IF('[1]Game Input'!$AO147&lt;&gt;"",'[1]Game Input'!$AO147,"")</f>
        <v>1</v>
      </c>
      <c r="P147" s="9">
        <f>IF('[1]Game Input'!$AP147&lt;&gt;"",'[1]Game Input'!$AP147,"")</f>
        <v>1</v>
      </c>
      <c r="Q147" s="9">
        <f>IF('[1]Game Input'!$AQ147&lt;&gt;"",'[1]Game Input'!$AQ147,"")</f>
        <v>2</v>
      </c>
      <c r="R147" s="9">
        <f>IF('[1]Game Input'!$AR147&lt;&gt;"",'[1]Game Input'!$AR147,"")</f>
        <v>0</v>
      </c>
      <c r="S147" s="9">
        <f>IF('[1]Game Input'!$AS147&lt;&gt;"",'[1]Game Input'!$AS147,"")</f>
        <v>0</v>
      </c>
      <c r="T147" s="10" t="str">
        <f>IF('[1]Game Input'!$BA147&lt;&gt;"",'[1]Game Input'!$BA147,"")</f>
        <v>YOUNGSTOWN</v>
      </c>
      <c r="U147" s="9">
        <f>IF('[1]Game Input'!$BU147&lt;&gt;"",'[1]Game Input'!$BU147,"")</f>
        <v>37</v>
      </c>
      <c r="V147" s="9">
        <f>IF('[1]Game Input'!$BV147&lt;&gt;"",'[1]Game Input'!$BV147,"")</f>
        <v>9</v>
      </c>
      <c r="W147" s="9">
        <f>IF('[1]Game Input'!$CB147&lt;&gt;"",'[1]Game Input'!$CB147,"")</f>
        <v>0</v>
      </c>
      <c r="X147" s="9">
        <f>IF('[1]Game Input'!$CC147&lt;&gt;"",'[1]Game Input'!$CC147,"")</f>
        <v>0</v>
      </c>
      <c r="Y147" s="9">
        <f>IF('[1]Game Input'!$CF147&lt;&gt;"",'[1]Game Input'!$CF147,"")</f>
        <v>6</v>
      </c>
      <c r="Z147" s="9">
        <f>IF('[1]Game Input'!$CG147&lt;&gt;"",'[1]Game Input'!$CG147,"")</f>
        <v>1</v>
      </c>
      <c r="AA147" s="9">
        <f>IF('[1]Game Input'!$CH147&lt;&gt;"",'[1]Game Input'!$CH147,"")</f>
        <v>2</v>
      </c>
      <c r="AB147" s="9">
        <f>IF('[1]Game Input'!$CI147&lt;&gt;"",'[1]Game Input'!$CI147,"")</f>
        <v>0</v>
      </c>
      <c r="AC147" s="9">
        <f>IF('[1]Game Input'!$CJ147&lt;&gt;"",'[1]Game Input'!$CJ147,"")</f>
        <v>0</v>
      </c>
      <c r="AD147" s="9">
        <f>IF('[1]Game Input'!$CK147&lt;&gt;"",'[1]Game Input'!$CK147,"")</f>
        <v>0</v>
      </c>
      <c r="AE147" s="8"/>
      <c r="AF147" s="8"/>
      <c r="AG147" s="8"/>
      <c r="AH147" s="8"/>
    </row>
    <row r="148" spans="1:34" x14ac:dyDescent="0.2">
      <c r="A148" s="6">
        <f>IF('[1]Game Input'!$A148&lt;&gt;"",'[1]Game Input'!$A148,"")</f>
        <v>43427</v>
      </c>
      <c r="B148" s="6" t="str">
        <f>IF(A148&gt;$B$1,VLOOKUP(MONTH($A148),DOTWMonth,2,FALSE),"")</f>
        <v>November</v>
      </c>
      <c r="C148" s="10" t="str">
        <f>IF(A148&gt;$B$1,VLOOKUP(WEEKDAY($A148),DOTWMonth,3,FALSE),"")</f>
        <v>Friday</v>
      </c>
      <c r="D148" s="7">
        <f>IF('[1]Game Input'!$B148&lt;&gt;"",'[1]Game Input'!$B148,"")</f>
        <v>0.80208333333333337</v>
      </c>
      <c r="E148" s="7">
        <f>IF('[1]Game Input'!$C148&lt;&gt;"",'[1]Game Input'!$C148,"")</f>
        <v>0.76041666666666674</v>
      </c>
      <c r="F148" s="8" t="str">
        <f>IF('[1]Game Input'!$D148&lt;&gt;"",'[1]Game Input'!$D148,"")</f>
        <v>Standard</v>
      </c>
      <c r="G148" s="8" t="str">
        <f>IF('[1]Game Input'!$G148&lt;&gt;"",'[1]Game Input'!$G148,"")</f>
        <v>GB @ MUS</v>
      </c>
      <c r="H148" s="8" t="str">
        <f>IF('[1]Game Input'!$H148&lt;&gt;"",'[1]Game Input'!$H148,"")</f>
        <v>Vs. Conference</v>
      </c>
      <c r="I148" s="8" t="str">
        <f>IF('[1]Game Input'!$I148&lt;&gt;"",'[1]Game Input'!$I148,"")</f>
        <v>GREEN BAY</v>
      </c>
      <c r="J148" s="9">
        <f>IF('[1]Game Input'!$AC148&lt;&gt;"",'[1]Game Input'!$AC148,"")</f>
        <v>42</v>
      </c>
      <c r="K148" s="9">
        <f>IF('[1]Game Input'!$AD148&lt;&gt;"",'[1]Game Input'!$AD148,"")</f>
        <v>10</v>
      </c>
      <c r="L148" s="9">
        <f>IF('[1]Game Input'!$AJ148&lt;&gt;"",'[1]Game Input'!$AJ148,"")</f>
        <v>0</v>
      </c>
      <c r="M148" s="9">
        <f>IF('[1]Game Input'!$AK148&lt;&gt;"",'[1]Game Input'!$AK148,"")</f>
        <v>0</v>
      </c>
      <c r="N148" s="9">
        <f>IF('[1]Game Input'!$AN148&lt;&gt;"",'[1]Game Input'!$AN148,"")</f>
        <v>6</v>
      </c>
      <c r="O148" s="9">
        <f>IF('[1]Game Input'!$AO148&lt;&gt;"",'[1]Game Input'!$AO148,"")</f>
        <v>2</v>
      </c>
      <c r="P148" s="9">
        <f>IF('[1]Game Input'!$AP148&lt;&gt;"",'[1]Game Input'!$AP148,"")</f>
        <v>2</v>
      </c>
      <c r="Q148" s="9">
        <f>IF('[1]Game Input'!$AQ148&lt;&gt;"",'[1]Game Input'!$AQ148,"")</f>
        <v>0</v>
      </c>
      <c r="R148" s="9">
        <f>IF('[1]Game Input'!$AR148&lt;&gt;"",'[1]Game Input'!$AR148,"")</f>
        <v>0</v>
      </c>
      <c r="S148" s="9">
        <f>IF('[1]Game Input'!$AS148&lt;&gt;"",'[1]Game Input'!$AS148,"")</f>
        <v>0</v>
      </c>
      <c r="T148" s="10" t="str">
        <f>IF('[1]Game Input'!$BA148&lt;&gt;"",'[1]Game Input'!$BA148,"")</f>
        <v>MUSKEGON</v>
      </c>
      <c r="U148" s="9">
        <f>IF('[1]Game Input'!$BU148&lt;&gt;"",'[1]Game Input'!$BU148,"")</f>
        <v>48</v>
      </c>
      <c r="V148" s="9">
        <f>IF('[1]Game Input'!$BV148&lt;&gt;"",'[1]Game Input'!$BV148,"")</f>
        <v>13</v>
      </c>
      <c r="W148" s="9">
        <f>IF('[1]Game Input'!$CB148&lt;&gt;"",'[1]Game Input'!$CB148,"")</f>
        <v>0</v>
      </c>
      <c r="X148" s="9">
        <f>IF('[1]Game Input'!$CC148&lt;&gt;"",'[1]Game Input'!$CC148,"")</f>
        <v>0</v>
      </c>
      <c r="Y148" s="9">
        <f>IF('[1]Game Input'!$CF148&lt;&gt;"",'[1]Game Input'!$CF148,"")</f>
        <v>9</v>
      </c>
      <c r="Z148" s="9">
        <f>IF('[1]Game Input'!$CG148&lt;&gt;"",'[1]Game Input'!$CG148,"")</f>
        <v>2</v>
      </c>
      <c r="AA148" s="9">
        <f>IF('[1]Game Input'!$CH148&lt;&gt;"",'[1]Game Input'!$CH148,"")</f>
        <v>2</v>
      </c>
      <c r="AB148" s="9">
        <f>IF('[1]Game Input'!$CI148&lt;&gt;"",'[1]Game Input'!$CI148,"")</f>
        <v>0</v>
      </c>
      <c r="AC148" s="9">
        <f>IF('[1]Game Input'!$CJ148&lt;&gt;"",'[1]Game Input'!$CJ148,"")</f>
        <v>0</v>
      </c>
      <c r="AD148" s="9">
        <f>IF('[1]Game Input'!$CK148&lt;&gt;"",'[1]Game Input'!$CK148,"")</f>
        <v>0</v>
      </c>
      <c r="AE148" s="8"/>
      <c r="AF148" s="8"/>
      <c r="AG148" s="8"/>
      <c r="AH148" s="8"/>
    </row>
    <row r="149" spans="1:34" x14ac:dyDescent="0.2">
      <c r="A149" s="6">
        <f>IF('[1]Game Input'!$A149&lt;&gt;"",'[1]Game Input'!$A149,"")</f>
        <v>43427</v>
      </c>
      <c r="B149" s="6" t="str">
        <f>IF(A149&gt;$B$1,VLOOKUP(MONTH($A149),DOTWMonth,2,FALSE),"")</f>
        <v>November</v>
      </c>
      <c r="C149" s="10" t="str">
        <f>IF(A149&gt;$B$1,VLOOKUP(WEEKDAY($A149),DOTWMonth,3,FALSE),"")</f>
        <v>Friday</v>
      </c>
      <c r="D149" s="7">
        <f>IF('[1]Game Input'!$B149&lt;&gt;"",'[1]Game Input'!$B149,"")</f>
        <v>0.83680555555555547</v>
      </c>
      <c r="E149" s="7">
        <f>IF('[1]Game Input'!$C149&lt;&gt;"",'[1]Game Input'!$C149,"")</f>
        <v>0.79513888888888884</v>
      </c>
      <c r="F149" s="8" t="str">
        <f>IF('[1]Game Input'!$D149&lt;&gt;"",'[1]Game Input'!$D149,"")</f>
        <v>Standard</v>
      </c>
      <c r="G149" s="8" t="str">
        <f>IF('[1]Game Input'!$G149&lt;&gt;"",'[1]Game Input'!$G149,"")</f>
        <v>CR @ CHI</v>
      </c>
      <c r="H149" s="8" t="str">
        <f>IF('[1]Game Input'!$H149&lt;&gt;"",'[1]Game Input'!$H149,"")</f>
        <v>Vs. Conference</v>
      </c>
      <c r="I149" s="8" t="str">
        <f>IF('[1]Game Input'!$I149&lt;&gt;"",'[1]Game Input'!$I149,"")</f>
        <v>CEDAR RAPIDS</v>
      </c>
      <c r="J149" s="9">
        <f>IF('[1]Game Input'!$AC149&lt;&gt;"",'[1]Game Input'!$AC149,"")</f>
        <v>20</v>
      </c>
      <c r="K149" s="9">
        <f>IF('[1]Game Input'!$AD149&lt;&gt;"",'[1]Game Input'!$AD149,"")</f>
        <v>6</v>
      </c>
      <c r="L149" s="9">
        <f>IF('[1]Game Input'!$AJ149&lt;&gt;"",'[1]Game Input'!$AJ149,"")</f>
        <v>0</v>
      </c>
      <c r="M149" s="9">
        <f>IF('[1]Game Input'!$AK149&lt;&gt;"",'[1]Game Input'!$AK149,"")</f>
        <v>0</v>
      </c>
      <c r="N149" s="9">
        <f>IF('[1]Game Input'!$AN149&lt;&gt;"",'[1]Game Input'!$AN149,"")</f>
        <v>5</v>
      </c>
      <c r="O149" s="9">
        <f>IF('[1]Game Input'!$AO149&lt;&gt;"",'[1]Game Input'!$AO149,"")</f>
        <v>0</v>
      </c>
      <c r="P149" s="9">
        <f>IF('[1]Game Input'!$AP149&lt;&gt;"",'[1]Game Input'!$AP149,"")</f>
        <v>1</v>
      </c>
      <c r="Q149" s="9">
        <f>IF('[1]Game Input'!$AQ149&lt;&gt;"",'[1]Game Input'!$AQ149,"")</f>
        <v>0</v>
      </c>
      <c r="R149" s="9">
        <f>IF('[1]Game Input'!$AR149&lt;&gt;"",'[1]Game Input'!$AR149,"")</f>
        <v>0</v>
      </c>
      <c r="S149" s="9">
        <f>IF('[1]Game Input'!$AS149&lt;&gt;"",'[1]Game Input'!$AS149,"")</f>
        <v>0</v>
      </c>
      <c r="T149" s="10" t="str">
        <f>IF('[1]Game Input'!$BA149&lt;&gt;"",'[1]Game Input'!$BA149,"")</f>
        <v>CHICAGO</v>
      </c>
      <c r="U149" s="9">
        <f>IF('[1]Game Input'!$BU149&lt;&gt;"",'[1]Game Input'!$BU149,"")</f>
        <v>22</v>
      </c>
      <c r="V149" s="9">
        <f>IF('[1]Game Input'!$BV149&lt;&gt;"",'[1]Game Input'!$BV149,"")</f>
        <v>7</v>
      </c>
      <c r="W149" s="9">
        <f>IF('[1]Game Input'!$CB149&lt;&gt;"",'[1]Game Input'!$CB149,"")</f>
        <v>0</v>
      </c>
      <c r="X149" s="9">
        <f>IF('[1]Game Input'!$CC149&lt;&gt;"",'[1]Game Input'!$CC149,"")</f>
        <v>0</v>
      </c>
      <c r="Y149" s="9">
        <f>IF('[1]Game Input'!$CF149&lt;&gt;"",'[1]Game Input'!$CF149,"")</f>
        <v>6</v>
      </c>
      <c r="Z149" s="9">
        <f>IF('[1]Game Input'!$CG149&lt;&gt;"",'[1]Game Input'!$CG149,"")</f>
        <v>0</v>
      </c>
      <c r="AA149" s="9">
        <f>IF('[1]Game Input'!$CH149&lt;&gt;"",'[1]Game Input'!$CH149,"")</f>
        <v>1</v>
      </c>
      <c r="AB149" s="9">
        <f>IF('[1]Game Input'!$CI149&lt;&gt;"",'[1]Game Input'!$CI149,"")</f>
        <v>0</v>
      </c>
      <c r="AC149" s="9">
        <f>IF('[1]Game Input'!$CJ149&lt;&gt;"",'[1]Game Input'!$CJ149,"")</f>
        <v>0</v>
      </c>
      <c r="AD149" s="9">
        <f>IF('[1]Game Input'!$CK149&lt;&gt;"",'[1]Game Input'!$CK149,"")</f>
        <v>0</v>
      </c>
      <c r="AE149" s="8" t="s">
        <v>93</v>
      </c>
      <c r="AF149" s="8"/>
      <c r="AG149" s="8" t="s">
        <v>122</v>
      </c>
      <c r="AH149" s="8" t="s">
        <v>141</v>
      </c>
    </row>
    <row r="150" spans="1:34" x14ac:dyDescent="0.2">
      <c r="A150" s="6">
        <f>IF('[1]Game Input'!$A150&lt;&gt;"",'[1]Game Input'!$A150,"")</f>
        <v>43427</v>
      </c>
      <c r="B150" s="6" t="str">
        <f>IF(A150&gt;$B$1,VLOOKUP(MONTH($A150),DOTWMonth,2,FALSE),"")</f>
        <v>November</v>
      </c>
      <c r="C150" s="10" t="str">
        <f>IF(A150&gt;$B$1,VLOOKUP(WEEKDAY($A150),DOTWMonth,3,FALSE),"")</f>
        <v>Friday</v>
      </c>
      <c r="D150" s="7">
        <f>IF('[1]Game Input'!$B150&lt;&gt;"",'[1]Game Input'!$B150,"")</f>
        <v>0.83680555555555547</v>
      </c>
      <c r="E150" s="7">
        <f>IF('[1]Game Input'!$C150&lt;&gt;"",'[1]Game Input'!$C150,"")</f>
        <v>0.79513888888888884</v>
      </c>
      <c r="F150" s="8" t="str">
        <f>IF('[1]Game Input'!$D150&lt;&gt;"",'[1]Game Input'!$D150,"")</f>
        <v>Standard</v>
      </c>
      <c r="G150" s="8" t="str">
        <f>IF('[1]Game Input'!$G150&lt;&gt;"",'[1]Game Input'!$G150,"")</f>
        <v>LIN @ DM</v>
      </c>
      <c r="H150" s="8" t="str">
        <f>IF('[1]Game Input'!$H150&lt;&gt;"",'[1]Game Input'!$H150,"")</f>
        <v>Vs. Conference</v>
      </c>
      <c r="I150" s="8" t="str">
        <f>IF('[1]Game Input'!$I150&lt;&gt;"",'[1]Game Input'!$I150,"")</f>
        <v>LINCOLN</v>
      </c>
      <c r="J150" s="9">
        <f>IF('[1]Game Input'!$AC150&lt;&gt;"",'[1]Game Input'!$AC150,"")</f>
        <v>24</v>
      </c>
      <c r="K150" s="9">
        <f>IF('[1]Game Input'!$AD150&lt;&gt;"",'[1]Game Input'!$AD150,"")</f>
        <v>8</v>
      </c>
      <c r="L150" s="9">
        <f>IF('[1]Game Input'!$AJ150&lt;&gt;"",'[1]Game Input'!$AJ150,"")</f>
        <v>0</v>
      </c>
      <c r="M150" s="9">
        <f>IF('[1]Game Input'!$AK150&lt;&gt;"",'[1]Game Input'!$AK150,"")</f>
        <v>0</v>
      </c>
      <c r="N150" s="9">
        <f>IF('[1]Game Input'!$AN150&lt;&gt;"",'[1]Game Input'!$AN150,"")</f>
        <v>7</v>
      </c>
      <c r="O150" s="9">
        <f>IF('[1]Game Input'!$AO150&lt;&gt;"",'[1]Game Input'!$AO150,"")</f>
        <v>0</v>
      </c>
      <c r="P150" s="9">
        <f>IF('[1]Game Input'!$AP150&lt;&gt;"",'[1]Game Input'!$AP150,"")</f>
        <v>1</v>
      </c>
      <c r="Q150" s="9">
        <f>IF('[1]Game Input'!$AQ150&lt;&gt;"",'[1]Game Input'!$AQ150,"")</f>
        <v>0</v>
      </c>
      <c r="R150" s="9">
        <f>IF('[1]Game Input'!$AR150&lt;&gt;"",'[1]Game Input'!$AR150,"")</f>
        <v>0</v>
      </c>
      <c r="S150" s="9">
        <f>IF('[1]Game Input'!$AS150&lt;&gt;"",'[1]Game Input'!$AS150,"")</f>
        <v>0</v>
      </c>
      <c r="T150" s="10" t="str">
        <f>IF('[1]Game Input'!$BA150&lt;&gt;"",'[1]Game Input'!$BA150,"")</f>
        <v>DES MOINES</v>
      </c>
      <c r="U150" s="9">
        <f>IF('[1]Game Input'!$BU150&lt;&gt;"",'[1]Game Input'!$BU150,"")</f>
        <v>10</v>
      </c>
      <c r="V150" s="9">
        <f>IF('[1]Game Input'!$BV150&lt;&gt;"",'[1]Game Input'!$BV150,"")</f>
        <v>5</v>
      </c>
      <c r="W150" s="9">
        <f>IF('[1]Game Input'!$CB150&lt;&gt;"",'[1]Game Input'!$CB150,"")</f>
        <v>0</v>
      </c>
      <c r="X150" s="9">
        <f>IF('[1]Game Input'!$CC150&lt;&gt;"",'[1]Game Input'!$CC150,"")</f>
        <v>0</v>
      </c>
      <c r="Y150" s="9">
        <f>IF('[1]Game Input'!$CF150&lt;&gt;"",'[1]Game Input'!$CF150,"")</f>
        <v>5</v>
      </c>
      <c r="Z150" s="9">
        <f>IF('[1]Game Input'!$CG150&lt;&gt;"",'[1]Game Input'!$CG150,"")</f>
        <v>0</v>
      </c>
      <c r="AA150" s="9">
        <f>IF('[1]Game Input'!$CH150&lt;&gt;"",'[1]Game Input'!$CH150,"")</f>
        <v>0</v>
      </c>
      <c r="AB150" s="9">
        <f>IF('[1]Game Input'!$CI150&lt;&gt;"",'[1]Game Input'!$CI150,"")</f>
        <v>0</v>
      </c>
      <c r="AC150" s="9">
        <f>IF('[1]Game Input'!$CJ150&lt;&gt;"",'[1]Game Input'!$CJ150,"")</f>
        <v>0</v>
      </c>
      <c r="AD150" s="9">
        <f>IF('[1]Game Input'!$CK150&lt;&gt;"",'[1]Game Input'!$CK150,"")</f>
        <v>0</v>
      </c>
      <c r="AE150" s="8" t="s">
        <v>101</v>
      </c>
      <c r="AF150" s="8" t="s">
        <v>125</v>
      </c>
      <c r="AG150" s="8" t="s">
        <v>115</v>
      </c>
      <c r="AH150" s="8" t="s">
        <v>126</v>
      </c>
    </row>
    <row r="151" spans="1:34" x14ac:dyDescent="0.2">
      <c r="A151" s="6">
        <f>IF('[1]Game Input'!$A151&lt;&gt;"",'[1]Game Input'!$A151,"")</f>
        <v>43427</v>
      </c>
      <c r="B151" s="6" t="str">
        <f>IF(A151&gt;$B$1,VLOOKUP(MONTH($A151),DOTWMonth,2,FALSE),"")</f>
        <v>November</v>
      </c>
      <c r="C151" s="10" t="str">
        <f>IF(A151&gt;$B$1,VLOOKUP(WEEKDAY($A151),DOTWMonth,3,FALSE),"")</f>
        <v>Friday</v>
      </c>
      <c r="D151" s="7">
        <f>IF('[1]Game Input'!$B151&lt;&gt;"",'[1]Game Input'!$B151,"")</f>
        <v>0.83680555555555547</v>
      </c>
      <c r="E151" s="7">
        <f>IF('[1]Game Input'!$C151&lt;&gt;"",'[1]Game Input'!$C151,"")</f>
        <v>0.79513888888888884</v>
      </c>
      <c r="F151" s="8" t="str">
        <f>IF('[1]Game Input'!$D151&lt;&gt;"",'[1]Game Input'!$D151,"")</f>
        <v>Standard</v>
      </c>
      <c r="G151" s="8" t="str">
        <f>IF('[1]Game Input'!$G151&lt;&gt;"",'[1]Game Input'!$G151,"")</f>
        <v>FGO @ SC</v>
      </c>
      <c r="H151" s="8" t="str">
        <f>IF('[1]Game Input'!$H151&lt;&gt;"",'[1]Game Input'!$H151,"")</f>
        <v>Vs. Conference</v>
      </c>
      <c r="I151" s="8" t="str">
        <f>IF('[1]Game Input'!$I151&lt;&gt;"",'[1]Game Input'!$I151,"")</f>
        <v>FARGO</v>
      </c>
      <c r="J151" s="9">
        <f>IF('[1]Game Input'!$AC151&lt;&gt;"",'[1]Game Input'!$AC151,"")</f>
        <v>20</v>
      </c>
      <c r="K151" s="9">
        <f>IF('[1]Game Input'!$AD151&lt;&gt;"",'[1]Game Input'!$AD151,"")</f>
        <v>6</v>
      </c>
      <c r="L151" s="9">
        <f>IF('[1]Game Input'!$AJ151&lt;&gt;"",'[1]Game Input'!$AJ151,"")</f>
        <v>0</v>
      </c>
      <c r="M151" s="9">
        <f>IF('[1]Game Input'!$AK151&lt;&gt;"",'[1]Game Input'!$AK151,"")</f>
        <v>0</v>
      </c>
      <c r="N151" s="9">
        <f>IF('[1]Game Input'!$AN151&lt;&gt;"",'[1]Game Input'!$AN151,"")</f>
        <v>5</v>
      </c>
      <c r="O151" s="9">
        <f>IF('[1]Game Input'!$AO151&lt;&gt;"",'[1]Game Input'!$AO151,"")</f>
        <v>0</v>
      </c>
      <c r="P151" s="9">
        <f>IF('[1]Game Input'!$AP151&lt;&gt;"",'[1]Game Input'!$AP151,"")</f>
        <v>1</v>
      </c>
      <c r="Q151" s="9">
        <f>IF('[1]Game Input'!$AQ151&lt;&gt;"",'[1]Game Input'!$AQ151,"")</f>
        <v>0</v>
      </c>
      <c r="R151" s="9">
        <f>IF('[1]Game Input'!$AR151&lt;&gt;"",'[1]Game Input'!$AR151,"")</f>
        <v>0</v>
      </c>
      <c r="S151" s="9">
        <f>IF('[1]Game Input'!$AS151&lt;&gt;"",'[1]Game Input'!$AS151,"")</f>
        <v>0</v>
      </c>
      <c r="T151" s="10" t="str">
        <f>IF('[1]Game Input'!$BA151&lt;&gt;"",'[1]Game Input'!$BA151,"")</f>
        <v>SIOUX CITY</v>
      </c>
      <c r="U151" s="9">
        <f>IF('[1]Game Input'!$BU151&lt;&gt;"",'[1]Game Input'!$BU151,"")</f>
        <v>18</v>
      </c>
      <c r="V151" s="9">
        <f>IF('[1]Game Input'!$BV151&lt;&gt;"",'[1]Game Input'!$BV151,"")</f>
        <v>5</v>
      </c>
      <c r="W151" s="9">
        <f>IF('[1]Game Input'!$CB151&lt;&gt;"",'[1]Game Input'!$CB151,"")</f>
        <v>0</v>
      </c>
      <c r="X151" s="9">
        <f>IF('[1]Game Input'!$CC151&lt;&gt;"",'[1]Game Input'!$CC151,"")</f>
        <v>0</v>
      </c>
      <c r="Y151" s="9">
        <f>IF('[1]Game Input'!$CF151&lt;&gt;"",'[1]Game Input'!$CF151,"")</f>
        <v>4</v>
      </c>
      <c r="Z151" s="9">
        <f>IF('[1]Game Input'!$CG151&lt;&gt;"",'[1]Game Input'!$CG151,"")</f>
        <v>0</v>
      </c>
      <c r="AA151" s="9">
        <f>IF('[1]Game Input'!$CH151&lt;&gt;"",'[1]Game Input'!$CH151,"")</f>
        <v>1</v>
      </c>
      <c r="AB151" s="9">
        <f>IF('[1]Game Input'!$CI151&lt;&gt;"",'[1]Game Input'!$CI151,"")</f>
        <v>0</v>
      </c>
      <c r="AC151" s="9">
        <f>IF('[1]Game Input'!$CJ151&lt;&gt;"",'[1]Game Input'!$CJ151,"")</f>
        <v>0</v>
      </c>
      <c r="AD151" s="9">
        <f>IF('[1]Game Input'!$CK151&lt;&gt;"",'[1]Game Input'!$CK151,"")</f>
        <v>0</v>
      </c>
      <c r="AE151" s="8"/>
      <c r="AF151" s="8"/>
      <c r="AG151" s="8"/>
      <c r="AH151" s="8"/>
    </row>
    <row r="152" spans="1:34" x14ac:dyDescent="0.2">
      <c r="A152" s="6">
        <f>IF('[1]Game Input'!$A152&lt;&gt;"",'[1]Game Input'!$A152,"")</f>
        <v>43427</v>
      </c>
      <c r="B152" s="6" t="str">
        <f>IF(A152&gt;$B$1,VLOOKUP(MONTH($A152),DOTWMonth,2,FALSE),"")</f>
        <v>November</v>
      </c>
      <c r="C152" s="10" t="str">
        <f>IF(A152&gt;$B$1,VLOOKUP(WEEKDAY($A152),DOTWMonth,3,FALSE),"")</f>
        <v>Friday</v>
      </c>
      <c r="D152" s="7">
        <f>IF('[1]Game Input'!$B152&lt;&gt;"",'[1]Game Input'!$B152,"")</f>
        <v>0.83680555555555547</v>
      </c>
      <c r="E152" s="7">
        <f>IF('[1]Game Input'!$C152&lt;&gt;"",'[1]Game Input'!$C152,"")</f>
        <v>0.79513888888888884</v>
      </c>
      <c r="F152" s="8" t="str">
        <f>IF('[1]Game Input'!$D152&lt;&gt;"",'[1]Game Input'!$D152,"")</f>
        <v>Standard</v>
      </c>
      <c r="G152" s="8" t="str">
        <f>IF('[1]Game Input'!$G152&lt;&gt;"",'[1]Game Input'!$G152,"")</f>
        <v>OMA @ TC</v>
      </c>
      <c r="H152" s="8" t="str">
        <f>IF('[1]Game Input'!$H152&lt;&gt;"",'[1]Game Input'!$H152,"")</f>
        <v>Vs. Conference</v>
      </c>
      <c r="I152" s="8" t="str">
        <f>IF('[1]Game Input'!$I152&lt;&gt;"",'[1]Game Input'!$I152,"")</f>
        <v>OMAHA</v>
      </c>
      <c r="J152" s="9">
        <f>IF('[1]Game Input'!$AC152&lt;&gt;"",'[1]Game Input'!$AC152,"")</f>
        <v>12</v>
      </c>
      <c r="K152" s="9">
        <f>IF('[1]Game Input'!$AD152&lt;&gt;"",'[1]Game Input'!$AD152,"")</f>
        <v>6</v>
      </c>
      <c r="L152" s="9">
        <f>IF('[1]Game Input'!$AJ152&lt;&gt;"",'[1]Game Input'!$AJ152,"")</f>
        <v>0</v>
      </c>
      <c r="M152" s="9">
        <f>IF('[1]Game Input'!$AK152&lt;&gt;"",'[1]Game Input'!$AK152,"")</f>
        <v>0</v>
      </c>
      <c r="N152" s="9">
        <f>IF('[1]Game Input'!$AN152&lt;&gt;"",'[1]Game Input'!$AN152,"")</f>
        <v>6</v>
      </c>
      <c r="O152" s="9">
        <f>IF('[1]Game Input'!$AO152&lt;&gt;"",'[1]Game Input'!$AO152,"")</f>
        <v>0</v>
      </c>
      <c r="P152" s="9">
        <f>IF('[1]Game Input'!$AP152&lt;&gt;"",'[1]Game Input'!$AP152,"")</f>
        <v>0</v>
      </c>
      <c r="Q152" s="9">
        <f>IF('[1]Game Input'!$AQ152&lt;&gt;"",'[1]Game Input'!$AQ152,"")</f>
        <v>0</v>
      </c>
      <c r="R152" s="9">
        <f>IF('[1]Game Input'!$AR152&lt;&gt;"",'[1]Game Input'!$AR152,"")</f>
        <v>0</v>
      </c>
      <c r="S152" s="9">
        <f>IF('[1]Game Input'!$AS152&lt;&gt;"",'[1]Game Input'!$AS152,"")</f>
        <v>0</v>
      </c>
      <c r="T152" s="10" t="str">
        <f>IF('[1]Game Input'!$BA152&lt;&gt;"",'[1]Game Input'!$BA152,"")</f>
        <v>TRI-CITY</v>
      </c>
      <c r="U152" s="9">
        <f>IF('[1]Game Input'!$BU152&lt;&gt;"",'[1]Game Input'!$BU152,"")</f>
        <v>14</v>
      </c>
      <c r="V152" s="9">
        <f>IF('[1]Game Input'!$BV152&lt;&gt;"",'[1]Game Input'!$BV152,"")</f>
        <v>7</v>
      </c>
      <c r="W152" s="9">
        <f>IF('[1]Game Input'!$CB152&lt;&gt;"",'[1]Game Input'!$CB152,"")</f>
        <v>0</v>
      </c>
      <c r="X152" s="9">
        <f>IF('[1]Game Input'!$CC152&lt;&gt;"",'[1]Game Input'!$CC152,"")</f>
        <v>0</v>
      </c>
      <c r="Y152" s="9">
        <f>IF('[1]Game Input'!$CF152&lt;&gt;"",'[1]Game Input'!$CF152,"")</f>
        <v>7</v>
      </c>
      <c r="Z152" s="9">
        <f>IF('[1]Game Input'!$CG152&lt;&gt;"",'[1]Game Input'!$CG152,"")</f>
        <v>0</v>
      </c>
      <c r="AA152" s="9">
        <f>IF('[1]Game Input'!$CH152&lt;&gt;"",'[1]Game Input'!$CH152,"")</f>
        <v>0</v>
      </c>
      <c r="AB152" s="9">
        <f>IF('[1]Game Input'!$CI152&lt;&gt;"",'[1]Game Input'!$CI152,"")</f>
        <v>0</v>
      </c>
      <c r="AC152" s="9">
        <f>IF('[1]Game Input'!$CJ152&lt;&gt;"",'[1]Game Input'!$CJ152,"")</f>
        <v>0</v>
      </c>
      <c r="AD152" s="9">
        <f>IF('[1]Game Input'!$CK152&lt;&gt;"",'[1]Game Input'!$CK152,"")</f>
        <v>0</v>
      </c>
      <c r="AE152" s="8"/>
      <c r="AF152" s="8"/>
      <c r="AG152" s="8"/>
      <c r="AH152" s="8"/>
    </row>
    <row r="153" spans="1:34" x14ac:dyDescent="0.2">
      <c r="A153" s="6">
        <f>IF('[1]Game Input'!$A153&lt;&gt;"",'[1]Game Input'!$A153,"")</f>
        <v>43427</v>
      </c>
      <c r="B153" s="6" t="str">
        <f>IF(A153&gt;$B$1,VLOOKUP(MONTH($A153),DOTWMonth,2,FALSE),"")</f>
        <v>November</v>
      </c>
      <c r="C153" s="10" t="str">
        <f>IF(A153&gt;$B$1,VLOOKUP(WEEKDAY($A153),DOTWMonth,3,FALSE),"")</f>
        <v>Friday</v>
      </c>
      <c r="D153" s="7">
        <f>IF('[1]Game Input'!$B153&lt;&gt;"",'[1]Game Input'!$B153,"")</f>
        <v>0.83819444444444446</v>
      </c>
      <c r="E153" s="7">
        <f>IF('[1]Game Input'!$C153&lt;&gt;"",'[1]Game Input'!$C153,"")</f>
        <v>0.79652777777777783</v>
      </c>
      <c r="F153" s="8" t="str">
        <f>IF('[1]Game Input'!$D153&lt;&gt;"",'[1]Game Input'!$D153,"")</f>
        <v>Standard</v>
      </c>
      <c r="G153" s="8" t="str">
        <f>IF('[1]Game Input'!$G153&lt;&gt;"",'[1]Game Input'!$G153,"")</f>
        <v>USA @ CIL</v>
      </c>
      <c r="H153" s="8" t="str">
        <f>IF('[1]Game Input'!$H153&lt;&gt;"",'[1]Game Input'!$H153,"")</f>
        <v>Vs. Conference</v>
      </c>
      <c r="I153" s="8" t="str">
        <f>IF('[1]Game Input'!$I153&lt;&gt;"",'[1]Game Input'!$I153,"")</f>
        <v>TEAM USA</v>
      </c>
      <c r="J153" s="9">
        <f>IF('[1]Game Input'!$AC153&lt;&gt;"",'[1]Game Input'!$AC153,"")</f>
        <v>18</v>
      </c>
      <c r="K153" s="9">
        <f>IF('[1]Game Input'!$AD153&lt;&gt;"",'[1]Game Input'!$AD153,"")</f>
        <v>5</v>
      </c>
      <c r="L153" s="9">
        <f>IF('[1]Game Input'!$AJ153&lt;&gt;"",'[1]Game Input'!$AJ153,"")</f>
        <v>0</v>
      </c>
      <c r="M153" s="9">
        <f>IF('[1]Game Input'!$AK153&lt;&gt;"",'[1]Game Input'!$AK153,"")</f>
        <v>0</v>
      </c>
      <c r="N153" s="9">
        <f>IF('[1]Game Input'!$AN153&lt;&gt;"",'[1]Game Input'!$AN153,"")</f>
        <v>4</v>
      </c>
      <c r="O153" s="9">
        <f>IF('[1]Game Input'!$AO153&lt;&gt;"",'[1]Game Input'!$AO153,"")</f>
        <v>0</v>
      </c>
      <c r="P153" s="9">
        <f>IF('[1]Game Input'!$AP153&lt;&gt;"",'[1]Game Input'!$AP153,"")</f>
        <v>1</v>
      </c>
      <c r="Q153" s="9">
        <f>IF('[1]Game Input'!$AQ153&lt;&gt;"",'[1]Game Input'!$AQ153,"")</f>
        <v>0</v>
      </c>
      <c r="R153" s="9">
        <f>IF('[1]Game Input'!$AR153&lt;&gt;"",'[1]Game Input'!$AR153,"")</f>
        <v>0</v>
      </c>
      <c r="S153" s="9">
        <f>IF('[1]Game Input'!$AS153&lt;&gt;"",'[1]Game Input'!$AS153,"")</f>
        <v>0</v>
      </c>
      <c r="T153" s="10" t="str">
        <f>IF('[1]Game Input'!$BA153&lt;&gt;"",'[1]Game Input'!$BA153,"")</f>
        <v>CENTRAL ILLINOIS</v>
      </c>
      <c r="U153" s="9">
        <f>IF('[1]Game Input'!$BU153&lt;&gt;"",'[1]Game Input'!$BU153,"")</f>
        <v>4</v>
      </c>
      <c r="V153" s="9">
        <f>IF('[1]Game Input'!$BV153&lt;&gt;"",'[1]Game Input'!$BV153,"")</f>
        <v>2</v>
      </c>
      <c r="W153" s="9">
        <f>IF('[1]Game Input'!$CB153&lt;&gt;"",'[1]Game Input'!$CB153,"")</f>
        <v>0</v>
      </c>
      <c r="X153" s="9">
        <f>IF('[1]Game Input'!$CC153&lt;&gt;"",'[1]Game Input'!$CC153,"")</f>
        <v>0</v>
      </c>
      <c r="Y153" s="9">
        <f>IF('[1]Game Input'!$CF153&lt;&gt;"",'[1]Game Input'!$CF153,"")</f>
        <v>2</v>
      </c>
      <c r="Z153" s="9">
        <f>IF('[1]Game Input'!$CG153&lt;&gt;"",'[1]Game Input'!$CG153,"")</f>
        <v>0</v>
      </c>
      <c r="AA153" s="9">
        <f>IF('[1]Game Input'!$CH153&lt;&gt;"",'[1]Game Input'!$CH153,"")</f>
        <v>0</v>
      </c>
      <c r="AB153" s="9">
        <f>IF('[1]Game Input'!$CI153&lt;&gt;"",'[1]Game Input'!$CI153,"")</f>
        <v>0</v>
      </c>
      <c r="AC153" s="9">
        <f>IF('[1]Game Input'!$CJ153&lt;&gt;"",'[1]Game Input'!$CJ153,"")</f>
        <v>0</v>
      </c>
      <c r="AD153" s="9">
        <f>IF('[1]Game Input'!$CK153&lt;&gt;"",'[1]Game Input'!$CK153,"")</f>
        <v>0</v>
      </c>
      <c r="AE153" s="8" t="s">
        <v>97</v>
      </c>
      <c r="AF153" s="8"/>
      <c r="AG153" s="8" t="s">
        <v>120</v>
      </c>
      <c r="AH153" s="8" t="s">
        <v>113</v>
      </c>
    </row>
    <row r="154" spans="1:34" x14ac:dyDescent="0.2">
      <c r="A154" s="6">
        <f>IF('[1]Game Input'!$A154&lt;&gt;"",'[1]Game Input'!$A154,"")</f>
        <v>43428</v>
      </c>
      <c r="B154" s="6" t="str">
        <f>IF(A154&gt;$B$1,VLOOKUP(MONTH($A154),DOTWMonth,2,FALSE),"")</f>
        <v>November</v>
      </c>
      <c r="C154" s="10" t="str">
        <f>IF(A154&gt;$B$1,VLOOKUP(WEEKDAY($A154),DOTWMonth,3,FALSE),"")</f>
        <v>Saturday</v>
      </c>
      <c r="D154" s="7">
        <f>IF('[1]Game Input'!$B154&lt;&gt;"",'[1]Game Input'!$B154,"")</f>
        <v>0.79513888888888884</v>
      </c>
      <c r="E154" s="7">
        <f>IF('[1]Game Input'!$C154&lt;&gt;"",'[1]Game Input'!$C154,"")</f>
        <v>0.75347222222222221</v>
      </c>
      <c r="F154" s="8" t="str">
        <f>IF('[1]Game Input'!$D154&lt;&gt;"",'[1]Game Input'!$D154,"")</f>
        <v>Standard</v>
      </c>
      <c r="G154" s="8" t="str">
        <f>IF('[1]Game Input'!$G154&lt;&gt;"",'[1]Game Input'!$G154,"")</f>
        <v>MAD @ YNG</v>
      </c>
      <c r="H154" s="8" t="str">
        <f>IF('[1]Game Input'!$H154&lt;&gt;"",'[1]Game Input'!$H154,"")</f>
        <v>Vs. Conference</v>
      </c>
      <c r="I154" s="8" t="str">
        <f>IF('[1]Game Input'!$I154&lt;&gt;"",'[1]Game Input'!$I154,"")</f>
        <v>MADISON</v>
      </c>
      <c r="J154" s="9">
        <f>IF('[1]Game Input'!$AC154&lt;&gt;"",'[1]Game Input'!$AC154,"")</f>
        <v>18</v>
      </c>
      <c r="K154" s="9">
        <f>IF('[1]Game Input'!$AD154&lt;&gt;"",'[1]Game Input'!$AD154,"")</f>
        <v>5</v>
      </c>
      <c r="L154" s="9">
        <f>IF('[1]Game Input'!$AJ154&lt;&gt;"",'[1]Game Input'!$AJ154,"")</f>
        <v>0</v>
      </c>
      <c r="M154" s="9">
        <f>IF('[1]Game Input'!$AK154&lt;&gt;"",'[1]Game Input'!$AK154,"")</f>
        <v>0</v>
      </c>
      <c r="N154" s="9">
        <f>IF('[1]Game Input'!$AN154&lt;&gt;"",'[1]Game Input'!$AN154,"")</f>
        <v>4</v>
      </c>
      <c r="O154" s="9">
        <f>IF('[1]Game Input'!$AO154&lt;&gt;"",'[1]Game Input'!$AO154,"")</f>
        <v>0</v>
      </c>
      <c r="P154" s="9">
        <f>IF('[1]Game Input'!$AP154&lt;&gt;"",'[1]Game Input'!$AP154,"")</f>
        <v>0</v>
      </c>
      <c r="Q154" s="9">
        <f>IF('[1]Game Input'!$AQ154&lt;&gt;"",'[1]Game Input'!$AQ154,"")</f>
        <v>1</v>
      </c>
      <c r="R154" s="9">
        <f>IF('[1]Game Input'!$AR154&lt;&gt;"",'[1]Game Input'!$AR154,"")</f>
        <v>0</v>
      </c>
      <c r="S154" s="9">
        <f>IF('[1]Game Input'!$AS154&lt;&gt;"",'[1]Game Input'!$AS154,"")</f>
        <v>0</v>
      </c>
      <c r="T154" s="10" t="str">
        <f>IF('[1]Game Input'!$BA154&lt;&gt;"",'[1]Game Input'!$BA154,"")</f>
        <v>YOUNGSTOWN</v>
      </c>
      <c r="U154" s="9">
        <f>IF('[1]Game Input'!$BU154&lt;&gt;"",'[1]Game Input'!$BU154,"")</f>
        <v>10</v>
      </c>
      <c r="V154" s="9">
        <f>IF('[1]Game Input'!$BV154&lt;&gt;"",'[1]Game Input'!$BV154,"")</f>
        <v>5</v>
      </c>
      <c r="W154" s="9">
        <f>IF('[1]Game Input'!$CB154&lt;&gt;"",'[1]Game Input'!$CB154,"")</f>
        <v>0</v>
      </c>
      <c r="X154" s="9">
        <f>IF('[1]Game Input'!$CC154&lt;&gt;"",'[1]Game Input'!$CC154,"")</f>
        <v>0</v>
      </c>
      <c r="Y154" s="9">
        <f>IF('[1]Game Input'!$CF154&lt;&gt;"",'[1]Game Input'!$CF154,"")</f>
        <v>5</v>
      </c>
      <c r="Z154" s="9">
        <f>IF('[1]Game Input'!$CG154&lt;&gt;"",'[1]Game Input'!$CG154,"")</f>
        <v>0</v>
      </c>
      <c r="AA154" s="9">
        <f>IF('[1]Game Input'!$CH154&lt;&gt;"",'[1]Game Input'!$CH154,"")</f>
        <v>0</v>
      </c>
      <c r="AB154" s="9">
        <f>IF('[1]Game Input'!$CI154&lt;&gt;"",'[1]Game Input'!$CI154,"")</f>
        <v>0</v>
      </c>
      <c r="AC154" s="9">
        <f>IF('[1]Game Input'!$CJ154&lt;&gt;"",'[1]Game Input'!$CJ154,"")</f>
        <v>0</v>
      </c>
      <c r="AD154" s="9">
        <f>IF('[1]Game Input'!$CK154&lt;&gt;"",'[1]Game Input'!$CK154,"")</f>
        <v>0</v>
      </c>
      <c r="AE154" s="8"/>
      <c r="AF154" s="8"/>
      <c r="AG154" s="8"/>
      <c r="AH154" s="8"/>
    </row>
    <row r="155" spans="1:34" x14ac:dyDescent="0.2">
      <c r="A155" s="6">
        <f>IF('[1]Game Input'!$A155&lt;&gt;"",'[1]Game Input'!$A155,"")</f>
        <v>43428</v>
      </c>
      <c r="B155" s="6" t="str">
        <f>IF(A155&gt;$B$1,VLOOKUP(MONTH($A155),DOTWMonth,2,FALSE),"")</f>
        <v>November</v>
      </c>
      <c r="C155" s="10" t="str">
        <f>IF(A155&gt;$B$1,VLOOKUP(WEEKDAY($A155),DOTWMonth,3,FALSE),"")</f>
        <v>Saturday</v>
      </c>
      <c r="D155" s="7">
        <f>IF('[1]Game Input'!$B155&lt;&gt;"",'[1]Game Input'!$B155,"")</f>
        <v>0.80208333333333337</v>
      </c>
      <c r="E155" s="7">
        <f>IF('[1]Game Input'!$C155&lt;&gt;"",'[1]Game Input'!$C155,"")</f>
        <v>0.76041666666666674</v>
      </c>
      <c r="F155" s="8" t="str">
        <f>IF('[1]Game Input'!$D155&lt;&gt;"",'[1]Game Input'!$D155,"")</f>
        <v>Standard</v>
      </c>
      <c r="G155" s="8" t="str">
        <f>IF('[1]Game Input'!$G155&lt;&gt;"",'[1]Game Input'!$G155,"")</f>
        <v>GB @ MUS</v>
      </c>
      <c r="H155" s="8" t="str">
        <f>IF('[1]Game Input'!$H155&lt;&gt;"",'[1]Game Input'!$H155,"")</f>
        <v>Vs. Conference</v>
      </c>
      <c r="I155" s="8" t="str">
        <f>IF('[1]Game Input'!$I155&lt;&gt;"",'[1]Game Input'!$I155,"")</f>
        <v>GREEN BAY</v>
      </c>
      <c r="J155" s="9">
        <f>IF('[1]Game Input'!$AC155&lt;&gt;"",'[1]Game Input'!$AC155,"")</f>
        <v>40</v>
      </c>
      <c r="K155" s="9">
        <f>IF('[1]Game Input'!$AD155&lt;&gt;"",'[1]Game Input'!$AD155,"")</f>
        <v>8</v>
      </c>
      <c r="L155" s="9">
        <f>IF('[1]Game Input'!$AJ155&lt;&gt;"",'[1]Game Input'!$AJ155,"")</f>
        <v>0</v>
      </c>
      <c r="M155" s="9">
        <f>IF('[1]Game Input'!$AK155&lt;&gt;"",'[1]Game Input'!$AK155,"")</f>
        <v>0</v>
      </c>
      <c r="N155" s="9">
        <f>IF('[1]Game Input'!$AN155&lt;&gt;"",'[1]Game Input'!$AN155,"")</f>
        <v>5</v>
      </c>
      <c r="O155" s="9">
        <f>IF('[1]Game Input'!$AO155&lt;&gt;"",'[1]Game Input'!$AO155,"")</f>
        <v>0</v>
      </c>
      <c r="P155" s="9">
        <f>IF('[1]Game Input'!$AP155&lt;&gt;"",'[1]Game Input'!$AP155,"")</f>
        <v>2</v>
      </c>
      <c r="Q155" s="9">
        <f>IF('[1]Game Input'!$AQ155&lt;&gt;"",'[1]Game Input'!$AQ155,"")</f>
        <v>1</v>
      </c>
      <c r="R155" s="9">
        <f>IF('[1]Game Input'!$AR155&lt;&gt;"",'[1]Game Input'!$AR155,"")</f>
        <v>0</v>
      </c>
      <c r="S155" s="9">
        <f>IF('[1]Game Input'!$AS155&lt;&gt;"",'[1]Game Input'!$AS155,"")</f>
        <v>0</v>
      </c>
      <c r="T155" s="10" t="str">
        <f>IF('[1]Game Input'!$BA155&lt;&gt;"",'[1]Game Input'!$BA155,"")</f>
        <v>MUSKEGON</v>
      </c>
      <c r="U155" s="9">
        <f>IF('[1]Game Input'!$BU155&lt;&gt;"",'[1]Game Input'!$BU155,"")</f>
        <v>14</v>
      </c>
      <c r="V155" s="9">
        <f>IF('[1]Game Input'!$BV155&lt;&gt;"",'[1]Game Input'!$BV155,"")</f>
        <v>7</v>
      </c>
      <c r="W155" s="9">
        <f>IF('[1]Game Input'!$CB155&lt;&gt;"",'[1]Game Input'!$CB155,"")</f>
        <v>0</v>
      </c>
      <c r="X155" s="9">
        <f>IF('[1]Game Input'!$CC155&lt;&gt;"",'[1]Game Input'!$CC155,"")</f>
        <v>0</v>
      </c>
      <c r="Y155" s="9">
        <f>IF('[1]Game Input'!$CF155&lt;&gt;"",'[1]Game Input'!$CF155,"")</f>
        <v>7</v>
      </c>
      <c r="Z155" s="9">
        <f>IF('[1]Game Input'!$CG155&lt;&gt;"",'[1]Game Input'!$CG155,"")</f>
        <v>0</v>
      </c>
      <c r="AA155" s="9">
        <f>IF('[1]Game Input'!$CH155&lt;&gt;"",'[1]Game Input'!$CH155,"")</f>
        <v>0</v>
      </c>
      <c r="AB155" s="9">
        <f>IF('[1]Game Input'!$CI155&lt;&gt;"",'[1]Game Input'!$CI155,"")</f>
        <v>0</v>
      </c>
      <c r="AC155" s="9">
        <f>IF('[1]Game Input'!$CJ155&lt;&gt;"",'[1]Game Input'!$CJ155,"")</f>
        <v>0</v>
      </c>
      <c r="AD155" s="9">
        <f>IF('[1]Game Input'!$CK155&lt;&gt;"",'[1]Game Input'!$CK155,"")</f>
        <v>0</v>
      </c>
      <c r="AE155" s="8"/>
      <c r="AF155" s="8"/>
      <c r="AG155" s="8"/>
      <c r="AH155" s="8"/>
    </row>
    <row r="156" spans="1:34" x14ac:dyDescent="0.2">
      <c r="A156" s="6">
        <f>IF('[1]Game Input'!$A156&lt;&gt;"",'[1]Game Input'!$A156,"")</f>
        <v>43428</v>
      </c>
      <c r="B156" s="6" t="str">
        <f>IF(A156&gt;$B$1,VLOOKUP(MONTH($A156),DOTWMonth,2,FALSE),"")</f>
        <v>November</v>
      </c>
      <c r="C156" s="10" t="str">
        <f>IF(A156&gt;$B$1,VLOOKUP(WEEKDAY($A156),DOTWMonth,3,FALSE),"")</f>
        <v>Saturday</v>
      </c>
      <c r="D156" s="7">
        <f>IF('[1]Game Input'!$B156&lt;&gt;"",'[1]Game Input'!$B156,"")</f>
        <v>0.83680555555555547</v>
      </c>
      <c r="E156" s="7">
        <f>IF('[1]Game Input'!$C156&lt;&gt;"",'[1]Game Input'!$C156,"")</f>
        <v>0.79513888888888884</v>
      </c>
      <c r="F156" s="8" t="str">
        <f>IF('[1]Game Input'!$D156&lt;&gt;"",'[1]Game Input'!$D156,"")</f>
        <v>Standard</v>
      </c>
      <c r="G156" s="8" t="str">
        <f>IF('[1]Game Input'!$G156&lt;&gt;"",'[1]Game Input'!$G156,"")</f>
        <v>SC @ DM</v>
      </c>
      <c r="H156" s="8" t="str">
        <f>IF('[1]Game Input'!$H156&lt;&gt;"",'[1]Game Input'!$H156,"")</f>
        <v>Vs. Conference</v>
      </c>
      <c r="I156" s="8" t="str">
        <f>IF('[1]Game Input'!$I156&lt;&gt;"",'[1]Game Input'!$I156,"")</f>
        <v>SIOUX CITY</v>
      </c>
      <c r="J156" s="9">
        <f>IF('[1]Game Input'!$AC156&lt;&gt;"",'[1]Game Input'!$AC156,"")</f>
        <v>8</v>
      </c>
      <c r="K156" s="9">
        <f>IF('[1]Game Input'!$AD156&lt;&gt;"",'[1]Game Input'!$AD156,"")</f>
        <v>4</v>
      </c>
      <c r="L156" s="9">
        <f>IF('[1]Game Input'!$AJ156&lt;&gt;"",'[1]Game Input'!$AJ156,"")</f>
        <v>0</v>
      </c>
      <c r="M156" s="9">
        <f>IF('[1]Game Input'!$AK156&lt;&gt;"",'[1]Game Input'!$AK156,"")</f>
        <v>0</v>
      </c>
      <c r="N156" s="9">
        <f>IF('[1]Game Input'!$AN156&lt;&gt;"",'[1]Game Input'!$AN156,"")</f>
        <v>4</v>
      </c>
      <c r="O156" s="9">
        <f>IF('[1]Game Input'!$AO156&lt;&gt;"",'[1]Game Input'!$AO156,"")</f>
        <v>0</v>
      </c>
      <c r="P156" s="9">
        <f>IF('[1]Game Input'!$AP156&lt;&gt;"",'[1]Game Input'!$AP156,"")</f>
        <v>0</v>
      </c>
      <c r="Q156" s="9">
        <f>IF('[1]Game Input'!$AQ156&lt;&gt;"",'[1]Game Input'!$AQ156,"")</f>
        <v>0</v>
      </c>
      <c r="R156" s="9">
        <f>IF('[1]Game Input'!$AR156&lt;&gt;"",'[1]Game Input'!$AR156,"")</f>
        <v>0</v>
      </c>
      <c r="S156" s="9">
        <f>IF('[1]Game Input'!$AS156&lt;&gt;"",'[1]Game Input'!$AS156,"")</f>
        <v>0</v>
      </c>
      <c r="T156" s="10" t="str">
        <f>IF('[1]Game Input'!$BA156&lt;&gt;"",'[1]Game Input'!$BA156,"")</f>
        <v>DES MOINES</v>
      </c>
      <c r="U156" s="9">
        <f>IF('[1]Game Input'!$BU156&lt;&gt;"",'[1]Game Input'!$BU156,"")</f>
        <v>6</v>
      </c>
      <c r="V156" s="9">
        <f>IF('[1]Game Input'!$BV156&lt;&gt;"",'[1]Game Input'!$BV156,"")</f>
        <v>3</v>
      </c>
      <c r="W156" s="9">
        <f>IF('[1]Game Input'!$CB156&lt;&gt;"",'[1]Game Input'!$CB156,"")</f>
        <v>0</v>
      </c>
      <c r="X156" s="9">
        <f>IF('[1]Game Input'!$CC156&lt;&gt;"",'[1]Game Input'!$CC156,"")</f>
        <v>0</v>
      </c>
      <c r="Y156" s="9">
        <f>IF('[1]Game Input'!$CF156&lt;&gt;"",'[1]Game Input'!$CF156,"")</f>
        <v>3</v>
      </c>
      <c r="Z156" s="9">
        <f>IF('[1]Game Input'!$CG156&lt;&gt;"",'[1]Game Input'!$CG156,"")</f>
        <v>0</v>
      </c>
      <c r="AA156" s="9">
        <f>IF('[1]Game Input'!$CH156&lt;&gt;"",'[1]Game Input'!$CH156,"")</f>
        <v>0</v>
      </c>
      <c r="AB156" s="9">
        <f>IF('[1]Game Input'!$CI156&lt;&gt;"",'[1]Game Input'!$CI156,"")</f>
        <v>0</v>
      </c>
      <c r="AC156" s="9">
        <f>IF('[1]Game Input'!$CJ156&lt;&gt;"",'[1]Game Input'!$CJ156,"")</f>
        <v>0</v>
      </c>
      <c r="AD156" s="9">
        <f>IF('[1]Game Input'!$CK156&lt;&gt;"",'[1]Game Input'!$CK156,"")</f>
        <v>0</v>
      </c>
      <c r="AE156" s="8" t="s">
        <v>106</v>
      </c>
      <c r="AF156" s="8" t="s">
        <v>127</v>
      </c>
      <c r="AG156" s="8" t="s">
        <v>128</v>
      </c>
      <c r="AH156" s="8" t="s">
        <v>129</v>
      </c>
    </row>
    <row r="157" spans="1:34" x14ac:dyDescent="0.2">
      <c r="A157" s="6">
        <f>IF('[1]Game Input'!$A157&lt;&gt;"",'[1]Game Input'!$A157,"")</f>
        <v>43428</v>
      </c>
      <c r="B157" s="6" t="str">
        <f>IF(A157&gt;$B$1,VLOOKUP(MONTH($A157),DOTWMonth,2,FALSE),"")</f>
        <v>November</v>
      </c>
      <c r="C157" s="10" t="str">
        <f>IF(A157&gt;$B$1,VLOOKUP(WEEKDAY($A157),DOTWMonth,3,FALSE),"")</f>
        <v>Saturday</v>
      </c>
      <c r="D157" s="7">
        <f>IF('[1]Game Input'!$B157&lt;&gt;"",'[1]Game Input'!$B157,"")</f>
        <v>0.83680555555555547</v>
      </c>
      <c r="E157" s="7">
        <f>IF('[1]Game Input'!$C157&lt;&gt;"",'[1]Game Input'!$C157,"")</f>
        <v>0.79513888888888884</v>
      </c>
      <c r="F157" s="8" t="str">
        <f>IF('[1]Game Input'!$D157&lt;&gt;"",'[1]Game Input'!$D157,"")</f>
        <v>Standard</v>
      </c>
      <c r="G157" s="8" t="str">
        <f>IF('[1]Game Input'!$G157&lt;&gt;"",'[1]Game Input'!$G157,"")</f>
        <v>TC @ LIN</v>
      </c>
      <c r="H157" s="8" t="str">
        <f>IF('[1]Game Input'!$H157&lt;&gt;"",'[1]Game Input'!$H157,"")</f>
        <v>Vs. Conference</v>
      </c>
      <c r="I157" s="8" t="str">
        <f>IF('[1]Game Input'!$I157&lt;&gt;"",'[1]Game Input'!$I157,"")</f>
        <v>TRI-CITY</v>
      </c>
      <c r="J157" s="9">
        <f>IF('[1]Game Input'!$AC157&lt;&gt;"",'[1]Game Input'!$AC157,"")</f>
        <v>37</v>
      </c>
      <c r="K157" s="9">
        <f>IF('[1]Game Input'!$AD157&lt;&gt;"",'[1]Game Input'!$AD157,"")</f>
        <v>9</v>
      </c>
      <c r="L157" s="9">
        <f>IF('[1]Game Input'!$AJ157&lt;&gt;"",'[1]Game Input'!$AJ157,"")</f>
        <v>0</v>
      </c>
      <c r="M157" s="9">
        <f>IF('[1]Game Input'!$AK157&lt;&gt;"",'[1]Game Input'!$AK157,"")</f>
        <v>0</v>
      </c>
      <c r="N157" s="9">
        <f>IF('[1]Game Input'!$AN157&lt;&gt;"",'[1]Game Input'!$AN157,"")</f>
        <v>6</v>
      </c>
      <c r="O157" s="9">
        <f>IF('[1]Game Input'!$AO157&lt;&gt;"",'[1]Game Input'!$AO157,"")</f>
        <v>1</v>
      </c>
      <c r="P157" s="9">
        <f>IF('[1]Game Input'!$AP157&lt;&gt;"",'[1]Game Input'!$AP157,"")</f>
        <v>1</v>
      </c>
      <c r="Q157" s="9">
        <f>IF('[1]Game Input'!$AQ157&lt;&gt;"",'[1]Game Input'!$AQ157,"")</f>
        <v>1</v>
      </c>
      <c r="R157" s="9">
        <f>IF('[1]Game Input'!$AR157&lt;&gt;"",'[1]Game Input'!$AR157,"")</f>
        <v>0</v>
      </c>
      <c r="S157" s="9">
        <f>IF('[1]Game Input'!$AS157&lt;&gt;"",'[1]Game Input'!$AS157,"")</f>
        <v>0</v>
      </c>
      <c r="T157" s="10" t="str">
        <f>IF('[1]Game Input'!$BA157&lt;&gt;"",'[1]Game Input'!$BA157,"")</f>
        <v>LINCOLN</v>
      </c>
      <c r="U157" s="9">
        <f>IF('[1]Game Input'!$BU157&lt;&gt;"",'[1]Game Input'!$BU157,"")</f>
        <v>27</v>
      </c>
      <c r="V157" s="9">
        <f>IF('[1]Game Input'!$BV157&lt;&gt;"",'[1]Game Input'!$BV157,"")</f>
        <v>8</v>
      </c>
      <c r="W157" s="9">
        <f>IF('[1]Game Input'!$CB157&lt;&gt;"",'[1]Game Input'!$CB157,"")</f>
        <v>0</v>
      </c>
      <c r="X157" s="9">
        <f>IF('[1]Game Input'!$CC157&lt;&gt;"",'[1]Game Input'!$CC157,"")</f>
        <v>0</v>
      </c>
      <c r="Y157" s="9">
        <f>IF('[1]Game Input'!$CF157&lt;&gt;"",'[1]Game Input'!$CF157,"")</f>
        <v>6</v>
      </c>
      <c r="Z157" s="9">
        <f>IF('[1]Game Input'!$CG157&lt;&gt;"",'[1]Game Input'!$CG157,"")</f>
        <v>1</v>
      </c>
      <c r="AA157" s="9">
        <f>IF('[1]Game Input'!$CH157&lt;&gt;"",'[1]Game Input'!$CH157,"")</f>
        <v>1</v>
      </c>
      <c r="AB157" s="9">
        <f>IF('[1]Game Input'!$CI157&lt;&gt;"",'[1]Game Input'!$CI157,"")</f>
        <v>0</v>
      </c>
      <c r="AC157" s="9">
        <f>IF('[1]Game Input'!$CJ157&lt;&gt;"",'[1]Game Input'!$CJ157,"")</f>
        <v>0</v>
      </c>
      <c r="AD157" s="9">
        <f>IF('[1]Game Input'!$CK157&lt;&gt;"",'[1]Game Input'!$CK157,"")</f>
        <v>0</v>
      </c>
      <c r="AE157" s="8"/>
      <c r="AF157" s="8"/>
      <c r="AG157" s="8"/>
      <c r="AH157" s="8"/>
    </row>
    <row r="158" spans="1:34" x14ac:dyDescent="0.2">
      <c r="A158" s="6">
        <f>IF('[1]Game Input'!$A158&lt;&gt;"",'[1]Game Input'!$A158,"")</f>
        <v>43428</v>
      </c>
      <c r="B158" s="6" t="str">
        <f>IF(A158&gt;$B$1,VLOOKUP(MONTH($A158),DOTWMonth,2,FALSE),"")</f>
        <v>November</v>
      </c>
      <c r="C158" s="10" t="str">
        <f>IF(A158&gt;$B$1,VLOOKUP(WEEKDAY($A158),DOTWMonth,3,FALSE),"")</f>
        <v>Saturday</v>
      </c>
      <c r="D158" s="7">
        <f>IF('[1]Game Input'!$B158&lt;&gt;"",'[1]Game Input'!$B158,"")</f>
        <v>0.83680555555555547</v>
      </c>
      <c r="E158" s="7">
        <f>IF('[1]Game Input'!$C158&lt;&gt;"",'[1]Game Input'!$C158,"")</f>
        <v>0.79513888888888884</v>
      </c>
      <c r="F158" s="8" t="str">
        <f>IF('[1]Game Input'!$D158&lt;&gt;"",'[1]Game Input'!$D158,"")</f>
        <v>Standard</v>
      </c>
      <c r="G158" s="8" t="str">
        <f>IF('[1]Game Input'!$G158&lt;&gt;"",'[1]Game Input'!$G158,"")</f>
        <v>FGO @ OMA</v>
      </c>
      <c r="H158" s="8" t="str">
        <f>IF('[1]Game Input'!$H158&lt;&gt;"",'[1]Game Input'!$H158,"")</f>
        <v>Vs. Conference</v>
      </c>
      <c r="I158" s="8" t="str">
        <f>IF('[1]Game Input'!$I158&lt;&gt;"",'[1]Game Input'!$I158,"")</f>
        <v>FARGO</v>
      </c>
      <c r="J158" s="9">
        <f>IF('[1]Game Input'!$AC158&lt;&gt;"",'[1]Game Input'!$AC158,"")</f>
        <v>39</v>
      </c>
      <c r="K158" s="9">
        <f>IF('[1]Game Input'!$AD158&lt;&gt;"",'[1]Game Input'!$AD158,"")</f>
        <v>10</v>
      </c>
      <c r="L158" s="9">
        <f>IF('[1]Game Input'!$AJ158&lt;&gt;"",'[1]Game Input'!$AJ158,"")</f>
        <v>0</v>
      </c>
      <c r="M158" s="9">
        <f>IF('[1]Game Input'!$AK158&lt;&gt;"",'[1]Game Input'!$AK158,"")</f>
        <v>0</v>
      </c>
      <c r="N158" s="9">
        <f>IF('[1]Game Input'!$AN158&lt;&gt;"",'[1]Game Input'!$AN158,"")</f>
        <v>7</v>
      </c>
      <c r="O158" s="9">
        <f>IF('[1]Game Input'!$AO158&lt;&gt;"",'[1]Game Input'!$AO158,"")</f>
        <v>1</v>
      </c>
      <c r="P158" s="9">
        <f>IF('[1]Game Input'!$AP158&lt;&gt;"",'[1]Game Input'!$AP158,"")</f>
        <v>1</v>
      </c>
      <c r="Q158" s="9">
        <f>IF('[1]Game Input'!$AQ158&lt;&gt;"",'[1]Game Input'!$AQ158,"")</f>
        <v>1</v>
      </c>
      <c r="R158" s="9">
        <f>IF('[1]Game Input'!$AR158&lt;&gt;"",'[1]Game Input'!$AR158,"")</f>
        <v>0</v>
      </c>
      <c r="S158" s="9">
        <f>IF('[1]Game Input'!$AS158&lt;&gt;"",'[1]Game Input'!$AS158,"")</f>
        <v>0</v>
      </c>
      <c r="T158" s="10" t="str">
        <f>IF('[1]Game Input'!$BA158&lt;&gt;"",'[1]Game Input'!$BA158,"")</f>
        <v>OMAHA</v>
      </c>
      <c r="U158" s="9">
        <f>IF('[1]Game Input'!$BU158&lt;&gt;"",'[1]Game Input'!$BU158,"")</f>
        <v>24</v>
      </c>
      <c r="V158" s="9">
        <f>IF('[1]Game Input'!$BV158&lt;&gt;"",'[1]Game Input'!$BV158,"")</f>
        <v>8</v>
      </c>
      <c r="W158" s="9">
        <f>IF('[1]Game Input'!$CB158&lt;&gt;"",'[1]Game Input'!$CB158,"")</f>
        <v>0</v>
      </c>
      <c r="X158" s="9">
        <f>IF('[1]Game Input'!$CC158&lt;&gt;"",'[1]Game Input'!$CC158,"")</f>
        <v>0</v>
      </c>
      <c r="Y158" s="9">
        <f>IF('[1]Game Input'!$CF158&lt;&gt;"",'[1]Game Input'!$CF158,"")</f>
        <v>7</v>
      </c>
      <c r="Z158" s="9">
        <f>IF('[1]Game Input'!$CG158&lt;&gt;"",'[1]Game Input'!$CG158,"")</f>
        <v>0</v>
      </c>
      <c r="AA158" s="9">
        <f>IF('[1]Game Input'!$CH158&lt;&gt;"",'[1]Game Input'!$CH158,"")</f>
        <v>1</v>
      </c>
      <c r="AB158" s="9">
        <f>IF('[1]Game Input'!$CI158&lt;&gt;"",'[1]Game Input'!$CI158,"")</f>
        <v>0</v>
      </c>
      <c r="AC158" s="9">
        <f>IF('[1]Game Input'!$CJ158&lt;&gt;"",'[1]Game Input'!$CJ158,"")</f>
        <v>0</v>
      </c>
      <c r="AD158" s="9">
        <f>IF('[1]Game Input'!$CK158&lt;&gt;"",'[1]Game Input'!$CK158,"")</f>
        <v>0</v>
      </c>
      <c r="AE158" s="8"/>
      <c r="AF158" s="8"/>
      <c r="AG158" s="8"/>
      <c r="AH158" s="8"/>
    </row>
    <row r="159" spans="1:34" x14ac:dyDescent="0.2">
      <c r="A159" s="6">
        <f>IF('[1]Game Input'!$A159&lt;&gt;"",'[1]Game Input'!$A159,"")</f>
        <v>43428</v>
      </c>
      <c r="B159" s="6" t="str">
        <f>IF(A159&gt;$B$1,VLOOKUP(MONTH($A159),DOTWMonth,2,FALSE),"")</f>
        <v>November</v>
      </c>
      <c r="C159" s="10" t="str">
        <f>IF(A159&gt;$B$1,VLOOKUP(WEEKDAY($A159),DOTWMonth,3,FALSE),"")</f>
        <v>Saturday</v>
      </c>
      <c r="D159" s="7">
        <f>IF('[1]Game Input'!$B159&lt;&gt;"",'[1]Game Input'!$B159,"")</f>
        <v>0.83680555555555547</v>
      </c>
      <c r="E159" s="7">
        <f>IF('[1]Game Input'!$C159&lt;&gt;"",'[1]Game Input'!$C159,"")</f>
        <v>0.79513888888888884</v>
      </c>
      <c r="F159" s="8" t="str">
        <f>IF('[1]Game Input'!$D159&lt;&gt;"",'[1]Game Input'!$D159,"")</f>
        <v>Standard</v>
      </c>
      <c r="G159" s="8" t="str">
        <f>IF('[1]Game Input'!$G159&lt;&gt;"",'[1]Game Input'!$G159,"")</f>
        <v>WAT @ CR</v>
      </c>
      <c r="H159" s="8" t="str">
        <f>IF('[1]Game Input'!$H159&lt;&gt;"",'[1]Game Input'!$H159,"")</f>
        <v>Vs. Non-Conference</v>
      </c>
      <c r="I159" s="8" t="str">
        <f>IF('[1]Game Input'!$I159&lt;&gt;"",'[1]Game Input'!$I159,"")</f>
        <v>WATERLOO</v>
      </c>
      <c r="J159" s="9">
        <f>IF('[1]Game Input'!$AC159&lt;&gt;"",'[1]Game Input'!$AC159,"")</f>
        <v>48</v>
      </c>
      <c r="K159" s="9">
        <f>IF('[1]Game Input'!$AD159&lt;&gt;"",'[1]Game Input'!$AD159,"")</f>
        <v>12</v>
      </c>
      <c r="L159" s="9">
        <f>IF('[1]Game Input'!$AJ159&lt;&gt;"",'[1]Game Input'!$AJ159,"")</f>
        <v>0</v>
      </c>
      <c r="M159" s="9">
        <f>IF('[1]Game Input'!$AK159&lt;&gt;"",'[1]Game Input'!$AK159,"")</f>
        <v>0</v>
      </c>
      <c r="N159" s="9">
        <f>IF('[1]Game Input'!$AN159&lt;&gt;"",'[1]Game Input'!$AN159,"")</f>
        <v>9</v>
      </c>
      <c r="O159" s="9">
        <f>IF('[1]Game Input'!$AO159&lt;&gt;"",'[1]Game Input'!$AO159,"")</f>
        <v>0</v>
      </c>
      <c r="P159" s="9">
        <f>IF('[1]Game Input'!$AP159&lt;&gt;"",'[1]Game Input'!$AP159,"")</f>
        <v>3</v>
      </c>
      <c r="Q159" s="9">
        <f>IF('[1]Game Input'!$AQ159&lt;&gt;"",'[1]Game Input'!$AQ159,"")</f>
        <v>0</v>
      </c>
      <c r="R159" s="9">
        <f>IF('[1]Game Input'!$AR159&lt;&gt;"",'[1]Game Input'!$AR159,"")</f>
        <v>0</v>
      </c>
      <c r="S159" s="9">
        <f>IF('[1]Game Input'!$AS159&lt;&gt;"",'[1]Game Input'!$AS159,"")</f>
        <v>0</v>
      </c>
      <c r="T159" s="10" t="str">
        <f>IF('[1]Game Input'!$BA159&lt;&gt;"",'[1]Game Input'!$BA159,"")</f>
        <v>CEDAR RAPIDS</v>
      </c>
      <c r="U159" s="9">
        <f>IF('[1]Game Input'!$BU159&lt;&gt;"",'[1]Game Input'!$BU159,"")</f>
        <v>36</v>
      </c>
      <c r="V159" s="9">
        <f>IF('[1]Game Input'!$BV159&lt;&gt;"",'[1]Game Input'!$BV159,"")</f>
        <v>10</v>
      </c>
      <c r="W159" s="9">
        <f>IF('[1]Game Input'!$CB159&lt;&gt;"",'[1]Game Input'!$CB159,"")</f>
        <v>0</v>
      </c>
      <c r="X159" s="9">
        <f>IF('[1]Game Input'!$CC159&lt;&gt;"",'[1]Game Input'!$CC159,"")</f>
        <v>0</v>
      </c>
      <c r="Y159" s="9">
        <f>IF('[1]Game Input'!$CF159&lt;&gt;"",'[1]Game Input'!$CF159,"")</f>
        <v>8</v>
      </c>
      <c r="Z159" s="9">
        <f>IF('[1]Game Input'!$CG159&lt;&gt;"",'[1]Game Input'!$CG159,"")</f>
        <v>0</v>
      </c>
      <c r="AA159" s="9">
        <f>IF('[1]Game Input'!$CH159&lt;&gt;"",'[1]Game Input'!$CH159,"")</f>
        <v>2</v>
      </c>
      <c r="AB159" s="9">
        <f>IF('[1]Game Input'!$CI159&lt;&gt;"",'[1]Game Input'!$CI159,"")</f>
        <v>0</v>
      </c>
      <c r="AC159" s="9">
        <f>IF('[1]Game Input'!$CJ159&lt;&gt;"",'[1]Game Input'!$CJ159,"")</f>
        <v>0</v>
      </c>
      <c r="AD159" s="9">
        <f>IF('[1]Game Input'!$CK159&lt;&gt;"",'[1]Game Input'!$CK159,"")</f>
        <v>0</v>
      </c>
      <c r="AE159" s="8" t="s">
        <v>97</v>
      </c>
      <c r="AF159" s="8" t="s">
        <v>95</v>
      </c>
      <c r="AG159" s="8" t="s">
        <v>112</v>
      </c>
      <c r="AH159" s="8" t="s">
        <v>150</v>
      </c>
    </row>
    <row r="160" spans="1:34" x14ac:dyDescent="0.2">
      <c r="A160" s="6">
        <f>IF('[1]Game Input'!$A160&lt;&gt;"",'[1]Game Input'!$A160,"")</f>
        <v>43428</v>
      </c>
      <c r="B160" s="6" t="str">
        <f>IF(A160&gt;$B$1,VLOOKUP(MONTH($A160),DOTWMonth,2,FALSE),"")</f>
        <v>November</v>
      </c>
      <c r="C160" s="10" t="str">
        <f>IF(A160&gt;$B$1,VLOOKUP(WEEKDAY($A160),DOTWMonth,3,FALSE),"")</f>
        <v>Saturday</v>
      </c>
      <c r="D160" s="7">
        <f>IF('[1]Game Input'!$B160&lt;&gt;"",'[1]Game Input'!$B160,"")</f>
        <v>0.83680555555555547</v>
      </c>
      <c r="E160" s="7">
        <f>IF('[1]Game Input'!$C160&lt;&gt;"",'[1]Game Input'!$C160,"")</f>
        <v>0.79513888888888884</v>
      </c>
      <c r="F160" s="8" t="str">
        <f>IF('[1]Game Input'!$D160&lt;&gt;"",'[1]Game Input'!$D160,"")</f>
        <v>Standard</v>
      </c>
      <c r="G160" s="8" t="str">
        <f>IF('[1]Game Input'!$G160&lt;&gt;"",'[1]Game Input'!$G160,"")</f>
        <v>DUB @ SF</v>
      </c>
      <c r="H160" s="8" t="str">
        <f>IF('[1]Game Input'!$H160&lt;&gt;"",'[1]Game Input'!$H160,"")</f>
        <v>Vs. Non-Conference</v>
      </c>
      <c r="I160" s="8" t="str">
        <f>IF('[1]Game Input'!$I160&lt;&gt;"",'[1]Game Input'!$I160,"")</f>
        <v>DUBUQUE</v>
      </c>
      <c r="J160" s="9">
        <f>IF('[1]Game Input'!$AC160&lt;&gt;"",'[1]Game Input'!$AC160,"")</f>
        <v>60</v>
      </c>
      <c r="K160" s="9">
        <f>IF('[1]Game Input'!$AD160&lt;&gt;"",'[1]Game Input'!$AD160,"")</f>
        <v>14</v>
      </c>
      <c r="L160" s="9">
        <f>IF('[1]Game Input'!$AJ160&lt;&gt;"",'[1]Game Input'!$AJ160,"")</f>
        <v>0</v>
      </c>
      <c r="M160" s="9">
        <f>IF('[1]Game Input'!$AK160&lt;&gt;"",'[1]Game Input'!$AK160,"")</f>
        <v>0</v>
      </c>
      <c r="N160" s="9">
        <f>IF('[1]Game Input'!$AN160&lt;&gt;"",'[1]Game Input'!$AN160,"")</f>
        <v>10</v>
      </c>
      <c r="O160" s="9">
        <f>IF('[1]Game Input'!$AO160&lt;&gt;"",'[1]Game Input'!$AO160,"")</f>
        <v>0</v>
      </c>
      <c r="P160" s="9">
        <f>IF('[1]Game Input'!$AP160&lt;&gt;"",'[1]Game Input'!$AP160,"")</f>
        <v>4</v>
      </c>
      <c r="Q160" s="9">
        <f>IF('[1]Game Input'!$AQ160&lt;&gt;"",'[1]Game Input'!$AQ160,"")</f>
        <v>0</v>
      </c>
      <c r="R160" s="9">
        <f>IF('[1]Game Input'!$AR160&lt;&gt;"",'[1]Game Input'!$AR160,"")</f>
        <v>0</v>
      </c>
      <c r="S160" s="9">
        <f>IF('[1]Game Input'!$AS160&lt;&gt;"",'[1]Game Input'!$AS160,"")</f>
        <v>0</v>
      </c>
      <c r="T160" s="10" t="str">
        <f>IF('[1]Game Input'!$BA160&lt;&gt;"",'[1]Game Input'!$BA160,"")</f>
        <v>SIOUX FALLS</v>
      </c>
      <c r="U160" s="9">
        <f>IF('[1]Game Input'!$BU160&lt;&gt;"",'[1]Game Input'!$BU160,"")</f>
        <v>44</v>
      </c>
      <c r="V160" s="9">
        <f>IF('[1]Game Input'!$BV160&lt;&gt;"",'[1]Game Input'!$BV160,"")</f>
        <v>10</v>
      </c>
      <c r="W160" s="9">
        <f>IF('[1]Game Input'!$CB160&lt;&gt;"",'[1]Game Input'!$CB160,"")</f>
        <v>0</v>
      </c>
      <c r="X160" s="9">
        <f>IF('[1]Game Input'!$CC160&lt;&gt;"",'[1]Game Input'!$CC160,"")</f>
        <v>0</v>
      </c>
      <c r="Y160" s="9">
        <f>IF('[1]Game Input'!$CF160&lt;&gt;"",'[1]Game Input'!$CF160,"")</f>
        <v>7</v>
      </c>
      <c r="Z160" s="9">
        <f>IF('[1]Game Input'!$CG160&lt;&gt;"",'[1]Game Input'!$CG160,"")</f>
        <v>0</v>
      </c>
      <c r="AA160" s="9">
        <f>IF('[1]Game Input'!$CH160&lt;&gt;"",'[1]Game Input'!$CH160,"")</f>
        <v>3</v>
      </c>
      <c r="AB160" s="9">
        <f>IF('[1]Game Input'!$CI160&lt;&gt;"",'[1]Game Input'!$CI160,"")</f>
        <v>0</v>
      </c>
      <c r="AC160" s="9">
        <f>IF('[1]Game Input'!$CJ160&lt;&gt;"",'[1]Game Input'!$CJ160,"")</f>
        <v>0</v>
      </c>
      <c r="AD160" s="9">
        <f>IF('[1]Game Input'!$CK160&lt;&gt;"",'[1]Game Input'!$CK160,"")</f>
        <v>0</v>
      </c>
      <c r="AE160" s="8"/>
      <c r="AF160" s="8"/>
      <c r="AG160" s="8"/>
      <c r="AH160" s="8"/>
    </row>
    <row r="161" spans="1:34" x14ac:dyDescent="0.2">
      <c r="A161" s="6">
        <f>IF('[1]Game Input'!$A161&lt;&gt;"",'[1]Game Input'!$A161,"")</f>
        <v>43428</v>
      </c>
      <c r="B161" s="6" t="str">
        <f>IF(A161&gt;$B$1,VLOOKUP(MONTH($A161),DOTWMonth,2,FALSE),"")</f>
        <v>November</v>
      </c>
      <c r="C161" s="10" t="str">
        <f>IF(A161&gt;$B$1,VLOOKUP(WEEKDAY($A161),DOTWMonth,3,FALSE),"")</f>
        <v>Saturday</v>
      </c>
      <c r="D161" s="7">
        <f>IF('[1]Game Input'!$B161&lt;&gt;"",'[1]Game Input'!$B161,"")</f>
        <v>0.83819444444444446</v>
      </c>
      <c r="E161" s="7">
        <f>IF('[1]Game Input'!$C161&lt;&gt;"",'[1]Game Input'!$C161,"")</f>
        <v>0.79652777777777783</v>
      </c>
      <c r="F161" s="8" t="str">
        <f>IF('[1]Game Input'!$D161&lt;&gt;"",'[1]Game Input'!$D161,"")</f>
        <v>Standard</v>
      </c>
      <c r="G161" s="8" t="str">
        <f>IF('[1]Game Input'!$G161&lt;&gt;"",'[1]Game Input'!$G161,"")</f>
        <v>CHI @ CIL</v>
      </c>
      <c r="H161" s="8" t="str">
        <f>IF('[1]Game Input'!$H161&lt;&gt;"",'[1]Game Input'!$H161,"")</f>
        <v>Vs. Conference</v>
      </c>
      <c r="I161" s="8" t="str">
        <f>IF('[1]Game Input'!$I161&lt;&gt;"",'[1]Game Input'!$I161,"")</f>
        <v>CHICAGO</v>
      </c>
      <c r="J161" s="9">
        <f>IF('[1]Game Input'!$AC161&lt;&gt;"",'[1]Game Input'!$AC161,"")</f>
        <v>10</v>
      </c>
      <c r="K161" s="9">
        <f>IF('[1]Game Input'!$AD161&lt;&gt;"",'[1]Game Input'!$AD161,"")</f>
        <v>5</v>
      </c>
      <c r="L161" s="9">
        <f>IF('[1]Game Input'!$AJ161&lt;&gt;"",'[1]Game Input'!$AJ161,"")</f>
        <v>0</v>
      </c>
      <c r="M161" s="9">
        <f>IF('[1]Game Input'!$AK161&lt;&gt;"",'[1]Game Input'!$AK161,"")</f>
        <v>0</v>
      </c>
      <c r="N161" s="9">
        <f>IF('[1]Game Input'!$AN161&lt;&gt;"",'[1]Game Input'!$AN161,"")</f>
        <v>5</v>
      </c>
      <c r="O161" s="9">
        <f>IF('[1]Game Input'!$AO161&lt;&gt;"",'[1]Game Input'!$AO161,"")</f>
        <v>0</v>
      </c>
      <c r="P161" s="9">
        <f>IF('[1]Game Input'!$AP161&lt;&gt;"",'[1]Game Input'!$AP161,"")</f>
        <v>0</v>
      </c>
      <c r="Q161" s="9">
        <f>IF('[1]Game Input'!$AQ161&lt;&gt;"",'[1]Game Input'!$AQ161,"")</f>
        <v>0</v>
      </c>
      <c r="R161" s="9">
        <f>IF('[1]Game Input'!$AR161&lt;&gt;"",'[1]Game Input'!$AR161,"")</f>
        <v>0</v>
      </c>
      <c r="S161" s="9">
        <f>IF('[1]Game Input'!$AS161&lt;&gt;"",'[1]Game Input'!$AS161,"")</f>
        <v>0</v>
      </c>
      <c r="T161" s="10" t="str">
        <f>IF('[1]Game Input'!$BA161&lt;&gt;"",'[1]Game Input'!$BA161,"")</f>
        <v>CENTRAL ILLINOIS</v>
      </c>
      <c r="U161" s="9">
        <f>IF('[1]Game Input'!$BU161&lt;&gt;"",'[1]Game Input'!$BU161,"")</f>
        <v>10</v>
      </c>
      <c r="V161" s="9">
        <f>IF('[1]Game Input'!$BV161&lt;&gt;"",'[1]Game Input'!$BV161,"")</f>
        <v>5</v>
      </c>
      <c r="W161" s="9">
        <f>IF('[1]Game Input'!$CB161&lt;&gt;"",'[1]Game Input'!$CB161,"")</f>
        <v>0</v>
      </c>
      <c r="X161" s="9">
        <f>IF('[1]Game Input'!$CC161&lt;&gt;"",'[1]Game Input'!$CC161,"")</f>
        <v>0</v>
      </c>
      <c r="Y161" s="9">
        <f>IF('[1]Game Input'!$CF161&lt;&gt;"",'[1]Game Input'!$CF161,"")</f>
        <v>5</v>
      </c>
      <c r="Z161" s="9">
        <f>IF('[1]Game Input'!$CG161&lt;&gt;"",'[1]Game Input'!$CG161,"")</f>
        <v>0</v>
      </c>
      <c r="AA161" s="9">
        <f>IF('[1]Game Input'!$CH161&lt;&gt;"",'[1]Game Input'!$CH161,"")</f>
        <v>0</v>
      </c>
      <c r="AB161" s="9">
        <f>IF('[1]Game Input'!$CI161&lt;&gt;"",'[1]Game Input'!$CI161,"")</f>
        <v>0</v>
      </c>
      <c r="AC161" s="9">
        <f>IF('[1]Game Input'!$CJ161&lt;&gt;"",'[1]Game Input'!$CJ161,"")</f>
        <v>0</v>
      </c>
      <c r="AD161" s="9">
        <f>IF('[1]Game Input'!$CK161&lt;&gt;"",'[1]Game Input'!$CK161,"")</f>
        <v>0</v>
      </c>
      <c r="AE161" s="8" t="s">
        <v>103</v>
      </c>
      <c r="AF161" s="8" t="s">
        <v>125</v>
      </c>
      <c r="AG161" s="8" t="s">
        <v>108</v>
      </c>
      <c r="AH161" s="8" t="s">
        <v>141</v>
      </c>
    </row>
    <row r="162" spans="1:34" x14ac:dyDescent="0.2">
      <c r="A162" s="6">
        <f>IF('[1]Game Input'!$A162&lt;&gt;"",'[1]Game Input'!$A162,"")</f>
        <v>43434</v>
      </c>
      <c r="B162" s="6" t="str">
        <f>IF(A162&gt;$B$1,VLOOKUP(MONTH($A162),DOTWMonth,2,FALSE),"")</f>
        <v>November</v>
      </c>
      <c r="C162" s="10" t="str">
        <f>IF(A162&gt;$B$1,VLOOKUP(WEEKDAY($A162),DOTWMonth,3,FALSE),"")</f>
        <v>Friday</v>
      </c>
      <c r="D162" s="7">
        <f>IF('[1]Game Input'!$B162&lt;&gt;"",'[1]Game Input'!$B162,"")</f>
        <v>0.79166666666666663</v>
      </c>
      <c r="E162" s="7">
        <f>IF('[1]Game Input'!$C162&lt;&gt;"",'[1]Game Input'!$C162,"")</f>
        <v>0.75</v>
      </c>
      <c r="F162" s="8" t="str">
        <f>IF('[1]Game Input'!$D162&lt;&gt;"",'[1]Game Input'!$D162,"")</f>
        <v>Standard</v>
      </c>
      <c r="G162" s="8" t="str">
        <f>IF('[1]Game Input'!$G162&lt;&gt;"",'[1]Game Input'!$G162,"")</f>
        <v>WAT @ USA</v>
      </c>
      <c r="H162" s="8" t="str">
        <f>IF('[1]Game Input'!$H162&lt;&gt;"",'[1]Game Input'!$H162,"")</f>
        <v>Vs. Non-Conference</v>
      </c>
      <c r="I162" s="8" t="str">
        <f>IF('[1]Game Input'!$I162&lt;&gt;"",'[1]Game Input'!$I162,"")</f>
        <v>WATERLOO</v>
      </c>
      <c r="J162" s="9">
        <f>IF('[1]Game Input'!$AC162&lt;&gt;"",'[1]Game Input'!$AC162,"")</f>
        <v>28</v>
      </c>
      <c r="K162" s="9">
        <f>IF('[1]Game Input'!$AD162&lt;&gt;"",'[1]Game Input'!$AD162,"")</f>
        <v>10</v>
      </c>
      <c r="L162" s="9">
        <f>IF('[1]Game Input'!$AJ162&lt;&gt;"",'[1]Game Input'!$AJ162,"")</f>
        <v>0</v>
      </c>
      <c r="M162" s="9">
        <f>IF('[1]Game Input'!$AK162&lt;&gt;"",'[1]Game Input'!$AK162,"")</f>
        <v>0</v>
      </c>
      <c r="N162" s="9">
        <f>IF('[1]Game Input'!$AN162&lt;&gt;"",'[1]Game Input'!$AN162,"")</f>
        <v>9</v>
      </c>
      <c r="O162" s="9">
        <f>IF('[1]Game Input'!$AO162&lt;&gt;"",'[1]Game Input'!$AO162,"")</f>
        <v>0</v>
      </c>
      <c r="P162" s="9">
        <f>IF('[1]Game Input'!$AP162&lt;&gt;"",'[1]Game Input'!$AP162,"")</f>
        <v>1</v>
      </c>
      <c r="Q162" s="9">
        <f>IF('[1]Game Input'!$AQ162&lt;&gt;"",'[1]Game Input'!$AQ162,"")</f>
        <v>0</v>
      </c>
      <c r="R162" s="9">
        <f>IF('[1]Game Input'!$AR162&lt;&gt;"",'[1]Game Input'!$AR162,"")</f>
        <v>0</v>
      </c>
      <c r="S162" s="9">
        <f>IF('[1]Game Input'!$AS162&lt;&gt;"",'[1]Game Input'!$AS162,"")</f>
        <v>0</v>
      </c>
      <c r="T162" s="10" t="str">
        <f>IF('[1]Game Input'!$BA162&lt;&gt;"",'[1]Game Input'!$BA162,"")</f>
        <v>TEAM USA</v>
      </c>
      <c r="U162" s="9">
        <f>IF('[1]Game Input'!$BU162&lt;&gt;"",'[1]Game Input'!$BU162,"")</f>
        <v>20</v>
      </c>
      <c r="V162" s="9">
        <f>IF('[1]Game Input'!$BV162&lt;&gt;"",'[1]Game Input'!$BV162,"")</f>
        <v>10</v>
      </c>
      <c r="W162" s="9">
        <f>IF('[1]Game Input'!$CB162&lt;&gt;"",'[1]Game Input'!$CB162,"")</f>
        <v>0</v>
      </c>
      <c r="X162" s="9">
        <f>IF('[1]Game Input'!$CC162&lt;&gt;"",'[1]Game Input'!$CC162,"")</f>
        <v>0</v>
      </c>
      <c r="Y162" s="9">
        <f>IF('[1]Game Input'!$CF162&lt;&gt;"",'[1]Game Input'!$CF162,"")</f>
        <v>10</v>
      </c>
      <c r="Z162" s="9">
        <f>IF('[1]Game Input'!$CG162&lt;&gt;"",'[1]Game Input'!$CG162,"")</f>
        <v>0</v>
      </c>
      <c r="AA162" s="9">
        <f>IF('[1]Game Input'!$CH162&lt;&gt;"",'[1]Game Input'!$CH162,"")</f>
        <v>0</v>
      </c>
      <c r="AB162" s="9">
        <f>IF('[1]Game Input'!$CI162&lt;&gt;"",'[1]Game Input'!$CI162,"")</f>
        <v>0</v>
      </c>
      <c r="AC162" s="9">
        <f>IF('[1]Game Input'!$CJ162&lt;&gt;"",'[1]Game Input'!$CJ162,"")</f>
        <v>0</v>
      </c>
      <c r="AD162" s="9">
        <f>IF('[1]Game Input'!$CK162&lt;&gt;"",'[1]Game Input'!$CK162,"")</f>
        <v>0</v>
      </c>
      <c r="AE162" s="8"/>
      <c r="AF162" s="8"/>
      <c r="AG162" s="8"/>
      <c r="AH162" s="8"/>
    </row>
    <row r="163" spans="1:34" x14ac:dyDescent="0.2">
      <c r="A163" s="6">
        <f>IF('[1]Game Input'!$A163&lt;&gt;"",'[1]Game Input'!$A163,"")</f>
        <v>43434</v>
      </c>
      <c r="B163" s="6" t="str">
        <f>IF(A163&gt;$B$1,VLOOKUP(MONTH($A163),DOTWMonth,2,FALSE),"")</f>
        <v>November</v>
      </c>
      <c r="C163" s="10" t="str">
        <f>IF(A163&gt;$B$1,VLOOKUP(WEEKDAY($A163),DOTWMonth,3,FALSE),"")</f>
        <v>Friday</v>
      </c>
      <c r="D163" s="7">
        <f>IF('[1]Game Input'!$B163&lt;&gt;"",'[1]Game Input'!$B163,"")</f>
        <v>0.79513888888888884</v>
      </c>
      <c r="E163" s="7">
        <f>IF('[1]Game Input'!$C163&lt;&gt;"",'[1]Game Input'!$C163,"")</f>
        <v>0.75347222222222221</v>
      </c>
      <c r="F163" s="8" t="str">
        <f>IF('[1]Game Input'!$D163&lt;&gt;"",'[1]Game Input'!$D163,"")</f>
        <v>Standard</v>
      </c>
      <c r="G163" s="8" t="str">
        <f>IF('[1]Game Input'!$G163&lt;&gt;"",'[1]Game Input'!$G163,"")</f>
        <v>FGO @ YNG</v>
      </c>
      <c r="H163" s="8" t="str">
        <f>IF('[1]Game Input'!$H163&lt;&gt;"",'[1]Game Input'!$H163,"")</f>
        <v>Vs. Non-Conference</v>
      </c>
      <c r="I163" s="8" t="str">
        <f>IF('[1]Game Input'!$I163&lt;&gt;"",'[1]Game Input'!$I163,"")</f>
        <v>FARGO</v>
      </c>
      <c r="J163" s="9">
        <f>IF('[1]Game Input'!$AC163&lt;&gt;"",'[1]Game Input'!$AC163,"")</f>
        <v>10</v>
      </c>
      <c r="K163" s="9">
        <f>IF('[1]Game Input'!$AD163&lt;&gt;"",'[1]Game Input'!$AD163,"")</f>
        <v>5</v>
      </c>
      <c r="L163" s="9">
        <f>IF('[1]Game Input'!$AJ163&lt;&gt;"",'[1]Game Input'!$AJ163,"")</f>
        <v>0</v>
      </c>
      <c r="M163" s="9">
        <f>IF('[1]Game Input'!$AK163&lt;&gt;"",'[1]Game Input'!$AK163,"")</f>
        <v>0</v>
      </c>
      <c r="N163" s="9">
        <f>IF('[1]Game Input'!$AN163&lt;&gt;"",'[1]Game Input'!$AN163,"")</f>
        <v>5</v>
      </c>
      <c r="O163" s="9">
        <f>IF('[1]Game Input'!$AO163&lt;&gt;"",'[1]Game Input'!$AO163,"")</f>
        <v>0</v>
      </c>
      <c r="P163" s="9">
        <f>IF('[1]Game Input'!$AP163&lt;&gt;"",'[1]Game Input'!$AP163,"")</f>
        <v>0</v>
      </c>
      <c r="Q163" s="9">
        <f>IF('[1]Game Input'!$AQ163&lt;&gt;"",'[1]Game Input'!$AQ163,"")</f>
        <v>0</v>
      </c>
      <c r="R163" s="9">
        <f>IF('[1]Game Input'!$AR163&lt;&gt;"",'[1]Game Input'!$AR163,"")</f>
        <v>0</v>
      </c>
      <c r="S163" s="9">
        <f>IF('[1]Game Input'!$AS163&lt;&gt;"",'[1]Game Input'!$AS163,"")</f>
        <v>0</v>
      </c>
      <c r="T163" s="10" t="str">
        <f>IF('[1]Game Input'!$BA163&lt;&gt;"",'[1]Game Input'!$BA163,"")</f>
        <v>YOUNGSTOWN</v>
      </c>
      <c r="U163" s="9">
        <f>IF('[1]Game Input'!$BU163&lt;&gt;"",'[1]Game Input'!$BU163,"")</f>
        <v>14</v>
      </c>
      <c r="V163" s="9">
        <f>IF('[1]Game Input'!$BV163&lt;&gt;"",'[1]Game Input'!$BV163,"")</f>
        <v>7</v>
      </c>
      <c r="W163" s="9">
        <f>IF('[1]Game Input'!$CB163&lt;&gt;"",'[1]Game Input'!$CB163,"")</f>
        <v>0</v>
      </c>
      <c r="X163" s="9">
        <f>IF('[1]Game Input'!$CC163&lt;&gt;"",'[1]Game Input'!$CC163,"")</f>
        <v>0</v>
      </c>
      <c r="Y163" s="9">
        <f>IF('[1]Game Input'!$CF163&lt;&gt;"",'[1]Game Input'!$CF163,"")</f>
        <v>7</v>
      </c>
      <c r="Z163" s="9">
        <f>IF('[1]Game Input'!$CG163&lt;&gt;"",'[1]Game Input'!$CG163,"")</f>
        <v>0</v>
      </c>
      <c r="AA163" s="9">
        <f>IF('[1]Game Input'!$CH163&lt;&gt;"",'[1]Game Input'!$CH163,"")</f>
        <v>0</v>
      </c>
      <c r="AB163" s="9">
        <f>IF('[1]Game Input'!$CI163&lt;&gt;"",'[1]Game Input'!$CI163,"")</f>
        <v>0</v>
      </c>
      <c r="AC163" s="9">
        <f>IF('[1]Game Input'!$CJ163&lt;&gt;"",'[1]Game Input'!$CJ163,"")</f>
        <v>0</v>
      </c>
      <c r="AD163" s="9">
        <f>IF('[1]Game Input'!$CK163&lt;&gt;"",'[1]Game Input'!$CK163,"")</f>
        <v>0</v>
      </c>
      <c r="AE163" s="8"/>
      <c r="AF163" s="8"/>
      <c r="AG163" s="8"/>
      <c r="AH163" s="8"/>
    </row>
    <row r="164" spans="1:34" x14ac:dyDescent="0.2">
      <c r="A164" s="6">
        <f>IF('[1]Game Input'!$A164&lt;&gt;"",'[1]Game Input'!$A164,"")</f>
        <v>43434</v>
      </c>
      <c r="B164" s="6" t="str">
        <f>IF(A164&gt;$B$1,VLOOKUP(MONTH($A164),DOTWMonth,2,FALSE),"")</f>
        <v>November</v>
      </c>
      <c r="C164" s="10" t="str">
        <f>IF(A164&gt;$B$1,VLOOKUP(WEEKDAY($A164),DOTWMonth,3,FALSE),"")</f>
        <v>Friday</v>
      </c>
      <c r="D164" s="7">
        <f>IF('[1]Game Input'!$B164&lt;&gt;"",'[1]Game Input'!$B164,"")</f>
        <v>0.83680555555555547</v>
      </c>
      <c r="E164" s="7">
        <f>IF('[1]Game Input'!$C164&lt;&gt;"",'[1]Game Input'!$C164,"")</f>
        <v>0.79513888888888884</v>
      </c>
      <c r="F164" s="8" t="str">
        <f>IF('[1]Game Input'!$D164&lt;&gt;"",'[1]Game Input'!$D164,"")</f>
        <v>Standard</v>
      </c>
      <c r="G164" s="8" t="str">
        <f>IF('[1]Game Input'!$G164&lt;&gt;"",'[1]Game Input'!$G164,"")</f>
        <v>CIL @ CHI</v>
      </c>
      <c r="H164" s="8" t="str">
        <f>IF('[1]Game Input'!$H164&lt;&gt;"",'[1]Game Input'!$H164,"")</f>
        <v>Vs. Conference</v>
      </c>
      <c r="I164" s="8" t="str">
        <f>IF('[1]Game Input'!$I164&lt;&gt;"",'[1]Game Input'!$I164,"")</f>
        <v>CENTRAL ILLINOIS</v>
      </c>
      <c r="J164" s="9">
        <f>IF('[1]Game Input'!$AC164&lt;&gt;"",'[1]Game Input'!$AC164,"")</f>
        <v>12</v>
      </c>
      <c r="K164" s="9">
        <f>IF('[1]Game Input'!$AD164&lt;&gt;"",'[1]Game Input'!$AD164,"")</f>
        <v>6</v>
      </c>
      <c r="L164" s="9">
        <f>IF('[1]Game Input'!$AJ164&lt;&gt;"",'[1]Game Input'!$AJ164,"")</f>
        <v>0</v>
      </c>
      <c r="M164" s="9">
        <f>IF('[1]Game Input'!$AK164&lt;&gt;"",'[1]Game Input'!$AK164,"")</f>
        <v>0</v>
      </c>
      <c r="N164" s="9">
        <f>IF('[1]Game Input'!$AN164&lt;&gt;"",'[1]Game Input'!$AN164,"")</f>
        <v>6</v>
      </c>
      <c r="O164" s="9">
        <f>IF('[1]Game Input'!$AO164&lt;&gt;"",'[1]Game Input'!$AO164,"")</f>
        <v>0</v>
      </c>
      <c r="P164" s="9">
        <f>IF('[1]Game Input'!$AP164&lt;&gt;"",'[1]Game Input'!$AP164,"")</f>
        <v>0</v>
      </c>
      <c r="Q164" s="9">
        <f>IF('[1]Game Input'!$AQ164&lt;&gt;"",'[1]Game Input'!$AQ164,"")</f>
        <v>0</v>
      </c>
      <c r="R164" s="9">
        <f>IF('[1]Game Input'!$AR164&lt;&gt;"",'[1]Game Input'!$AR164,"")</f>
        <v>0</v>
      </c>
      <c r="S164" s="9">
        <f>IF('[1]Game Input'!$AS164&lt;&gt;"",'[1]Game Input'!$AS164,"")</f>
        <v>0</v>
      </c>
      <c r="T164" s="10" t="str">
        <f>IF('[1]Game Input'!$BA164&lt;&gt;"",'[1]Game Input'!$BA164,"")</f>
        <v>CHICAGO</v>
      </c>
      <c r="U164" s="9">
        <f>IF('[1]Game Input'!$BU164&lt;&gt;"",'[1]Game Input'!$BU164,"")</f>
        <v>6</v>
      </c>
      <c r="V164" s="9">
        <f>IF('[1]Game Input'!$BV164&lt;&gt;"",'[1]Game Input'!$BV164,"")</f>
        <v>3</v>
      </c>
      <c r="W164" s="9">
        <f>IF('[1]Game Input'!$CB164&lt;&gt;"",'[1]Game Input'!$CB164,"")</f>
        <v>0</v>
      </c>
      <c r="X164" s="9">
        <f>IF('[1]Game Input'!$CC164&lt;&gt;"",'[1]Game Input'!$CC164,"")</f>
        <v>0</v>
      </c>
      <c r="Y164" s="9">
        <f>IF('[1]Game Input'!$CF164&lt;&gt;"",'[1]Game Input'!$CF164,"")</f>
        <v>3</v>
      </c>
      <c r="Z164" s="9">
        <f>IF('[1]Game Input'!$CG164&lt;&gt;"",'[1]Game Input'!$CG164,"")</f>
        <v>0</v>
      </c>
      <c r="AA164" s="9">
        <f>IF('[1]Game Input'!$CH164&lt;&gt;"",'[1]Game Input'!$CH164,"")</f>
        <v>0</v>
      </c>
      <c r="AB164" s="9">
        <f>IF('[1]Game Input'!$CI164&lt;&gt;"",'[1]Game Input'!$CI164,"")</f>
        <v>0</v>
      </c>
      <c r="AC164" s="9">
        <f>IF('[1]Game Input'!$CJ164&lt;&gt;"",'[1]Game Input'!$CJ164,"")</f>
        <v>0</v>
      </c>
      <c r="AD164" s="9">
        <f>IF('[1]Game Input'!$CK164&lt;&gt;"",'[1]Game Input'!$CK164,"")</f>
        <v>0</v>
      </c>
      <c r="AE164" s="8" t="s">
        <v>125</v>
      </c>
      <c r="AF164" s="8"/>
      <c r="AG164" s="8" t="s">
        <v>141</v>
      </c>
      <c r="AH164" s="8" t="s">
        <v>161</v>
      </c>
    </row>
    <row r="165" spans="1:34" x14ac:dyDescent="0.2">
      <c r="A165" s="6">
        <f>IF('[1]Game Input'!$A165&lt;&gt;"",'[1]Game Input'!$A165,"")</f>
        <v>43434</v>
      </c>
      <c r="B165" s="6" t="str">
        <f>IF(A165&gt;$B$1,VLOOKUP(MONTH($A165),DOTWMonth,2,FALSE),"")</f>
        <v>November</v>
      </c>
      <c r="C165" s="10" t="str">
        <f>IF(A165&gt;$B$1,VLOOKUP(WEEKDAY($A165),DOTWMonth,3,FALSE),"")</f>
        <v>Friday</v>
      </c>
      <c r="D165" s="7">
        <f>IF('[1]Game Input'!$B165&lt;&gt;"",'[1]Game Input'!$B165,"")</f>
        <v>0.83680555555555547</v>
      </c>
      <c r="E165" s="7">
        <f>IF('[1]Game Input'!$C165&lt;&gt;"",'[1]Game Input'!$C165,"")</f>
        <v>0.79513888888888884</v>
      </c>
      <c r="F165" s="8" t="str">
        <f>IF('[1]Game Input'!$D165&lt;&gt;"",'[1]Game Input'!$D165,"")</f>
        <v>Standard</v>
      </c>
      <c r="G165" s="8" t="str">
        <f>IF('[1]Game Input'!$G165&lt;&gt;"",'[1]Game Input'!$G165,"")</f>
        <v>MUS @ GB</v>
      </c>
      <c r="H165" s="8" t="str">
        <f>IF('[1]Game Input'!$H165&lt;&gt;"",'[1]Game Input'!$H165,"")</f>
        <v>Vs. Conference</v>
      </c>
      <c r="I165" s="8" t="str">
        <f>IF('[1]Game Input'!$I165&lt;&gt;"",'[1]Game Input'!$I165,"")</f>
        <v>MUSKEGON</v>
      </c>
      <c r="J165" s="9">
        <f>IF('[1]Game Input'!$AC165&lt;&gt;"",'[1]Game Input'!$AC165,"")</f>
        <v>27</v>
      </c>
      <c r="K165" s="9">
        <f>IF('[1]Game Input'!$AD165&lt;&gt;"",'[1]Game Input'!$AD165,"")</f>
        <v>8</v>
      </c>
      <c r="L165" s="9">
        <f>IF('[1]Game Input'!$AJ165&lt;&gt;"",'[1]Game Input'!$AJ165,"")</f>
        <v>0</v>
      </c>
      <c r="M165" s="9">
        <f>IF('[1]Game Input'!$AK165&lt;&gt;"",'[1]Game Input'!$AK165,"")</f>
        <v>0</v>
      </c>
      <c r="N165" s="9">
        <f>IF('[1]Game Input'!$AN165&lt;&gt;"",'[1]Game Input'!$AN165,"")</f>
        <v>6</v>
      </c>
      <c r="O165" s="9">
        <f>IF('[1]Game Input'!$AO165&lt;&gt;"",'[1]Game Input'!$AO165,"")</f>
        <v>1</v>
      </c>
      <c r="P165" s="9">
        <f>IF('[1]Game Input'!$AP165&lt;&gt;"",'[1]Game Input'!$AP165,"")</f>
        <v>1</v>
      </c>
      <c r="Q165" s="9">
        <f>IF('[1]Game Input'!$AQ165&lt;&gt;"",'[1]Game Input'!$AQ165,"")</f>
        <v>0</v>
      </c>
      <c r="R165" s="9">
        <f>IF('[1]Game Input'!$AR165&lt;&gt;"",'[1]Game Input'!$AR165,"")</f>
        <v>0</v>
      </c>
      <c r="S165" s="9">
        <f>IF('[1]Game Input'!$AS165&lt;&gt;"",'[1]Game Input'!$AS165,"")</f>
        <v>0</v>
      </c>
      <c r="T165" s="10" t="str">
        <f>IF('[1]Game Input'!$BA165&lt;&gt;"",'[1]Game Input'!$BA165,"")</f>
        <v>GREEN BAY</v>
      </c>
      <c r="U165" s="9">
        <f>IF('[1]Game Input'!$BU165&lt;&gt;"",'[1]Game Input'!$BU165,"")</f>
        <v>23</v>
      </c>
      <c r="V165" s="9">
        <f>IF('[1]Game Input'!$BV165&lt;&gt;"",'[1]Game Input'!$BV165,"")</f>
        <v>6</v>
      </c>
      <c r="W165" s="9">
        <f>IF('[1]Game Input'!$CB165&lt;&gt;"",'[1]Game Input'!$CB165,"")</f>
        <v>0</v>
      </c>
      <c r="X165" s="9">
        <f>IF('[1]Game Input'!$CC165&lt;&gt;"",'[1]Game Input'!$CC165,"")</f>
        <v>0</v>
      </c>
      <c r="Y165" s="9">
        <f>IF('[1]Game Input'!$CF165&lt;&gt;"",'[1]Game Input'!$CF165,"")</f>
        <v>4</v>
      </c>
      <c r="Z165" s="9">
        <f>IF('[1]Game Input'!$CG165&lt;&gt;"",'[1]Game Input'!$CG165,"")</f>
        <v>1</v>
      </c>
      <c r="AA165" s="9">
        <f>IF('[1]Game Input'!$CH165&lt;&gt;"",'[1]Game Input'!$CH165,"")</f>
        <v>1</v>
      </c>
      <c r="AB165" s="9">
        <f>IF('[1]Game Input'!$CI165&lt;&gt;"",'[1]Game Input'!$CI165,"")</f>
        <v>0</v>
      </c>
      <c r="AC165" s="9">
        <f>IF('[1]Game Input'!$CJ165&lt;&gt;"",'[1]Game Input'!$CJ165,"")</f>
        <v>0</v>
      </c>
      <c r="AD165" s="9">
        <f>IF('[1]Game Input'!$CK165&lt;&gt;"",'[1]Game Input'!$CK165,"")</f>
        <v>0</v>
      </c>
      <c r="AE165" s="8"/>
      <c r="AF165" s="8"/>
      <c r="AG165" s="8"/>
      <c r="AH165" s="8"/>
    </row>
    <row r="166" spans="1:34" x14ac:dyDescent="0.2">
      <c r="A166" s="6">
        <f>IF('[1]Game Input'!$A166&lt;&gt;"",'[1]Game Input'!$A166,"")</f>
        <v>43434</v>
      </c>
      <c r="B166" s="6" t="str">
        <f>IF(A166&gt;$B$1,VLOOKUP(MONTH($A166),DOTWMonth,2,FALSE),"")</f>
        <v>November</v>
      </c>
      <c r="C166" s="10" t="str">
        <f>IF(A166&gt;$B$1,VLOOKUP(WEEKDAY($A166),DOTWMonth,3,FALSE),"")</f>
        <v>Friday</v>
      </c>
      <c r="D166" s="7">
        <f>IF('[1]Game Input'!$B166&lt;&gt;"",'[1]Game Input'!$B166,"")</f>
        <v>0.83680555555555547</v>
      </c>
      <c r="E166" s="7">
        <f>IF('[1]Game Input'!$C166&lt;&gt;"",'[1]Game Input'!$C166,"")</f>
        <v>0.79513888888888884</v>
      </c>
      <c r="F166" s="8" t="str">
        <f>IF('[1]Game Input'!$D166&lt;&gt;"",'[1]Game Input'!$D166,"")</f>
        <v>Standard</v>
      </c>
      <c r="G166" s="8" t="str">
        <f>IF('[1]Game Input'!$G166&lt;&gt;"",'[1]Game Input'!$G166,"")</f>
        <v>OMA @ LIN</v>
      </c>
      <c r="H166" s="8" t="str">
        <f>IF('[1]Game Input'!$H166&lt;&gt;"",'[1]Game Input'!$H166,"")</f>
        <v>Vs. Conference</v>
      </c>
      <c r="I166" s="8" t="str">
        <f>IF('[1]Game Input'!$I166&lt;&gt;"",'[1]Game Input'!$I166,"")</f>
        <v>OMAHA</v>
      </c>
      <c r="J166" s="9">
        <f>IF('[1]Game Input'!$AC166&lt;&gt;"",'[1]Game Input'!$AC166,"")</f>
        <v>8</v>
      </c>
      <c r="K166" s="9">
        <f>IF('[1]Game Input'!$AD166&lt;&gt;"",'[1]Game Input'!$AD166,"")</f>
        <v>4</v>
      </c>
      <c r="L166" s="9">
        <f>IF('[1]Game Input'!$AJ166&lt;&gt;"",'[1]Game Input'!$AJ166,"")</f>
        <v>0</v>
      </c>
      <c r="M166" s="9">
        <f>IF('[1]Game Input'!$AK166&lt;&gt;"",'[1]Game Input'!$AK166,"")</f>
        <v>0</v>
      </c>
      <c r="N166" s="9">
        <f>IF('[1]Game Input'!$AN166&lt;&gt;"",'[1]Game Input'!$AN166,"")</f>
        <v>4</v>
      </c>
      <c r="O166" s="9">
        <f>IF('[1]Game Input'!$AO166&lt;&gt;"",'[1]Game Input'!$AO166,"")</f>
        <v>0</v>
      </c>
      <c r="P166" s="9">
        <f>IF('[1]Game Input'!$AP166&lt;&gt;"",'[1]Game Input'!$AP166,"")</f>
        <v>0</v>
      </c>
      <c r="Q166" s="9">
        <f>IF('[1]Game Input'!$AQ166&lt;&gt;"",'[1]Game Input'!$AQ166,"")</f>
        <v>0</v>
      </c>
      <c r="R166" s="9">
        <f>IF('[1]Game Input'!$AR166&lt;&gt;"",'[1]Game Input'!$AR166,"")</f>
        <v>0</v>
      </c>
      <c r="S166" s="9">
        <f>IF('[1]Game Input'!$AS166&lt;&gt;"",'[1]Game Input'!$AS166,"")</f>
        <v>0</v>
      </c>
      <c r="T166" s="10" t="str">
        <f>IF('[1]Game Input'!$BA166&lt;&gt;"",'[1]Game Input'!$BA166,"")</f>
        <v>LINCOLN</v>
      </c>
      <c r="U166" s="9">
        <f>IF('[1]Game Input'!$BU166&lt;&gt;"",'[1]Game Input'!$BU166,"")</f>
        <v>2</v>
      </c>
      <c r="V166" s="9">
        <f>IF('[1]Game Input'!$BV166&lt;&gt;"",'[1]Game Input'!$BV166,"")</f>
        <v>1</v>
      </c>
      <c r="W166" s="9">
        <f>IF('[1]Game Input'!$CB166&lt;&gt;"",'[1]Game Input'!$CB166,"")</f>
        <v>0</v>
      </c>
      <c r="X166" s="9">
        <f>IF('[1]Game Input'!$CC166&lt;&gt;"",'[1]Game Input'!$CC166,"")</f>
        <v>0</v>
      </c>
      <c r="Y166" s="9">
        <f>IF('[1]Game Input'!$CF166&lt;&gt;"",'[1]Game Input'!$CF166,"")</f>
        <v>1</v>
      </c>
      <c r="Z166" s="9">
        <f>IF('[1]Game Input'!$CG166&lt;&gt;"",'[1]Game Input'!$CG166,"")</f>
        <v>0</v>
      </c>
      <c r="AA166" s="9">
        <f>IF('[1]Game Input'!$CH166&lt;&gt;"",'[1]Game Input'!$CH166,"")</f>
        <v>0</v>
      </c>
      <c r="AB166" s="9">
        <f>IF('[1]Game Input'!$CI166&lt;&gt;"",'[1]Game Input'!$CI166,"")</f>
        <v>0</v>
      </c>
      <c r="AC166" s="9">
        <f>IF('[1]Game Input'!$CJ166&lt;&gt;"",'[1]Game Input'!$CJ166,"")</f>
        <v>0</v>
      </c>
      <c r="AD166" s="9">
        <f>IF('[1]Game Input'!$CK166&lt;&gt;"",'[1]Game Input'!$CK166,"")</f>
        <v>0</v>
      </c>
      <c r="AE166" s="8"/>
      <c r="AF166" s="8"/>
      <c r="AG166" s="8"/>
      <c r="AH166" s="8"/>
    </row>
    <row r="167" spans="1:34" x14ac:dyDescent="0.2">
      <c r="A167" s="6">
        <f>IF('[1]Game Input'!$A167&lt;&gt;"",'[1]Game Input'!$A167,"")</f>
        <v>43434</v>
      </c>
      <c r="B167" s="6" t="str">
        <f>IF(A167&gt;$B$1,VLOOKUP(MONTH($A167),DOTWMonth,2,FALSE),"")</f>
        <v>November</v>
      </c>
      <c r="C167" s="10" t="str">
        <f>IF(A167&gt;$B$1,VLOOKUP(WEEKDAY($A167),DOTWMonth,3,FALSE),"")</f>
        <v>Friday</v>
      </c>
      <c r="D167" s="7">
        <f>IF('[1]Game Input'!$B167&lt;&gt;"",'[1]Game Input'!$B167,"")</f>
        <v>0.83680555555555547</v>
      </c>
      <c r="E167" s="7">
        <f>IF('[1]Game Input'!$C167&lt;&gt;"",'[1]Game Input'!$C167,"")</f>
        <v>0.79513888888888884</v>
      </c>
      <c r="F167" s="8" t="str">
        <f>IF('[1]Game Input'!$D167&lt;&gt;"",'[1]Game Input'!$D167,"")</f>
        <v>Standard</v>
      </c>
      <c r="G167" s="8" t="str">
        <f>IF('[1]Game Input'!$G167&lt;&gt;"",'[1]Game Input'!$G167,"")</f>
        <v>SF @ TC</v>
      </c>
      <c r="H167" s="8" t="str">
        <f>IF('[1]Game Input'!$H167&lt;&gt;"",'[1]Game Input'!$H167,"")</f>
        <v>Vs. Conference</v>
      </c>
      <c r="I167" s="8" t="str">
        <f>IF('[1]Game Input'!$I167&lt;&gt;"",'[1]Game Input'!$I167,"")</f>
        <v>SIOUX FALLS</v>
      </c>
      <c r="J167" s="9">
        <f>IF('[1]Game Input'!$AC167&lt;&gt;"",'[1]Game Input'!$AC167,"")</f>
        <v>16</v>
      </c>
      <c r="K167" s="9">
        <f>IF('[1]Game Input'!$AD167&lt;&gt;"",'[1]Game Input'!$AD167,"")</f>
        <v>8</v>
      </c>
      <c r="L167" s="9">
        <f>IF('[1]Game Input'!$AJ167&lt;&gt;"",'[1]Game Input'!$AJ167,"")</f>
        <v>0</v>
      </c>
      <c r="M167" s="9">
        <f>IF('[1]Game Input'!$AK167&lt;&gt;"",'[1]Game Input'!$AK167,"")</f>
        <v>0</v>
      </c>
      <c r="N167" s="9">
        <f>IF('[1]Game Input'!$AN167&lt;&gt;"",'[1]Game Input'!$AN167,"")</f>
        <v>8</v>
      </c>
      <c r="O167" s="9">
        <f>IF('[1]Game Input'!$AO167&lt;&gt;"",'[1]Game Input'!$AO167,"")</f>
        <v>0</v>
      </c>
      <c r="P167" s="9">
        <f>IF('[1]Game Input'!$AP167&lt;&gt;"",'[1]Game Input'!$AP167,"")</f>
        <v>0</v>
      </c>
      <c r="Q167" s="9">
        <f>IF('[1]Game Input'!$AQ167&lt;&gt;"",'[1]Game Input'!$AQ167,"")</f>
        <v>0</v>
      </c>
      <c r="R167" s="9">
        <f>IF('[1]Game Input'!$AR167&lt;&gt;"",'[1]Game Input'!$AR167,"")</f>
        <v>0</v>
      </c>
      <c r="S167" s="9">
        <f>IF('[1]Game Input'!$AS167&lt;&gt;"",'[1]Game Input'!$AS167,"")</f>
        <v>0</v>
      </c>
      <c r="T167" s="10" t="str">
        <f>IF('[1]Game Input'!$BA167&lt;&gt;"",'[1]Game Input'!$BA167,"")</f>
        <v>TRI-CITY</v>
      </c>
      <c r="U167" s="9">
        <f>IF('[1]Game Input'!$BU167&lt;&gt;"",'[1]Game Input'!$BU167,"")</f>
        <v>24</v>
      </c>
      <c r="V167" s="9">
        <f>IF('[1]Game Input'!$BV167&lt;&gt;"",'[1]Game Input'!$BV167,"")</f>
        <v>8</v>
      </c>
      <c r="W167" s="9">
        <f>IF('[1]Game Input'!$CB167&lt;&gt;"",'[1]Game Input'!$CB167,"")</f>
        <v>0</v>
      </c>
      <c r="X167" s="9">
        <f>IF('[1]Game Input'!$CC167&lt;&gt;"",'[1]Game Input'!$CC167,"")</f>
        <v>0</v>
      </c>
      <c r="Y167" s="9">
        <f>IF('[1]Game Input'!$CF167&lt;&gt;"",'[1]Game Input'!$CF167,"")</f>
        <v>7</v>
      </c>
      <c r="Z167" s="9">
        <f>IF('[1]Game Input'!$CG167&lt;&gt;"",'[1]Game Input'!$CG167,"")</f>
        <v>0</v>
      </c>
      <c r="AA167" s="9">
        <f>IF('[1]Game Input'!$CH167&lt;&gt;"",'[1]Game Input'!$CH167,"")</f>
        <v>1</v>
      </c>
      <c r="AB167" s="9">
        <f>IF('[1]Game Input'!$CI167&lt;&gt;"",'[1]Game Input'!$CI167,"")</f>
        <v>0</v>
      </c>
      <c r="AC167" s="9">
        <f>IF('[1]Game Input'!$CJ167&lt;&gt;"",'[1]Game Input'!$CJ167,"")</f>
        <v>0</v>
      </c>
      <c r="AD167" s="9">
        <f>IF('[1]Game Input'!$CK167&lt;&gt;"",'[1]Game Input'!$CK167,"")</f>
        <v>0</v>
      </c>
      <c r="AE167" s="8"/>
      <c r="AF167" s="8"/>
      <c r="AG167" s="8"/>
      <c r="AH167" s="8"/>
    </row>
    <row r="168" spans="1:34" x14ac:dyDescent="0.2">
      <c r="A168" s="6">
        <f>IF('[1]Game Input'!$A168&lt;&gt;"",'[1]Game Input'!$A168,"")</f>
        <v>43434</v>
      </c>
      <c r="B168" s="6" t="str">
        <f>IF(A168&gt;$B$1,VLOOKUP(MONTH($A168),DOTWMonth,2,FALSE),"")</f>
        <v>November</v>
      </c>
      <c r="C168" s="10" t="str">
        <f>IF(A168&gt;$B$1,VLOOKUP(WEEKDAY($A168),DOTWMonth,3,FALSE),"")</f>
        <v>Friday</v>
      </c>
      <c r="D168" s="7">
        <f>IF('[1]Game Input'!$B168&lt;&gt;"",'[1]Game Input'!$B168,"")</f>
        <v>0.83680555555555547</v>
      </c>
      <c r="E168" s="7">
        <f>IF('[1]Game Input'!$C168&lt;&gt;"",'[1]Game Input'!$C168,"")</f>
        <v>0.79513888888888884</v>
      </c>
      <c r="F168" s="8" t="str">
        <f>IF('[1]Game Input'!$D168&lt;&gt;"",'[1]Game Input'!$D168,"")</f>
        <v>Standard</v>
      </c>
      <c r="G168" s="8" t="str">
        <f>IF('[1]Game Input'!$G168&lt;&gt;"",'[1]Game Input'!$G168,"")</f>
        <v>CR @ DM</v>
      </c>
      <c r="H168" s="8" t="str">
        <f>IF('[1]Game Input'!$H168&lt;&gt;"",'[1]Game Input'!$H168,"")</f>
        <v>Vs. Non-Conference</v>
      </c>
      <c r="I168" s="8" t="str">
        <f>IF('[1]Game Input'!$I168&lt;&gt;"",'[1]Game Input'!$I168,"")</f>
        <v>CEDAR RAPIDS</v>
      </c>
      <c r="J168" s="9">
        <f>IF('[1]Game Input'!$AC168&lt;&gt;"",'[1]Game Input'!$AC168,"")</f>
        <v>2</v>
      </c>
      <c r="K168" s="9">
        <f>IF('[1]Game Input'!$AD168&lt;&gt;"",'[1]Game Input'!$AD168,"")</f>
        <v>1</v>
      </c>
      <c r="L168" s="9">
        <f>IF('[1]Game Input'!$AJ168&lt;&gt;"",'[1]Game Input'!$AJ168,"")</f>
        <v>0</v>
      </c>
      <c r="M168" s="9">
        <f>IF('[1]Game Input'!$AK168&lt;&gt;"",'[1]Game Input'!$AK168,"")</f>
        <v>0</v>
      </c>
      <c r="N168" s="9">
        <f>IF('[1]Game Input'!$AN168&lt;&gt;"",'[1]Game Input'!$AN168,"")</f>
        <v>1</v>
      </c>
      <c r="O168" s="9">
        <f>IF('[1]Game Input'!$AO168&lt;&gt;"",'[1]Game Input'!$AO168,"")</f>
        <v>0</v>
      </c>
      <c r="P168" s="9">
        <f>IF('[1]Game Input'!$AP168&lt;&gt;"",'[1]Game Input'!$AP168,"")</f>
        <v>0</v>
      </c>
      <c r="Q168" s="9">
        <f>IF('[1]Game Input'!$AQ168&lt;&gt;"",'[1]Game Input'!$AQ168,"")</f>
        <v>0</v>
      </c>
      <c r="R168" s="9">
        <f>IF('[1]Game Input'!$AR168&lt;&gt;"",'[1]Game Input'!$AR168,"")</f>
        <v>0</v>
      </c>
      <c r="S168" s="9">
        <f>IF('[1]Game Input'!$AS168&lt;&gt;"",'[1]Game Input'!$AS168,"")</f>
        <v>0</v>
      </c>
      <c r="T168" s="10" t="str">
        <f>IF('[1]Game Input'!$BA168&lt;&gt;"",'[1]Game Input'!$BA168,"")</f>
        <v>DES MOINES</v>
      </c>
      <c r="U168" s="9">
        <f>IF('[1]Game Input'!$BU168&lt;&gt;"",'[1]Game Input'!$BU168,"")</f>
        <v>4</v>
      </c>
      <c r="V168" s="9">
        <f>IF('[1]Game Input'!$BV168&lt;&gt;"",'[1]Game Input'!$BV168,"")</f>
        <v>2</v>
      </c>
      <c r="W168" s="9">
        <f>IF('[1]Game Input'!$CB168&lt;&gt;"",'[1]Game Input'!$CB168,"")</f>
        <v>0</v>
      </c>
      <c r="X168" s="9">
        <f>IF('[1]Game Input'!$CC168&lt;&gt;"",'[1]Game Input'!$CC168,"")</f>
        <v>0</v>
      </c>
      <c r="Y168" s="9">
        <f>IF('[1]Game Input'!$CF168&lt;&gt;"",'[1]Game Input'!$CF168,"")</f>
        <v>2</v>
      </c>
      <c r="Z168" s="9">
        <f>IF('[1]Game Input'!$CG168&lt;&gt;"",'[1]Game Input'!$CG168,"")</f>
        <v>0</v>
      </c>
      <c r="AA168" s="9">
        <f>IF('[1]Game Input'!$CH168&lt;&gt;"",'[1]Game Input'!$CH168,"")</f>
        <v>0</v>
      </c>
      <c r="AB168" s="9">
        <f>IF('[1]Game Input'!$CI168&lt;&gt;"",'[1]Game Input'!$CI168,"")</f>
        <v>0</v>
      </c>
      <c r="AC168" s="9">
        <f>IF('[1]Game Input'!$CJ168&lt;&gt;"",'[1]Game Input'!$CJ168,"")</f>
        <v>0</v>
      </c>
      <c r="AD168" s="9">
        <f>IF('[1]Game Input'!$CK168&lt;&gt;"",'[1]Game Input'!$CK168,"")</f>
        <v>0</v>
      </c>
      <c r="AE168" s="8" t="s">
        <v>127</v>
      </c>
      <c r="AF168" s="8" t="s">
        <v>90</v>
      </c>
      <c r="AG168" s="8" t="s">
        <v>113</v>
      </c>
      <c r="AH168" s="8" t="s">
        <v>122</v>
      </c>
    </row>
    <row r="169" spans="1:34" x14ac:dyDescent="0.2">
      <c r="A169" s="6">
        <f>IF('[1]Game Input'!$A169&lt;&gt;"",'[1]Game Input'!$A169,"")</f>
        <v>43435</v>
      </c>
      <c r="B169" s="6" t="str">
        <f>IF(A169&gt;$B$1,VLOOKUP(MONTH($A169),DOTWMonth,2,FALSE),"")</f>
        <v>December</v>
      </c>
      <c r="C169" s="10" t="str">
        <f>IF(A169&gt;$B$1,VLOOKUP(WEEKDAY($A169),DOTWMonth,3,FALSE),"")</f>
        <v>Saturday</v>
      </c>
      <c r="D169" s="7">
        <f>IF('[1]Game Input'!$B169&lt;&gt;"",'[1]Game Input'!$B169,"")</f>
        <v>0.67013888888888884</v>
      </c>
      <c r="E169" s="7">
        <f>IF('[1]Game Input'!$C169&lt;&gt;"",'[1]Game Input'!$C169,"")</f>
        <v>0.62847222222222221</v>
      </c>
      <c r="F169" s="8" t="str">
        <f>IF('[1]Game Input'!$D169&lt;&gt;"",'[1]Game Input'!$D169,"")</f>
        <v>Standard</v>
      </c>
      <c r="G169" s="8" t="str">
        <f>IF('[1]Game Input'!$G169&lt;&gt;"",'[1]Game Input'!$G169,"")</f>
        <v>CR @ TC</v>
      </c>
      <c r="H169" s="8" t="str">
        <f>IF('[1]Game Input'!$H169&lt;&gt;"",'[1]Game Input'!$H169,"")</f>
        <v>Vs. Non-Conference</v>
      </c>
      <c r="I169" s="8" t="str">
        <f>IF('[1]Game Input'!$I169&lt;&gt;"",'[1]Game Input'!$I169,"")</f>
        <v>CEDAR RAPIDS</v>
      </c>
      <c r="J169" s="9">
        <f>IF('[1]Game Input'!$AC169&lt;&gt;"",'[1]Game Input'!$AC169,"")</f>
        <v>6</v>
      </c>
      <c r="K169" s="9">
        <f>IF('[1]Game Input'!$AD169&lt;&gt;"",'[1]Game Input'!$AD169,"")</f>
        <v>3</v>
      </c>
      <c r="L169" s="9">
        <f>IF('[1]Game Input'!$AJ169&lt;&gt;"",'[1]Game Input'!$AJ169,"")</f>
        <v>0</v>
      </c>
      <c r="M169" s="9">
        <f>IF('[1]Game Input'!$AK169&lt;&gt;"",'[1]Game Input'!$AK169,"")</f>
        <v>0</v>
      </c>
      <c r="N169" s="9">
        <f>IF('[1]Game Input'!$AN169&lt;&gt;"",'[1]Game Input'!$AN169,"")</f>
        <v>3</v>
      </c>
      <c r="O169" s="9">
        <f>IF('[1]Game Input'!$AO169&lt;&gt;"",'[1]Game Input'!$AO169,"")</f>
        <v>0</v>
      </c>
      <c r="P169" s="9">
        <f>IF('[1]Game Input'!$AP169&lt;&gt;"",'[1]Game Input'!$AP169,"")</f>
        <v>0</v>
      </c>
      <c r="Q169" s="9">
        <f>IF('[1]Game Input'!$AQ169&lt;&gt;"",'[1]Game Input'!$AQ169,"")</f>
        <v>0</v>
      </c>
      <c r="R169" s="9">
        <f>IF('[1]Game Input'!$AR169&lt;&gt;"",'[1]Game Input'!$AR169,"")</f>
        <v>0</v>
      </c>
      <c r="S169" s="9">
        <f>IF('[1]Game Input'!$AS169&lt;&gt;"",'[1]Game Input'!$AS169,"")</f>
        <v>0</v>
      </c>
      <c r="T169" s="10" t="str">
        <f>IF('[1]Game Input'!$BA169&lt;&gt;"",'[1]Game Input'!$BA169,"")</f>
        <v>TRI-CITY</v>
      </c>
      <c r="U169" s="9">
        <f>IF('[1]Game Input'!$BU169&lt;&gt;"",'[1]Game Input'!$BU169,"")</f>
        <v>10</v>
      </c>
      <c r="V169" s="9">
        <f>IF('[1]Game Input'!$BV169&lt;&gt;"",'[1]Game Input'!$BV169,"")</f>
        <v>5</v>
      </c>
      <c r="W169" s="9">
        <f>IF('[1]Game Input'!$CB169&lt;&gt;"",'[1]Game Input'!$CB169,"")</f>
        <v>0</v>
      </c>
      <c r="X169" s="9">
        <f>IF('[1]Game Input'!$CC169&lt;&gt;"",'[1]Game Input'!$CC169,"")</f>
        <v>0</v>
      </c>
      <c r="Y169" s="9">
        <f>IF('[1]Game Input'!$CF169&lt;&gt;"",'[1]Game Input'!$CF169,"")</f>
        <v>5</v>
      </c>
      <c r="Z169" s="9">
        <f>IF('[1]Game Input'!$CG169&lt;&gt;"",'[1]Game Input'!$CG169,"")</f>
        <v>0</v>
      </c>
      <c r="AA169" s="9">
        <f>IF('[1]Game Input'!$CH169&lt;&gt;"",'[1]Game Input'!$CH169,"")</f>
        <v>0</v>
      </c>
      <c r="AB169" s="9">
        <f>IF('[1]Game Input'!$CI169&lt;&gt;"",'[1]Game Input'!$CI169,"")</f>
        <v>0</v>
      </c>
      <c r="AC169" s="9">
        <f>IF('[1]Game Input'!$CJ169&lt;&gt;"",'[1]Game Input'!$CJ169,"")</f>
        <v>0</v>
      </c>
      <c r="AD169" s="9">
        <f>IF('[1]Game Input'!$CK169&lt;&gt;"",'[1]Game Input'!$CK169,"")</f>
        <v>0</v>
      </c>
      <c r="AE169" s="8" t="s">
        <v>103</v>
      </c>
      <c r="AF169" s="8"/>
      <c r="AG169" s="8" t="s">
        <v>117</v>
      </c>
      <c r="AH169" s="8" t="s">
        <v>116</v>
      </c>
    </row>
    <row r="170" spans="1:34" x14ac:dyDescent="0.2">
      <c r="A170" s="6">
        <f>IF('[1]Game Input'!$A170&lt;&gt;"",'[1]Game Input'!$A170,"")</f>
        <v>43435</v>
      </c>
      <c r="B170" s="6" t="str">
        <f>IF(A170&gt;$B$1,VLOOKUP(MONTH($A170),DOTWMonth,2,FALSE),"")</f>
        <v>December</v>
      </c>
      <c r="C170" s="10" t="str">
        <f>IF(A170&gt;$B$1,VLOOKUP(WEEKDAY($A170),DOTWMonth,3,FALSE),"")</f>
        <v>Saturday</v>
      </c>
      <c r="D170" s="7">
        <f>IF('[1]Game Input'!$B170&lt;&gt;"",'[1]Game Input'!$B170,"")</f>
        <v>0.79166666666666663</v>
      </c>
      <c r="E170" s="7">
        <f>IF('[1]Game Input'!$C170&lt;&gt;"",'[1]Game Input'!$C170,"")</f>
        <v>0.75</v>
      </c>
      <c r="F170" s="8" t="str">
        <f>IF('[1]Game Input'!$D170&lt;&gt;"",'[1]Game Input'!$D170,"")</f>
        <v>Standard</v>
      </c>
      <c r="G170" s="8" t="str">
        <f>IF('[1]Game Input'!$G170&lt;&gt;"",'[1]Game Input'!$G170,"")</f>
        <v>WAT @ USA</v>
      </c>
      <c r="H170" s="8" t="str">
        <f>IF('[1]Game Input'!$H170&lt;&gt;"",'[1]Game Input'!$H170,"")</f>
        <v>Vs. Non-Conference</v>
      </c>
      <c r="I170" s="8" t="str">
        <f>IF('[1]Game Input'!$I170&lt;&gt;"",'[1]Game Input'!$I170,"")</f>
        <v>WATERLOO</v>
      </c>
      <c r="J170" s="9">
        <f>IF('[1]Game Input'!$AC170&lt;&gt;"",'[1]Game Input'!$AC170,"")</f>
        <v>12</v>
      </c>
      <c r="K170" s="9">
        <f>IF('[1]Game Input'!$AD170&lt;&gt;"",'[1]Game Input'!$AD170,"")</f>
        <v>6</v>
      </c>
      <c r="L170" s="9">
        <f>IF('[1]Game Input'!$AJ170&lt;&gt;"",'[1]Game Input'!$AJ170,"")</f>
        <v>0</v>
      </c>
      <c r="M170" s="9">
        <f>IF('[1]Game Input'!$AK170&lt;&gt;"",'[1]Game Input'!$AK170,"")</f>
        <v>0</v>
      </c>
      <c r="N170" s="9">
        <f>IF('[1]Game Input'!$AN170&lt;&gt;"",'[1]Game Input'!$AN170,"")</f>
        <v>6</v>
      </c>
      <c r="O170" s="9">
        <f>IF('[1]Game Input'!$AO170&lt;&gt;"",'[1]Game Input'!$AO170,"")</f>
        <v>0</v>
      </c>
      <c r="P170" s="9">
        <f>IF('[1]Game Input'!$AP170&lt;&gt;"",'[1]Game Input'!$AP170,"")</f>
        <v>0</v>
      </c>
      <c r="Q170" s="9">
        <f>IF('[1]Game Input'!$AQ170&lt;&gt;"",'[1]Game Input'!$AQ170,"")</f>
        <v>0</v>
      </c>
      <c r="R170" s="9">
        <f>IF('[1]Game Input'!$AR170&lt;&gt;"",'[1]Game Input'!$AR170,"")</f>
        <v>0</v>
      </c>
      <c r="S170" s="9">
        <f>IF('[1]Game Input'!$AS170&lt;&gt;"",'[1]Game Input'!$AS170,"")</f>
        <v>0</v>
      </c>
      <c r="T170" s="10" t="str">
        <f>IF('[1]Game Input'!$BA170&lt;&gt;"",'[1]Game Input'!$BA170,"")</f>
        <v>TEAM USA</v>
      </c>
      <c r="U170" s="9">
        <f>IF('[1]Game Input'!$BU170&lt;&gt;"",'[1]Game Input'!$BU170,"")</f>
        <v>12</v>
      </c>
      <c r="V170" s="9">
        <f>IF('[1]Game Input'!$BV170&lt;&gt;"",'[1]Game Input'!$BV170,"")</f>
        <v>6</v>
      </c>
      <c r="W170" s="9">
        <f>IF('[1]Game Input'!$CB170&lt;&gt;"",'[1]Game Input'!$CB170,"")</f>
        <v>0</v>
      </c>
      <c r="X170" s="9">
        <f>IF('[1]Game Input'!$CC170&lt;&gt;"",'[1]Game Input'!$CC170,"")</f>
        <v>0</v>
      </c>
      <c r="Y170" s="9">
        <f>IF('[1]Game Input'!$CF170&lt;&gt;"",'[1]Game Input'!$CF170,"")</f>
        <v>6</v>
      </c>
      <c r="Z170" s="9">
        <f>IF('[1]Game Input'!$CG170&lt;&gt;"",'[1]Game Input'!$CG170,"")</f>
        <v>0</v>
      </c>
      <c r="AA170" s="9">
        <f>IF('[1]Game Input'!$CH170&lt;&gt;"",'[1]Game Input'!$CH170,"")</f>
        <v>0</v>
      </c>
      <c r="AB170" s="9">
        <f>IF('[1]Game Input'!$CI170&lt;&gt;"",'[1]Game Input'!$CI170,"")</f>
        <v>0</v>
      </c>
      <c r="AC170" s="9">
        <f>IF('[1]Game Input'!$CJ170&lt;&gt;"",'[1]Game Input'!$CJ170,"")</f>
        <v>0</v>
      </c>
      <c r="AD170" s="9">
        <f>IF('[1]Game Input'!$CK170&lt;&gt;"",'[1]Game Input'!$CK170,"")</f>
        <v>0</v>
      </c>
      <c r="AE170" s="8"/>
      <c r="AF170" s="8"/>
      <c r="AG170" s="8"/>
      <c r="AH170" s="8"/>
    </row>
    <row r="171" spans="1:34" x14ac:dyDescent="0.2">
      <c r="A171" s="6">
        <f>IF('[1]Game Input'!$A171&lt;&gt;"",'[1]Game Input'!$A171,"")</f>
        <v>43435</v>
      </c>
      <c r="B171" s="6" t="str">
        <f>IF(A171&gt;$B$1,VLOOKUP(MONTH($A171),DOTWMonth,2,FALSE),"")</f>
        <v>December</v>
      </c>
      <c r="C171" s="10" t="str">
        <f>IF(A171&gt;$B$1,VLOOKUP(WEEKDAY($A171),DOTWMonth,3,FALSE),"")</f>
        <v>Saturday</v>
      </c>
      <c r="D171" s="7">
        <f>IF('[1]Game Input'!$B171&lt;&gt;"",'[1]Game Input'!$B171,"")</f>
        <v>0.79513888888888884</v>
      </c>
      <c r="E171" s="7">
        <f>IF('[1]Game Input'!$C171&lt;&gt;"",'[1]Game Input'!$C171,"")</f>
        <v>0.75347222222222221</v>
      </c>
      <c r="F171" s="8" t="str">
        <f>IF('[1]Game Input'!$D171&lt;&gt;"",'[1]Game Input'!$D171,"")</f>
        <v>Standard</v>
      </c>
      <c r="G171" s="8" t="str">
        <f>IF('[1]Game Input'!$G171&lt;&gt;"",'[1]Game Input'!$G171,"")</f>
        <v>FGO @ YNG</v>
      </c>
      <c r="H171" s="8" t="str">
        <f>IF('[1]Game Input'!$H171&lt;&gt;"",'[1]Game Input'!$H171,"")</f>
        <v>Vs. Non-Conference</v>
      </c>
      <c r="I171" s="8" t="str">
        <f>IF('[1]Game Input'!$I171&lt;&gt;"",'[1]Game Input'!$I171,"")</f>
        <v>FARGO</v>
      </c>
      <c r="J171" s="9">
        <f>IF('[1]Game Input'!$AC171&lt;&gt;"",'[1]Game Input'!$AC171,"")</f>
        <v>18</v>
      </c>
      <c r="K171" s="9">
        <f>IF('[1]Game Input'!$AD171&lt;&gt;"",'[1]Game Input'!$AD171,"")</f>
        <v>9</v>
      </c>
      <c r="L171" s="9">
        <f>IF('[1]Game Input'!$AJ171&lt;&gt;"",'[1]Game Input'!$AJ171,"")</f>
        <v>0</v>
      </c>
      <c r="M171" s="9">
        <f>IF('[1]Game Input'!$AK171&lt;&gt;"",'[1]Game Input'!$AK171,"")</f>
        <v>0</v>
      </c>
      <c r="N171" s="9">
        <f>IF('[1]Game Input'!$AN171&lt;&gt;"",'[1]Game Input'!$AN171,"")</f>
        <v>9</v>
      </c>
      <c r="O171" s="9">
        <f>IF('[1]Game Input'!$AO171&lt;&gt;"",'[1]Game Input'!$AO171,"")</f>
        <v>0</v>
      </c>
      <c r="P171" s="9">
        <f>IF('[1]Game Input'!$AP171&lt;&gt;"",'[1]Game Input'!$AP171,"")</f>
        <v>0</v>
      </c>
      <c r="Q171" s="9">
        <f>IF('[1]Game Input'!$AQ171&lt;&gt;"",'[1]Game Input'!$AQ171,"")</f>
        <v>0</v>
      </c>
      <c r="R171" s="9">
        <f>IF('[1]Game Input'!$AR171&lt;&gt;"",'[1]Game Input'!$AR171,"")</f>
        <v>0</v>
      </c>
      <c r="S171" s="9">
        <f>IF('[1]Game Input'!$AS171&lt;&gt;"",'[1]Game Input'!$AS171,"")</f>
        <v>0</v>
      </c>
      <c r="T171" s="10" t="str">
        <f>IF('[1]Game Input'!$BA171&lt;&gt;"",'[1]Game Input'!$BA171,"")</f>
        <v>YOUNGSTOWN</v>
      </c>
      <c r="U171" s="9">
        <f>IF('[1]Game Input'!$BU171&lt;&gt;"",'[1]Game Input'!$BU171,"")</f>
        <v>14</v>
      </c>
      <c r="V171" s="9">
        <f>IF('[1]Game Input'!$BV171&lt;&gt;"",'[1]Game Input'!$BV171,"")</f>
        <v>7</v>
      </c>
      <c r="W171" s="9">
        <f>IF('[1]Game Input'!$CB171&lt;&gt;"",'[1]Game Input'!$CB171,"")</f>
        <v>0</v>
      </c>
      <c r="X171" s="9">
        <f>IF('[1]Game Input'!$CC171&lt;&gt;"",'[1]Game Input'!$CC171,"")</f>
        <v>0</v>
      </c>
      <c r="Y171" s="9">
        <f>IF('[1]Game Input'!$CF171&lt;&gt;"",'[1]Game Input'!$CF171,"")</f>
        <v>7</v>
      </c>
      <c r="Z171" s="9">
        <f>IF('[1]Game Input'!$CG171&lt;&gt;"",'[1]Game Input'!$CG171,"")</f>
        <v>0</v>
      </c>
      <c r="AA171" s="9">
        <f>IF('[1]Game Input'!$CH171&lt;&gt;"",'[1]Game Input'!$CH171,"")</f>
        <v>0</v>
      </c>
      <c r="AB171" s="9">
        <f>IF('[1]Game Input'!$CI171&lt;&gt;"",'[1]Game Input'!$CI171,"")</f>
        <v>0</v>
      </c>
      <c r="AC171" s="9">
        <f>IF('[1]Game Input'!$CJ171&lt;&gt;"",'[1]Game Input'!$CJ171,"")</f>
        <v>0</v>
      </c>
      <c r="AD171" s="9">
        <f>IF('[1]Game Input'!$CK171&lt;&gt;"",'[1]Game Input'!$CK171,"")</f>
        <v>0</v>
      </c>
      <c r="AE171" s="8"/>
      <c r="AF171" s="8"/>
      <c r="AG171" s="8"/>
      <c r="AH171" s="8"/>
    </row>
    <row r="172" spans="1:34" x14ac:dyDescent="0.2">
      <c r="A172" s="6">
        <f>IF('[1]Game Input'!$A172&lt;&gt;"",'[1]Game Input'!$A172,"")</f>
        <v>43435</v>
      </c>
      <c r="B172" s="6" t="str">
        <f>IF(A172&gt;$B$1,VLOOKUP(MONTH($A172),DOTWMonth,2,FALSE),"")</f>
        <v>December</v>
      </c>
      <c r="C172" s="10" t="str">
        <f>IF(A172&gt;$B$1,VLOOKUP(WEEKDAY($A172),DOTWMonth,3,FALSE),"")</f>
        <v>Saturday</v>
      </c>
      <c r="D172" s="7">
        <f>IF('[1]Game Input'!$B172&lt;&gt;"",'[1]Game Input'!$B172,"")</f>
        <v>0.83680555555555547</v>
      </c>
      <c r="E172" s="7">
        <f>IF('[1]Game Input'!$C172&lt;&gt;"",'[1]Game Input'!$C172,"")</f>
        <v>0.79513888888888884</v>
      </c>
      <c r="F172" s="8" t="str">
        <f>IF('[1]Game Input'!$D172&lt;&gt;"",'[1]Game Input'!$D172,"")</f>
        <v>Standard</v>
      </c>
      <c r="G172" s="8" t="str">
        <f>IF('[1]Game Input'!$G172&lt;&gt;"",'[1]Game Input'!$G172,"")</f>
        <v>SF @ DM</v>
      </c>
      <c r="H172" s="8" t="str">
        <f>IF('[1]Game Input'!$H172&lt;&gt;"",'[1]Game Input'!$H172,"")</f>
        <v>Vs. Conference</v>
      </c>
      <c r="I172" s="8" t="str">
        <f>IF('[1]Game Input'!$I172&lt;&gt;"",'[1]Game Input'!$I172,"")</f>
        <v>SIOUX FALLS</v>
      </c>
      <c r="J172" s="9">
        <f>IF('[1]Game Input'!$AC172&lt;&gt;"",'[1]Game Input'!$AC172,"")</f>
        <v>28</v>
      </c>
      <c r="K172" s="9">
        <f>IF('[1]Game Input'!$AD172&lt;&gt;"",'[1]Game Input'!$AD172,"")</f>
        <v>10</v>
      </c>
      <c r="L172" s="9">
        <f>IF('[1]Game Input'!$AJ172&lt;&gt;"",'[1]Game Input'!$AJ172,"")</f>
        <v>0</v>
      </c>
      <c r="M172" s="9">
        <f>IF('[1]Game Input'!$AK172&lt;&gt;"",'[1]Game Input'!$AK172,"")</f>
        <v>0</v>
      </c>
      <c r="N172" s="9">
        <f>IF('[1]Game Input'!$AN172&lt;&gt;"",'[1]Game Input'!$AN172,"")</f>
        <v>9</v>
      </c>
      <c r="O172" s="9">
        <f>IF('[1]Game Input'!$AO172&lt;&gt;"",'[1]Game Input'!$AO172,"")</f>
        <v>0</v>
      </c>
      <c r="P172" s="9">
        <f>IF('[1]Game Input'!$AP172&lt;&gt;"",'[1]Game Input'!$AP172,"")</f>
        <v>1</v>
      </c>
      <c r="Q172" s="9">
        <f>IF('[1]Game Input'!$AQ172&lt;&gt;"",'[1]Game Input'!$AQ172,"")</f>
        <v>0</v>
      </c>
      <c r="R172" s="9">
        <f>IF('[1]Game Input'!$AR172&lt;&gt;"",'[1]Game Input'!$AR172,"")</f>
        <v>0</v>
      </c>
      <c r="S172" s="9">
        <f>IF('[1]Game Input'!$AS172&lt;&gt;"",'[1]Game Input'!$AS172,"")</f>
        <v>0</v>
      </c>
      <c r="T172" s="10" t="str">
        <f>IF('[1]Game Input'!$BA172&lt;&gt;"",'[1]Game Input'!$BA172,"")</f>
        <v>DES MOINES</v>
      </c>
      <c r="U172" s="9">
        <f>IF('[1]Game Input'!$BU172&lt;&gt;"",'[1]Game Input'!$BU172,"")</f>
        <v>16</v>
      </c>
      <c r="V172" s="9">
        <f>IF('[1]Game Input'!$BV172&lt;&gt;"",'[1]Game Input'!$BV172,"")</f>
        <v>8</v>
      </c>
      <c r="W172" s="9">
        <f>IF('[1]Game Input'!$CB172&lt;&gt;"",'[1]Game Input'!$CB172,"")</f>
        <v>0</v>
      </c>
      <c r="X172" s="9">
        <f>IF('[1]Game Input'!$CC172&lt;&gt;"",'[1]Game Input'!$CC172,"")</f>
        <v>0</v>
      </c>
      <c r="Y172" s="9">
        <f>IF('[1]Game Input'!$CF172&lt;&gt;"",'[1]Game Input'!$CF172,"")</f>
        <v>8</v>
      </c>
      <c r="Z172" s="9">
        <f>IF('[1]Game Input'!$CG172&lt;&gt;"",'[1]Game Input'!$CG172,"")</f>
        <v>0</v>
      </c>
      <c r="AA172" s="9">
        <f>IF('[1]Game Input'!$CH172&lt;&gt;"",'[1]Game Input'!$CH172,"")</f>
        <v>0</v>
      </c>
      <c r="AB172" s="9">
        <f>IF('[1]Game Input'!$CI172&lt;&gt;"",'[1]Game Input'!$CI172,"")</f>
        <v>0</v>
      </c>
      <c r="AC172" s="9">
        <f>IF('[1]Game Input'!$CJ172&lt;&gt;"",'[1]Game Input'!$CJ172,"")</f>
        <v>0</v>
      </c>
      <c r="AD172" s="9">
        <f>IF('[1]Game Input'!$CK172&lt;&gt;"",'[1]Game Input'!$CK172,"")</f>
        <v>0</v>
      </c>
      <c r="AE172" s="8" t="s">
        <v>90</v>
      </c>
      <c r="AF172" s="8" t="s">
        <v>104</v>
      </c>
      <c r="AG172" s="8" t="s">
        <v>115</v>
      </c>
      <c r="AH172" s="8" t="s">
        <v>119</v>
      </c>
    </row>
    <row r="173" spans="1:34" x14ac:dyDescent="0.2">
      <c r="A173" s="6">
        <f>IF('[1]Game Input'!$A173&lt;&gt;"",'[1]Game Input'!$A173,"")</f>
        <v>43435</v>
      </c>
      <c r="B173" s="6" t="str">
        <f>IF(A173&gt;$B$1,VLOOKUP(MONTH($A173),DOTWMonth,2,FALSE),"")</f>
        <v>December</v>
      </c>
      <c r="C173" s="10" t="str">
        <f>IF(A173&gt;$B$1,VLOOKUP(WEEKDAY($A173),DOTWMonth,3,FALSE),"")</f>
        <v>Saturday</v>
      </c>
      <c r="D173" s="7">
        <f>IF('[1]Game Input'!$B173&lt;&gt;"",'[1]Game Input'!$B173,"")</f>
        <v>0.83680555555555547</v>
      </c>
      <c r="E173" s="7">
        <f>IF('[1]Game Input'!$C173&lt;&gt;"",'[1]Game Input'!$C173,"")</f>
        <v>0.79513888888888884</v>
      </c>
      <c r="F173" s="8" t="str">
        <f>IF('[1]Game Input'!$D173&lt;&gt;"",'[1]Game Input'!$D173,"")</f>
        <v>Standard</v>
      </c>
      <c r="G173" s="8" t="str">
        <f>IF('[1]Game Input'!$G173&lt;&gt;"",'[1]Game Input'!$G173,"")</f>
        <v>GB @ DUB</v>
      </c>
      <c r="H173" s="8" t="str">
        <f>IF('[1]Game Input'!$H173&lt;&gt;"",'[1]Game Input'!$H173,"")</f>
        <v>Vs. Conference</v>
      </c>
      <c r="I173" s="8" t="str">
        <f>IF('[1]Game Input'!$I173&lt;&gt;"",'[1]Game Input'!$I173,"")</f>
        <v>GREEN BAY</v>
      </c>
      <c r="J173" s="9">
        <f>IF('[1]Game Input'!$AC173&lt;&gt;"",'[1]Game Input'!$AC173,"")</f>
        <v>25</v>
      </c>
      <c r="K173" s="9">
        <f>IF('[1]Game Input'!$AD173&lt;&gt;"",'[1]Game Input'!$AD173,"")</f>
        <v>7</v>
      </c>
      <c r="L173" s="9">
        <f>IF('[1]Game Input'!$AJ173&lt;&gt;"",'[1]Game Input'!$AJ173,"")</f>
        <v>0</v>
      </c>
      <c r="M173" s="9">
        <f>IF('[1]Game Input'!$AK173&lt;&gt;"",'[1]Game Input'!$AK173,"")</f>
        <v>0</v>
      </c>
      <c r="N173" s="9">
        <f>IF('[1]Game Input'!$AN173&lt;&gt;"",'[1]Game Input'!$AN173,"")</f>
        <v>5</v>
      </c>
      <c r="O173" s="9">
        <f>IF('[1]Game Input'!$AO173&lt;&gt;"",'[1]Game Input'!$AO173,"")</f>
        <v>1</v>
      </c>
      <c r="P173" s="9">
        <f>IF('[1]Game Input'!$AP173&lt;&gt;"",'[1]Game Input'!$AP173,"")</f>
        <v>0</v>
      </c>
      <c r="Q173" s="9">
        <f>IF('[1]Game Input'!$AQ173&lt;&gt;"",'[1]Game Input'!$AQ173,"")</f>
        <v>1</v>
      </c>
      <c r="R173" s="9">
        <f>IF('[1]Game Input'!$AR173&lt;&gt;"",'[1]Game Input'!$AR173,"")</f>
        <v>0</v>
      </c>
      <c r="S173" s="9">
        <f>IF('[1]Game Input'!$AS173&lt;&gt;"",'[1]Game Input'!$AS173,"")</f>
        <v>0</v>
      </c>
      <c r="T173" s="10" t="str">
        <f>IF('[1]Game Input'!$BA173&lt;&gt;"",'[1]Game Input'!$BA173,"")</f>
        <v>DUBUQUE</v>
      </c>
      <c r="U173" s="9">
        <f>IF('[1]Game Input'!$BU173&lt;&gt;"",'[1]Game Input'!$BU173,"")</f>
        <v>27</v>
      </c>
      <c r="V173" s="9">
        <f>IF('[1]Game Input'!$BV173&lt;&gt;"",'[1]Game Input'!$BV173,"")</f>
        <v>4</v>
      </c>
      <c r="W173" s="9">
        <f>IF('[1]Game Input'!$CB173&lt;&gt;"",'[1]Game Input'!$CB173,"")</f>
        <v>0</v>
      </c>
      <c r="X173" s="9">
        <f>IF('[1]Game Input'!$CC173&lt;&gt;"",'[1]Game Input'!$CC173,"")</f>
        <v>0</v>
      </c>
      <c r="Y173" s="9">
        <f>IF('[1]Game Input'!$CF173&lt;&gt;"",'[1]Game Input'!$CF173,"")</f>
        <v>1</v>
      </c>
      <c r="Z173" s="9">
        <f>IF('[1]Game Input'!$CG173&lt;&gt;"",'[1]Game Input'!$CG173,"")</f>
        <v>1</v>
      </c>
      <c r="AA173" s="9">
        <f>IF('[1]Game Input'!$CH173&lt;&gt;"",'[1]Game Input'!$CH173,"")</f>
        <v>1</v>
      </c>
      <c r="AB173" s="9">
        <f>IF('[1]Game Input'!$CI173&lt;&gt;"",'[1]Game Input'!$CI173,"")</f>
        <v>1</v>
      </c>
      <c r="AC173" s="9">
        <f>IF('[1]Game Input'!$CJ173&lt;&gt;"",'[1]Game Input'!$CJ173,"")</f>
        <v>0</v>
      </c>
      <c r="AD173" s="9">
        <f>IF('[1]Game Input'!$CK173&lt;&gt;"",'[1]Game Input'!$CK173,"")</f>
        <v>0</v>
      </c>
      <c r="AE173" s="8"/>
      <c r="AF173" s="8"/>
      <c r="AG173" s="8"/>
      <c r="AH173" s="8"/>
    </row>
    <row r="174" spans="1:34" x14ac:dyDescent="0.2">
      <c r="A174" s="6">
        <f>IF('[1]Game Input'!$A174&lt;&gt;"",'[1]Game Input'!$A174,"")</f>
        <v>43435</v>
      </c>
      <c r="B174" s="6" t="str">
        <f>IF(A174&gt;$B$1,VLOOKUP(MONTH($A174),DOTWMonth,2,FALSE),"")</f>
        <v>December</v>
      </c>
      <c r="C174" s="10" t="str">
        <f>IF(A174&gt;$B$1,VLOOKUP(WEEKDAY($A174),DOTWMonth,3,FALSE),"")</f>
        <v>Saturday</v>
      </c>
      <c r="D174" s="7">
        <f>IF('[1]Game Input'!$B174&lt;&gt;"",'[1]Game Input'!$B174,"")</f>
        <v>0.83680555555555547</v>
      </c>
      <c r="E174" s="7">
        <f>IF('[1]Game Input'!$C174&lt;&gt;"",'[1]Game Input'!$C174,"")</f>
        <v>0.79513888888888884</v>
      </c>
      <c r="F174" s="8" t="str">
        <f>IF('[1]Game Input'!$D174&lt;&gt;"",'[1]Game Input'!$D174,"")</f>
        <v>Standard</v>
      </c>
      <c r="G174" s="8" t="str">
        <f>IF('[1]Game Input'!$G174&lt;&gt;"",'[1]Game Input'!$G174,"")</f>
        <v>MUS @ MAD</v>
      </c>
      <c r="H174" s="8" t="str">
        <f>IF('[1]Game Input'!$H174&lt;&gt;"",'[1]Game Input'!$H174,"")</f>
        <v>Vs. Conference</v>
      </c>
      <c r="I174" s="8" t="str">
        <f>IF('[1]Game Input'!$I174&lt;&gt;"",'[1]Game Input'!$I174,"")</f>
        <v>MUSKEGON</v>
      </c>
      <c r="J174" s="9">
        <f>IF('[1]Game Input'!$AC174&lt;&gt;"",'[1]Game Input'!$AC174,"")</f>
        <v>10</v>
      </c>
      <c r="K174" s="9">
        <f>IF('[1]Game Input'!$AD174&lt;&gt;"",'[1]Game Input'!$AD174,"")</f>
        <v>5</v>
      </c>
      <c r="L174" s="9">
        <f>IF('[1]Game Input'!$AJ174&lt;&gt;"",'[1]Game Input'!$AJ174,"")</f>
        <v>0</v>
      </c>
      <c r="M174" s="9">
        <f>IF('[1]Game Input'!$AK174&lt;&gt;"",'[1]Game Input'!$AK174,"")</f>
        <v>0</v>
      </c>
      <c r="N174" s="9">
        <f>IF('[1]Game Input'!$AN174&lt;&gt;"",'[1]Game Input'!$AN174,"")</f>
        <v>5</v>
      </c>
      <c r="O174" s="9">
        <f>IF('[1]Game Input'!$AO174&lt;&gt;"",'[1]Game Input'!$AO174,"")</f>
        <v>0</v>
      </c>
      <c r="P174" s="9">
        <f>IF('[1]Game Input'!$AP174&lt;&gt;"",'[1]Game Input'!$AP174,"")</f>
        <v>0</v>
      </c>
      <c r="Q174" s="9">
        <f>IF('[1]Game Input'!$AQ174&lt;&gt;"",'[1]Game Input'!$AQ174,"")</f>
        <v>0</v>
      </c>
      <c r="R174" s="9">
        <f>IF('[1]Game Input'!$AR174&lt;&gt;"",'[1]Game Input'!$AR174,"")</f>
        <v>0</v>
      </c>
      <c r="S174" s="9">
        <f>IF('[1]Game Input'!$AS174&lt;&gt;"",'[1]Game Input'!$AS174,"")</f>
        <v>0</v>
      </c>
      <c r="T174" s="10" t="str">
        <f>IF('[1]Game Input'!$BA174&lt;&gt;"",'[1]Game Input'!$BA174,"")</f>
        <v>MADISON</v>
      </c>
      <c r="U174" s="9">
        <f>IF('[1]Game Input'!$BU174&lt;&gt;"",'[1]Game Input'!$BU174,"")</f>
        <v>14</v>
      </c>
      <c r="V174" s="9">
        <f>IF('[1]Game Input'!$BV174&lt;&gt;"",'[1]Game Input'!$BV174,"")</f>
        <v>7</v>
      </c>
      <c r="W174" s="9">
        <f>IF('[1]Game Input'!$CB174&lt;&gt;"",'[1]Game Input'!$CB174,"")</f>
        <v>0</v>
      </c>
      <c r="X174" s="9">
        <f>IF('[1]Game Input'!$CC174&lt;&gt;"",'[1]Game Input'!$CC174,"")</f>
        <v>0</v>
      </c>
      <c r="Y174" s="9">
        <f>IF('[1]Game Input'!$CF174&lt;&gt;"",'[1]Game Input'!$CF174,"")</f>
        <v>7</v>
      </c>
      <c r="Z174" s="9">
        <f>IF('[1]Game Input'!$CG174&lt;&gt;"",'[1]Game Input'!$CG174,"")</f>
        <v>0</v>
      </c>
      <c r="AA174" s="9">
        <f>IF('[1]Game Input'!$CH174&lt;&gt;"",'[1]Game Input'!$CH174,"")</f>
        <v>0</v>
      </c>
      <c r="AB174" s="9">
        <f>IF('[1]Game Input'!$CI174&lt;&gt;"",'[1]Game Input'!$CI174,"")</f>
        <v>0</v>
      </c>
      <c r="AC174" s="9">
        <f>IF('[1]Game Input'!$CJ174&lt;&gt;"",'[1]Game Input'!$CJ174,"")</f>
        <v>0</v>
      </c>
      <c r="AD174" s="9">
        <f>IF('[1]Game Input'!$CK174&lt;&gt;"",'[1]Game Input'!$CK174,"")</f>
        <v>0</v>
      </c>
      <c r="AE174" s="8"/>
      <c r="AF174" s="8"/>
      <c r="AG174" s="8"/>
      <c r="AH174" s="8"/>
    </row>
    <row r="175" spans="1:34" x14ac:dyDescent="0.2">
      <c r="A175" s="6">
        <f>IF('[1]Game Input'!$A175&lt;&gt;"",'[1]Game Input'!$A175,"")</f>
        <v>43435</v>
      </c>
      <c r="B175" s="6" t="str">
        <f>IF(A175&gt;$B$1,VLOOKUP(MONTH($A175),DOTWMonth,2,FALSE),"")</f>
        <v>December</v>
      </c>
      <c r="C175" s="10" t="str">
        <f>IF(A175&gt;$B$1,VLOOKUP(WEEKDAY($A175),DOTWMonth,3,FALSE),"")</f>
        <v>Saturday</v>
      </c>
      <c r="D175" s="7">
        <f>IF('[1]Game Input'!$B175&lt;&gt;"",'[1]Game Input'!$B175,"")</f>
        <v>0.83819444444444446</v>
      </c>
      <c r="E175" s="7">
        <f>IF('[1]Game Input'!$C175&lt;&gt;"",'[1]Game Input'!$C175,"")</f>
        <v>0.79652777777777783</v>
      </c>
      <c r="F175" s="8" t="str">
        <f>IF('[1]Game Input'!$D175&lt;&gt;"",'[1]Game Input'!$D175,"")</f>
        <v>Standard</v>
      </c>
      <c r="G175" s="8" t="str">
        <f>IF('[1]Game Input'!$G175&lt;&gt;"",'[1]Game Input'!$G175,"")</f>
        <v>CHI @ CIL</v>
      </c>
      <c r="H175" s="8" t="str">
        <f>IF('[1]Game Input'!$H175&lt;&gt;"",'[1]Game Input'!$H175,"")</f>
        <v>Vs. Conference</v>
      </c>
      <c r="I175" s="8" t="str">
        <f>IF('[1]Game Input'!$I175&lt;&gt;"",'[1]Game Input'!$I175,"")</f>
        <v>CHICAGO</v>
      </c>
      <c r="J175" s="9">
        <f>IF('[1]Game Input'!$AC175&lt;&gt;"",'[1]Game Input'!$AC175,"")</f>
        <v>23</v>
      </c>
      <c r="K175" s="9">
        <f>IF('[1]Game Input'!$AD175&lt;&gt;"",'[1]Game Input'!$AD175,"")</f>
        <v>6</v>
      </c>
      <c r="L175" s="9">
        <f>IF('[1]Game Input'!$AJ175&lt;&gt;"",'[1]Game Input'!$AJ175,"")</f>
        <v>0</v>
      </c>
      <c r="M175" s="9">
        <f>IF('[1]Game Input'!$AK175&lt;&gt;"",'[1]Game Input'!$AK175,"")</f>
        <v>0</v>
      </c>
      <c r="N175" s="9">
        <f>IF('[1]Game Input'!$AN175&lt;&gt;"",'[1]Game Input'!$AN175,"")</f>
        <v>4</v>
      </c>
      <c r="O175" s="9">
        <f>IF('[1]Game Input'!$AO175&lt;&gt;"",'[1]Game Input'!$AO175,"")</f>
        <v>1</v>
      </c>
      <c r="P175" s="9">
        <f>IF('[1]Game Input'!$AP175&lt;&gt;"",'[1]Game Input'!$AP175,"")</f>
        <v>0</v>
      </c>
      <c r="Q175" s="9">
        <f>IF('[1]Game Input'!$AQ175&lt;&gt;"",'[1]Game Input'!$AQ175,"")</f>
        <v>1</v>
      </c>
      <c r="R175" s="9">
        <f>IF('[1]Game Input'!$AR175&lt;&gt;"",'[1]Game Input'!$AR175,"")</f>
        <v>0</v>
      </c>
      <c r="S175" s="9">
        <f>IF('[1]Game Input'!$AS175&lt;&gt;"",'[1]Game Input'!$AS175,"")</f>
        <v>0</v>
      </c>
      <c r="T175" s="10" t="str">
        <f>IF('[1]Game Input'!$BA175&lt;&gt;"",'[1]Game Input'!$BA175,"")</f>
        <v>CENTRAL ILLINOIS</v>
      </c>
      <c r="U175" s="9">
        <f>IF('[1]Game Input'!$BU175&lt;&gt;"",'[1]Game Input'!$BU175,"")</f>
        <v>37</v>
      </c>
      <c r="V175" s="9">
        <f>IF('[1]Game Input'!$BV175&lt;&gt;"",'[1]Game Input'!$BV175,"")</f>
        <v>9</v>
      </c>
      <c r="W175" s="9">
        <f>IF('[1]Game Input'!$CB175&lt;&gt;"",'[1]Game Input'!$CB175,"")</f>
        <v>0</v>
      </c>
      <c r="X175" s="9">
        <f>IF('[1]Game Input'!$CC175&lt;&gt;"",'[1]Game Input'!$CC175,"")</f>
        <v>0</v>
      </c>
      <c r="Y175" s="9">
        <f>IF('[1]Game Input'!$CF175&lt;&gt;"",'[1]Game Input'!$CF175,"")</f>
        <v>6</v>
      </c>
      <c r="Z175" s="9">
        <f>IF('[1]Game Input'!$CG175&lt;&gt;"",'[1]Game Input'!$CG175,"")</f>
        <v>1</v>
      </c>
      <c r="AA175" s="9">
        <f>IF('[1]Game Input'!$CH175&lt;&gt;"",'[1]Game Input'!$CH175,"")</f>
        <v>1</v>
      </c>
      <c r="AB175" s="9">
        <f>IF('[1]Game Input'!$CI175&lt;&gt;"",'[1]Game Input'!$CI175,"")</f>
        <v>1</v>
      </c>
      <c r="AC175" s="9">
        <f>IF('[1]Game Input'!$CJ175&lt;&gt;"",'[1]Game Input'!$CJ175,"")</f>
        <v>0</v>
      </c>
      <c r="AD175" s="9">
        <f>IF('[1]Game Input'!$CK175&lt;&gt;"",'[1]Game Input'!$CK175,"")</f>
        <v>0</v>
      </c>
      <c r="AE175" s="8" t="s">
        <v>94</v>
      </c>
      <c r="AF175" s="8"/>
      <c r="AG175" s="8" t="s">
        <v>111</v>
      </c>
      <c r="AH175" s="8" t="s">
        <v>160</v>
      </c>
    </row>
    <row r="176" spans="1:34" x14ac:dyDescent="0.2">
      <c r="A176" s="6">
        <f>IF('[1]Game Input'!$A176&lt;&gt;"",'[1]Game Input'!$A176,"")</f>
        <v>43436</v>
      </c>
      <c r="B176" s="6" t="str">
        <f>IF(A176&gt;$B$1,VLOOKUP(MONTH($A176),DOTWMonth,2,FALSE),"")</f>
        <v>December</v>
      </c>
      <c r="C176" s="10" t="str">
        <f>IF(A176&gt;$B$1,VLOOKUP(WEEKDAY($A176),DOTWMonth,3,FALSE),"")</f>
        <v>Sunday</v>
      </c>
      <c r="D176" s="7">
        <f>IF('[1]Game Input'!$B176&lt;&gt;"",'[1]Game Input'!$B176,"")</f>
        <v>0.67013888888888884</v>
      </c>
      <c r="E176" s="7">
        <f>IF('[1]Game Input'!$C176&lt;&gt;"",'[1]Game Input'!$C176,"")</f>
        <v>0.62847222222222221</v>
      </c>
      <c r="F176" s="8" t="str">
        <f>IF('[1]Game Input'!$D176&lt;&gt;"",'[1]Game Input'!$D176,"")</f>
        <v>Standard</v>
      </c>
      <c r="G176" s="8" t="str">
        <f>IF('[1]Game Input'!$G176&lt;&gt;"",'[1]Game Input'!$G176,"")</f>
        <v>MUS @ DUB</v>
      </c>
      <c r="H176" s="8" t="str">
        <f>IF('[1]Game Input'!$H176&lt;&gt;"",'[1]Game Input'!$H176,"")</f>
        <v>Vs. Conference</v>
      </c>
      <c r="I176" s="8" t="str">
        <f>IF('[1]Game Input'!$I176&lt;&gt;"",'[1]Game Input'!$I176,"")</f>
        <v>MUSKEGON</v>
      </c>
      <c r="J176" s="9">
        <f>IF('[1]Game Input'!$AC176&lt;&gt;"",'[1]Game Input'!$AC176,"")</f>
        <v>8</v>
      </c>
      <c r="K176" s="9">
        <f>IF('[1]Game Input'!$AD176&lt;&gt;"",'[1]Game Input'!$AD176,"")</f>
        <v>4</v>
      </c>
      <c r="L176" s="9">
        <f>IF('[1]Game Input'!$AJ176&lt;&gt;"",'[1]Game Input'!$AJ176,"")</f>
        <v>0</v>
      </c>
      <c r="M176" s="9">
        <f>IF('[1]Game Input'!$AK176&lt;&gt;"",'[1]Game Input'!$AK176,"")</f>
        <v>0</v>
      </c>
      <c r="N176" s="9">
        <f>IF('[1]Game Input'!$AN176&lt;&gt;"",'[1]Game Input'!$AN176,"")</f>
        <v>4</v>
      </c>
      <c r="O176" s="9">
        <f>IF('[1]Game Input'!$AO176&lt;&gt;"",'[1]Game Input'!$AO176,"")</f>
        <v>0</v>
      </c>
      <c r="P176" s="9">
        <f>IF('[1]Game Input'!$AP176&lt;&gt;"",'[1]Game Input'!$AP176,"")</f>
        <v>0</v>
      </c>
      <c r="Q176" s="9">
        <f>IF('[1]Game Input'!$AQ176&lt;&gt;"",'[1]Game Input'!$AQ176,"")</f>
        <v>0</v>
      </c>
      <c r="R176" s="9">
        <f>IF('[1]Game Input'!$AR176&lt;&gt;"",'[1]Game Input'!$AR176,"")</f>
        <v>0</v>
      </c>
      <c r="S176" s="9">
        <f>IF('[1]Game Input'!$AS176&lt;&gt;"",'[1]Game Input'!$AS176,"")</f>
        <v>0</v>
      </c>
      <c r="T176" s="10" t="str">
        <f>IF('[1]Game Input'!$BA176&lt;&gt;"",'[1]Game Input'!$BA176,"")</f>
        <v>DUBUQUE</v>
      </c>
      <c r="U176" s="9">
        <f>IF('[1]Game Input'!$BU176&lt;&gt;"",'[1]Game Input'!$BU176,"")</f>
        <v>12</v>
      </c>
      <c r="V176" s="9">
        <f>IF('[1]Game Input'!$BV176&lt;&gt;"",'[1]Game Input'!$BV176,"")</f>
        <v>6</v>
      </c>
      <c r="W176" s="9">
        <f>IF('[1]Game Input'!$CB176&lt;&gt;"",'[1]Game Input'!$CB176,"")</f>
        <v>0</v>
      </c>
      <c r="X176" s="9">
        <f>IF('[1]Game Input'!$CC176&lt;&gt;"",'[1]Game Input'!$CC176,"")</f>
        <v>0</v>
      </c>
      <c r="Y176" s="9">
        <f>IF('[1]Game Input'!$CF176&lt;&gt;"",'[1]Game Input'!$CF176,"")</f>
        <v>6</v>
      </c>
      <c r="Z176" s="9">
        <f>IF('[1]Game Input'!$CG176&lt;&gt;"",'[1]Game Input'!$CG176,"")</f>
        <v>0</v>
      </c>
      <c r="AA176" s="9">
        <f>IF('[1]Game Input'!$CH176&lt;&gt;"",'[1]Game Input'!$CH176,"")</f>
        <v>0</v>
      </c>
      <c r="AB176" s="9">
        <f>IF('[1]Game Input'!$CI176&lt;&gt;"",'[1]Game Input'!$CI176,"")</f>
        <v>0</v>
      </c>
      <c r="AC176" s="9">
        <f>IF('[1]Game Input'!$CJ176&lt;&gt;"",'[1]Game Input'!$CJ176,"")</f>
        <v>0</v>
      </c>
      <c r="AD176" s="9">
        <f>IF('[1]Game Input'!$CK176&lt;&gt;"",'[1]Game Input'!$CK176,"")</f>
        <v>0</v>
      </c>
      <c r="AE176" s="8"/>
      <c r="AF176" s="8"/>
      <c r="AG176" s="8"/>
      <c r="AH176" s="8"/>
    </row>
    <row r="177" spans="1:34" x14ac:dyDescent="0.2">
      <c r="A177" s="6">
        <f>IF('[1]Game Input'!$A177&lt;&gt;"",'[1]Game Input'!$A177,"")</f>
        <v>43436</v>
      </c>
      <c r="B177" s="6" t="str">
        <f>IF(A177&gt;$B$1,VLOOKUP(MONTH($A177),DOTWMonth,2,FALSE),"")</f>
        <v>December</v>
      </c>
      <c r="C177" s="10" t="str">
        <f>IF(A177&gt;$B$1,VLOOKUP(WEEKDAY($A177),DOTWMonth,3,FALSE),"")</f>
        <v>Sunday</v>
      </c>
      <c r="D177" s="7">
        <f>IF('[1]Game Input'!$B177&lt;&gt;"",'[1]Game Input'!$B177,"")</f>
        <v>0.71319444444444446</v>
      </c>
      <c r="E177" s="7">
        <f>IF('[1]Game Input'!$C177&lt;&gt;"",'[1]Game Input'!$C177,"")</f>
        <v>0.67152777777777783</v>
      </c>
      <c r="F177" s="8" t="str">
        <f>IF('[1]Game Input'!$D177&lt;&gt;"",'[1]Game Input'!$D177,"")</f>
        <v>Standard</v>
      </c>
      <c r="G177" s="8" t="str">
        <f>IF('[1]Game Input'!$G177&lt;&gt;"",'[1]Game Input'!$G177,"")</f>
        <v>MAD @ CIL</v>
      </c>
      <c r="H177" s="8" t="str">
        <f>IF('[1]Game Input'!$H177&lt;&gt;"",'[1]Game Input'!$H177,"")</f>
        <v>Vs. Conference</v>
      </c>
      <c r="I177" s="8" t="str">
        <f>IF('[1]Game Input'!$I177&lt;&gt;"",'[1]Game Input'!$I177,"")</f>
        <v>MADISON</v>
      </c>
      <c r="J177" s="9">
        <f>IF('[1]Game Input'!$AC177&lt;&gt;"",'[1]Game Input'!$AC177,"")</f>
        <v>25</v>
      </c>
      <c r="K177" s="9">
        <f>IF('[1]Game Input'!$AD177&lt;&gt;"",'[1]Game Input'!$AD177,"")</f>
        <v>7</v>
      </c>
      <c r="L177" s="9">
        <f>IF('[1]Game Input'!$AJ177&lt;&gt;"",'[1]Game Input'!$AJ177,"")</f>
        <v>0</v>
      </c>
      <c r="M177" s="9">
        <f>IF('[1]Game Input'!$AK177&lt;&gt;"",'[1]Game Input'!$AK177,"")</f>
        <v>0</v>
      </c>
      <c r="N177" s="9">
        <f>IF('[1]Game Input'!$AN177&lt;&gt;"",'[1]Game Input'!$AN177,"")</f>
        <v>5</v>
      </c>
      <c r="O177" s="9">
        <f>IF('[1]Game Input'!$AO177&lt;&gt;"",'[1]Game Input'!$AO177,"")</f>
        <v>1</v>
      </c>
      <c r="P177" s="9">
        <f>IF('[1]Game Input'!$AP177&lt;&gt;"",'[1]Game Input'!$AP177,"")</f>
        <v>1</v>
      </c>
      <c r="Q177" s="9">
        <f>IF('[1]Game Input'!$AQ177&lt;&gt;"",'[1]Game Input'!$AQ177,"")</f>
        <v>0</v>
      </c>
      <c r="R177" s="9">
        <f>IF('[1]Game Input'!$AR177&lt;&gt;"",'[1]Game Input'!$AR177,"")</f>
        <v>0</v>
      </c>
      <c r="S177" s="9">
        <f>IF('[1]Game Input'!$AS177&lt;&gt;"",'[1]Game Input'!$AS177,"")</f>
        <v>0</v>
      </c>
      <c r="T177" s="10" t="str">
        <f>IF('[1]Game Input'!$BA177&lt;&gt;"",'[1]Game Input'!$BA177,"")</f>
        <v>CENTRAL ILLINOIS</v>
      </c>
      <c r="U177" s="9">
        <f>IF('[1]Game Input'!$BU177&lt;&gt;"",'[1]Game Input'!$BU177,"")</f>
        <v>21</v>
      </c>
      <c r="V177" s="9">
        <f>IF('[1]Game Input'!$BV177&lt;&gt;"",'[1]Game Input'!$BV177,"")</f>
        <v>5</v>
      </c>
      <c r="W177" s="9">
        <f>IF('[1]Game Input'!$CB177&lt;&gt;"",'[1]Game Input'!$CB177,"")</f>
        <v>0</v>
      </c>
      <c r="X177" s="9">
        <f>IF('[1]Game Input'!$CC177&lt;&gt;"",'[1]Game Input'!$CC177,"")</f>
        <v>0</v>
      </c>
      <c r="Y177" s="9">
        <f>IF('[1]Game Input'!$CF177&lt;&gt;"",'[1]Game Input'!$CF177,"")</f>
        <v>3</v>
      </c>
      <c r="Z177" s="9">
        <f>IF('[1]Game Input'!$CG177&lt;&gt;"",'[1]Game Input'!$CG177,"")</f>
        <v>1</v>
      </c>
      <c r="AA177" s="9">
        <f>IF('[1]Game Input'!$CH177&lt;&gt;"",'[1]Game Input'!$CH177,"")</f>
        <v>1</v>
      </c>
      <c r="AB177" s="9">
        <f>IF('[1]Game Input'!$CI177&lt;&gt;"",'[1]Game Input'!$CI177,"")</f>
        <v>0</v>
      </c>
      <c r="AC177" s="9">
        <f>IF('[1]Game Input'!$CJ177&lt;&gt;"",'[1]Game Input'!$CJ177,"")</f>
        <v>0</v>
      </c>
      <c r="AD177" s="9">
        <f>IF('[1]Game Input'!$CK177&lt;&gt;"",'[1]Game Input'!$CK177,"")</f>
        <v>0</v>
      </c>
      <c r="AE177" s="8" t="s">
        <v>92</v>
      </c>
      <c r="AF177" s="8" t="s">
        <v>125</v>
      </c>
      <c r="AG177" s="8" t="s">
        <v>114</v>
      </c>
      <c r="AH177" s="8" t="s">
        <v>145</v>
      </c>
    </row>
    <row r="178" spans="1:34" x14ac:dyDescent="0.2">
      <c r="A178" s="6">
        <f>IF('[1]Game Input'!$A178&lt;&gt;"",'[1]Game Input'!$A178,"")</f>
        <v>43438</v>
      </c>
      <c r="B178" s="6" t="str">
        <f>IF(A178&gt;$B$1,VLOOKUP(MONTH($A178),DOTWMonth,2,FALSE),"")</f>
        <v>December</v>
      </c>
      <c r="C178" s="10" t="str">
        <f>IF(A178&gt;$B$1,VLOOKUP(WEEKDAY($A178),DOTWMonth,3,FALSE),"")</f>
        <v>Tuesday</v>
      </c>
      <c r="D178" s="7">
        <f>IF('[1]Game Input'!$B178&lt;&gt;"",'[1]Game Input'!$B178,"")</f>
        <v>0.83680555555555547</v>
      </c>
      <c r="E178" s="7">
        <f>IF('[1]Game Input'!$C178&lt;&gt;"",'[1]Game Input'!$C178,"")</f>
        <v>0.79513888888888884</v>
      </c>
      <c r="F178" s="8" t="str">
        <f>IF('[1]Game Input'!$D178&lt;&gt;"",'[1]Game Input'!$D178,"")</f>
        <v>Standard</v>
      </c>
      <c r="G178" s="8" t="str">
        <f>IF('[1]Game Input'!$G178&lt;&gt;"",'[1]Game Input'!$G178,"")</f>
        <v>CR @ CHI</v>
      </c>
      <c r="H178" s="8" t="str">
        <f>IF('[1]Game Input'!$H178&lt;&gt;"",'[1]Game Input'!$H178,"")</f>
        <v>Vs. Conference</v>
      </c>
      <c r="I178" s="8" t="str">
        <f>IF('[1]Game Input'!$I178&lt;&gt;"",'[1]Game Input'!$I178,"")</f>
        <v>CEDAR RAPIDS</v>
      </c>
      <c r="J178" s="9">
        <f>IF('[1]Game Input'!$AC178&lt;&gt;"",'[1]Game Input'!$AC178,"")</f>
        <v>8</v>
      </c>
      <c r="K178" s="9">
        <f>IF('[1]Game Input'!$AD178&lt;&gt;"",'[1]Game Input'!$AD178,"")</f>
        <v>4</v>
      </c>
      <c r="L178" s="9">
        <f>IF('[1]Game Input'!$AJ178&lt;&gt;"",'[1]Game Input'!$AJ178,"")</f>
        <v>0</v>
      </c>
      <c r="M178" s="9">
        <f>IF('[1]Game Input'!$AK178&lt;&gt;"",'[1]Game Input'!$AK178,"")</f>
        <v>0</v>
      </c>
      <c r="N178" s="9">
        <f>IF('[1]Game Input'!$AN178&lt;&gt;"",'[1]Game Input'!$AN178,"")</f>
        <v>4</v>
      </c>
      <c r="O178" s="9">
        <f>IF('[1]Game Input'!$AO178&lt;&gt;"",'[1]Game Input'!$AO178,"")</f>
        <v>0</v>
      </c>
      <c r="P178" s="9">
        <f>IF('[1]Game Input'!$AP178&lt;&gt;"",'[1]Game Input'!$AP178,"")</f>
        <v>0</v>
      </c>
      <c r="Q178" s="9">
        <f>IF('[1]Game Input'!$AQ178&lt;&gt;"",'[1]Game Input'!$AQ178,"")</f>
        <v>0</v>
      </c>
      <c r="R178" s="9">
        <f>IF('[1]Game Input'!$AR178&lt;&gt;"",'[1]Game Input'!$AR178,"")</f>
        <v>0</v>
      </c>
      <c r="S178" s="9">
        <f>IF('[1]Game Input'!$AS178&lt;&gt;"",'[1]Game Input'!$AS178,"")</f>
        <v>0</v>
      </c>
      <c r="T178" s="10" t="str">
        <f>IF('[1]Game Input'!$BA178&lt;&gt;"",'[1]Game Input'!$BA178,"")</f>
        <v>CHICAGO</v>
      </c>
      <c r="U178" s="9">
        <f>IF('[1]Game Input'!$BU178&lt;&gt;"",'[1]Game Input'!$BU178,"")</f>
        <v>12</v>
      </c>
      <c r="V178" s="9">
        <f>IF('[1]Game Input'!$BV178&lt;&gt;"",'[1]Game Input'!$BV178,"")</f>
        <v>6</v>
      </c>
      <c r="W178" s="9">
        <f>IF('[1]Game Input'!$CB178&lt;&gt;"",'[1]Game Input'!$CB178,"")</f>
        <v>0</v>
      </c>
      <c r="X178" s="9">
        <f>IF('[1]Game Input'!$CC178&lt;&gt;"",'[1]Game Input'!$CC178,"")</f>
        <v>0</v>
      </c>
      <c r="Y178" s="9">
        <f>IF('[1]Game Input'!$CF178&lt;&gt;"",'[1]Game Input'!$CF178,"")</f>
        <v>6</v>
      </c>
      <c r="Z178" s="9">
        <f>IF('[1]Game Input'!$CG178&lt;&gt;"",'[1]Game Input'!$CG178,"")</f>
        <v>0</v>
      </c>
      <c r="AA178" s="9">
        <f>IF('[1]Game Input'!$CH178&lt;&gt;"",'[1]Game Input'!$CH178,"")</f>
        <v>0</v>
      </c>
      <c r="AB178" s="9">
        <f>IF('[1]Game Input'!$CI178&lt;&gt;"",'[1]Game Input'!$CI178,"")</f>
        <v>0</v>
      </c>
      <c r="AC178" s="9">
        <f>IF('[1]Game Input'!$CJ178&lt;&gt;"",'[1]Game Input'!$CJ178,"")</f>
        <v>0</v>
      </c>
      <c r="AD178" s="9">
        <f>IF('[1]Game Input'!$CK178&lt;&gt;"",'[1]Game Input'!$CK178,"")</f>
        <v>0</v>
      </c>
      <c r="AE178" s="8" t="s">
        <v>156</v>
      </c>
      <c r="AF178" s="8" t="s">
        <v>104</v>
      </c>
      <c r="AG178" s="8" t="s">
        <v>121</v>
      </c>
      <c r="AH178" s="8" t="s">
        <v>108</v>
      </c>
    </row>
    <row r="179" spans="1:34" x14ac:dyDescent="0.2">
      <c r="A179" s="6">
        <f>IF('[1]Game Input'!$A179&lt;&gt;"",'[1]Game Input'!$A179,"")</f>
        <v>43438</v>
      </c>
      <c r="B179" s="6" t="str">
        <f>IF(A179&gt;$B$1,VLOOKUP(MONTH($A179),DOTWMonth,2,FALSE),"")</f>
        <v>December</v>
      </c>
      <c r="C179" s="10" t="str">
        <f>IF(A179&gt;$B$1,VLOOKUP(WEEKDAY($A179),DOTWMonth,3,FALSE),"")</f>
        <v>Tuesday</v>
      </c>
      <c r="D179" s="7">
        <f>IF('[1]Game Input'!$B179&lt;&gt;"",'[1]Game Input'!$B179,"")</f>
        <v>0.83680555555555547</v>
      </c>
      <c r="E179" s="7">
        <f>IF('[1]Game Input'!$C179&lt;&gt;"",'[1]Game Input'!$C179,"")</f>
        <v>0.79513888888888884</v>
      </c>
      <c r="F179" s="8" t="str">
        <f>IF('[1]Game Input'!$D179&lt;&gt;"",'[1]Game Input'!$D179,"")</f>
        <v>Standard</v>
      </c>
      <c r="G179" s="8" t="str">
        <f>IF('[1]Game Input'!$G179&lt;&gt;"",'[1]Game Input'!$G179,"")</f>
        <v>DM @ SF</v>
      </c>
      <c r="H179" s="8" t="str">
        <f>IF('[1]Game Input'!$H179&lt;&gt;"",'[1]Game Input'!$H179,"")</f>
        <v>Vs. Conference</v>
      </c>
      <c r="I179" s="8" t="str">
        <f>IF('[1]Game Input'!$I179&lt;&gt;"",'[1]Game Input'!$I179,"")</f>
        <v>DES MOINES</v>
      </c>
      <c r="J179" s="9">
        <f>IF('[1]Game Input'!$AC179&lt;&gt;"",'[1]Game Input'!$AC179,"")</f>
        <v>4</v>
      </c>
      <c r="K179" s="9">
        <f>IF('[1]Game Input'!$AD179&lt;&gt;"",'[1]Game Input'!$AD179,"")</f>
        <v>2</v>
      </c>
      <c r="L179" s="9">
        <f>IF('[1]Game Input'!$AJ179&lt;&gt;"",'[1]Game Input'!$AJ179,"")</f>
        <v>0</v>
      </c>
      <c r="M179" s="9">
        <f>IF('[1]Game Input'!$AK179&lt;&gt;"",'[1]Game Input'!$AK179,"")</f>
        <v>0</v>
      </c>
      <c r="N179" s="9">
        <f>IF('[1]Game Input'!$AN179&lt;&gt;"",'[1]Game Input'!$AN179,"")</f>
        <v>2</v>
      </c>
      <c r="O179" s="9">
        <f>IF('[1]Game Input'!$AO179&lt;&gt;"",'[1]Game Input'!$AO179,"")</f>
        <v>0</v>
      </c>
      <c r="P179" s="9">
        <f>IF('[1]Game Input'!$AP179&lt;&gt;"",'[1]Game Input'!$AP179,"")</f>
        <v>0</v>
      </c>
      <c r="Q179" s="9">
        <f>IF('[1]Game Input'!$AQ179&lt;&gt;"",'[1]Game Input'!$AQ179,"")</f>
        <v>0</v>
      </c>
      <c r="R179" s="9">
        <f>IF('[1]Game Input'!$AR179&lt;&gt;"",'[1]Game Input'!$AR179,"")</f>
        <v>0</v>
      </c>
      <c r="S179" s="9">
        <f>IF('[1]Game Input'!$AS179&lt;&gt;"",'[1]Game Input'!$AS179,"")</f>
        <v>0</v>
      </c>
      <c r="T179" s="10" t="str">
        <f>IF('[1]Game Input'!$BA179&lt;&gt;"",'[1]Game Input'!$BA179,"")</f>
        <v>SIOUX FALLS</v>
      </c>
      <c r="U179" s="9">
        <f>IF('[1]Game Input'!$BU179&lt;&gt;"",'[1]Game Input'!$BU179,"")</f>
        <v>8</v>
      </c>
      <c r="V179" s="9">
        <f>IF('[1]Game Input'!$BV179&lt;&gt;"",'[1]Game Input'!$BV179,"")</f>
        <v>4</v>
      </c>
      <c r="W179" s="9">
        <f>IF('[1]Game Input'!$CB179&lt;&gt;"",'[1]Game Input'!$CB179,"")</f>
        <v>0</v>
      </c>
      <c r="X179" s="9">
        <f>IF('[1]Game Input'!$CC179&lt;&gt;"",'[1]Game Input'!$CC179,"")</f>
        <v>0</v>
      </c>
      <c r="Y179" s="9">
        <f>IF('[1]Game Input'!$CF179&lt;&gt;"",'[1]Game Input'!$CF179,"")</f>
        <v>4</v>
      </c>
      <c r="Z179" s="9">
        <f>IF('[1]Game Input'!$CG179&lt;&gt;"",'[1]Game Input'!$CG179,"")</f>
        <v>0</v>
      </c>
      <c r="AA179" s="9">
        <f>IF('[1]Game Input'!$CH179&lt;&gt;"",'[1]Game Input'!$CH179,"")</f>
        <v>0</v>
      </c>
      <c r="AB179" s="9">
        <f>IF('[1]Game Input'!$CI179&lt;&gt;"",'[1]Game Input'!$CI179,"")</f>
        <v>0</v>
      </c>
      <c r="AC179" s="9">
        <f>IF('[1]Game Input'!$CJ179&lt;&gt;"",'[1]Game Input'!$CJ179,"")</f>
        <v>0</v>
      </c>
      <c r="AD179" s="9">
        <f>IF('[1]Game Input'!$CK179&lt;&gt;"",'[1]Game Input'!$CK179,"")</f>
        <v>0</v>
      </c>
      <c r="AE179" s="8" t="s">
        <v>139</v>
      </c>
      <c r="AF179" s="8" t="s">
        <v>102</v>
      </c>
      <c r="AG179" s="8" t="s">
        <v>115</v>
      </c>
      <c r="AH179" s="8" t="s">
        <v>119</v>
      </c>
    </row>
    <row r="180" spans="1:34" x14ac:dyDescent="0.2">
      <c r="A180" s="6">
        <f>IF('[1]Game Input'!$A180&lt;&gt;"",'[1]Game Input'!$A180,"")</f>
        <v>43441</v>
      </c>
      <c r="B180" s="6" t="str">
        <f>IF(A180&gt;$B$1,VLOOKUP(MONTH($A180),DOTWMonth,2,FALSE),"")</f>
        <v>December</v>
      </c>
      <c r="C180" s="10" t="str">
        <f>IF(A180&gt;$B$1,VLOOKUP(WEEKDAY($A180),DOTWMonth,3,FALSE),"")</f>
        <v>Friday</v>
      </c>
      <c r="D180" s="7">
        <f>IF('[1]Game Input'!$B180&lt;&gt;"",'[1]Game Input'!$B180,"")</f>
        <v>0.79166666666666663</v>
      </c>
      <c r="E180" s="7">
        <f>IF('[1]Game Input'!$C180&lt;&gt;"",'[1]Game Input'!$C180,"")</f>
        <v>0.75</v>
      </c>
      <c r="F180" s="8" t="str">
        <f>IF('[1]Game Input'!$D180&lt;&gt;"",'[1]Game Input'!$D180,"")</f>
        <v>Standard</v>
      </c>
      <c r="G180" s="8" t="str">
        <f>IF('[1]Game Input'!$G180&lt;&gt;"",'[1]Game Input'!$G180,"")</f>
        <v>YNG @ USA</v>
      </c>
      <c r="H180" s="8" t="str">
        <f>IF('[1]Game Input'!$H180&lt;&gt;"",'[1]Game Input'!$H180,"")</f>
        <v>Vs. Conference</v>
      </c>
      <c r="I180" s="8" t="str">
        <f>IF('[1]Game Input'!$I180&lt;&gt;"",'[1]Game Input'!$I180,"")</f>
        <v>YOUNGSTOWN</v>
      </c>
      <c r="J180" s="9">
        <f>IF('[1]Game Input'!$AC180&lt;&gt;"",'[1]Game Input'!$AC180,"")</f>
        <v>8</v>
      </c>
      <c r="K180" s="9">
        <f>IF('[1]Game Input'!$AD180&lt;&gt;"",'[1]Game Input'!$AD180,"")</f>
        <v>4</v>
      </c>
      <c r="L180" s="9">
        <f>IF('[1]Game Input'!$AJ180&lt;&gt;"",'[1]Game Input'!$AJ180,"")</f>
        <v>0</v>
      </c>
      <c r="M180" s="9">
        <f>IF('[1]Game Input'!$AK180&lt;&gt;"",'[1]Game Input'!$AK180,"")</f>
        <v>0</v>
      </c>
      <c r="N180" s="9">
        <f>IF('[1]Game Input'!$AN180&lt;&gt;"",'[1]Game Input'!$AN180,"")</f>
        <v>4</v>
      </c>
      <c r="O180" s="9">
        <f>IF('[1]Game Input'!$AO180&lt;&gt;"",'[1]Game Input'!$AO180,"")</f>
        <v>0</v>
      </c>
      <c r="P180" s="9">
        <f>IF('[1]Game Input'!$AP180&lt;&gt;"",'[1]Game Input'!$AP180,"")</f>
        <v>0</v>
      </c>
      <c r="Q180" s="9">
        <f>IF('[1]Game Input'!$AQ180&lt;&gt;"",'[1]Game Input'!$AQ180,"")</f>
        <v>0</v>
      </c>
      <c r="R180" s="9">
        <f>IF('[1]Game Input'!$AR180&lt;&gt;"",'[1]Game Input'!$AR180,"")</f>
        <v>0</v>
      </c>
      <c r="S180" s="9">
        <f>IF('[1]Game Input'!$AS180&lt;&gt;"",'[1]Game Input'!$AS180,"")</f>
        <v>0</v>
      </c>
      <c r="T180" s="10" t="str">
        <f>IF('[1]Game Input'!$BA180&lt;&gt;"",'[1]Game Input'!$BA180,"")</f>
        <v>TEAM USA</v>
      </c>
      <c r="U180" s="9">
        <f>IF('[1]Game Input'!$BU180&lt;&gt;"",'[1]Game Input'!$BU180,"")</f>
        <v>14</v>
      </c>
      <c r="V180" s="9">
        <f>IF('[1]Game Input'!$BV180&lt;&gt;"",'[1]Game Input'!$BV180,"")</f>
        <v>7</v>
      </c>
      <c r="W180" s="9">
        <f>IF('[1]Game Input'!$CB180&lt;&gt;"",'[1]Game Input'!$CB180,"")</f>
        <v>0</v>
      </c>
      <c r="X180" s="9">
        <f>IF('[1]Game Input'!$CC180&lt;&gt;"",'[1]Game Input'!$CC180,"")</f>
        <v>0</v>
      </c>
      <c r="Y180" s="9">
        <f>IF('[1]Game Input'!$CF180&lt;&gt;"",'[1]Game Input'!$CF180,"")</f>
        <v>7</v>
      </c>
      <c r="Z180" s="9">
        <f>IF('[1]Game Input'!$CG180&lt;&gt;"",'[1]Game Input'!$CG180,"")</f>
        <v>0</v>
      </c>
      <c r="AA180" s="9">
        <f>IF('[1]Game Input'!$CH180&lt;&gt;"",'[1]Game Input'!$CH180,"")</f>
        <v>0</v>
      </c>
      <c r="AB180" s="9">
        <f>IF('[1]Game Input'!$CI180&lt;&gt;"",'[1]Game Input'!$CI180,"")</f>
        <v>0</v>
      </c>
      <c r="AC180" s="9">
        <f>IF('[1]Game Input'!$CJ180&lt;&gt;"",'[1]Game Input'!$CJ180,"")</f>
        <v>0</v>
      </c>
      <c r="AD180" s="9">
        <f>IF('[1]Game Input'!$CK180&lt;&gt;"",'[1]Game Input'!$CK180,"")</f>
        <v>0</v>
      </c>
      <c r="AE180" s="8"/>
      <c r="AF180" s="8"/>
      <c r="AG180" s="8"/>
      <c r="AH180" s="8"/>
    </row>
    <row r="181" spans="1:34" x14ac:dyDescent="0.2">
      <c r="A181" s="6">
        <f>IF('[1]Game Input'!$A181&lt;&gt;"",'[1]Game Input'!$A181,"")</f>
        <v>43441</v>
      </c>
      <c r="B181" s="6" t="str">
        <f>IF(A181&gt;$B$1,VLOOKUP(MONTH($A181),DOTWMonth,2,FALSE),"")</f>
        <v>December</v>
      </c>
      <c r="C181" s="10" t="str">
        <f>IF(A181&gt;$B$1,VLOOKUP(WEEKDAY($A181),DOTWMonth,3,FALSE),"")</f>
        <v>Friday</v>
      </c>
      <c r="D181" s="7">
        <f>IF('[1]Game Input'!$B181&lt;&gt;"",'[1]Game Input'!$B181,"")</f>
        <v>0.80208333333333337</v>
      </c>
      <c r="E181" s="7">
        <f>IF('[1]Game Input'!$C181&lt;&gt;"",'[1]Game Input'!$C181,"")</f>
        <v>0.76041666666666674</v>
      </c>
      <c r="F181" s="8" t="str">
        <f>IF('[1]Game Input'!$D181&lt;&gt;"",'[1]Game Input'!$D181,"")</f>
        <v>Standard</v>
      </c>
      <c r="G181" s="8" t="str">
        <f>IF('[1]Game Input'!$G181&lt;&gt;"",'[1]Game Input'!$G181,"")</f>
        <v>DUB @ MUS</v>
      </c>
      <c r="H181" s="8" t="str">
        <f>IF('[1]Game Input'!$H181&lt;&gt;"",'[1]Game Input'!$H181,"")</f>
        <v>Vs. Conference</v>
      </c>
      <c r="I181" s="8" t="str">
        <f>IF('[1]Game Input'!$I181&lt;&gt;"",'[1]Game Input'!$I181,"")</f>
        <v>DUBUQUE</v>
      </c>
      <c r="J181" s="9">
        <f>IF('[1]Game Input'!$AC181&lt;&gt;"",'[1]Game Input'!$AC181,"")</f>
        <v>22</v>
      </c>
      <c r="K181" s="9">
        <f>IF('[1]Game Input'!$AD181&lt;&gt;"",'[1]Game Input'!$AD181,"")</f>
        <v>7</v>
      </c>
      <c r="L181" s="9">
        <f>IF('[1]Game Input'!$AJ181&lt;&gt;"",'[1]Game Input'!$AJ181,"")</f>
        <v>0</v>
      </c>
      <c r="M181" s="9">
        <f>IF('[1]Game Input'!$AK181&lt;&gt;"",'[1]Game Input'!$AK181,"")</f>
        <v>0</v>
      </c>
      <c r="N181" s="9">
        <f>IF('[1]Game Input'!$AN181&lt;&gt;"",'[1]Game Input'!$AN181,"")</f>
        <v>6</v>
      </c>
      <c r="O181" s="9">
        <f>IF('[1]Game Input'!$AO181&lt;&gt;"",'[1]Game Input'!$AO181,"")</f>
        <v>0</v>
      </c>
      <c r="P181" s="9">
        <f>IF('[1]Game Input'!$AP181&lt;&gt;"",'[1]Game Input'!$AP181,"")</f>
        <v>1</v>
      </c>
      <c r="Q181" s="9">
        <f>IF('[1]Game Input'!$AQ181&lt;&gt;"",'[1]Game Input'!$AQ181,"")</f>
        <v>0</v>
      </c>
      <c r="R181" s="9">
        <f>IF('[1]Game Input'!$AR181&lt;&gt;"",'[1]Game Input'!$AR181,"")</f>
        <v>0</v>
      </c>
      <c r="S181" s="9">
        <f>IF('[1]Game Input'!$AS181&lt;&gt;"",'[1]Game Input'!$AS181,"")</f>
        <v>0</v>
      </c>
      <c r="T181" s="10" t="str">
        <f>IF('[1]Game Input'!$BA181&lt;&gt;"",'[1]Game Input'!$BA181,"")</f>
        <v>MUSKEGON</v>
      </c>
      <c r="U181" s="9">
        <f>IF('[1]Game Input'!$BU181&lt;&gt;"",'[1]Game Input'!$BU181,"")</f>
        <v>14</v>
      </c>
      <c r="V181" s="9">
        <f>IF('[1]Game Input'!$BV181&lt;&gt;"",'[1]Game Input'!$BV181,"")</f>
        <v>7</v>
      </c>
      <c r="W181" s="9">
        <f>IF('[1]Game Input'!$CB181&lt;&gt;"",'[1]Game Input'!$CB181,"")</f>
        <v>0</v>
      </c>
      <c r="X181" s="9">
        <f>IF('[1]Game Input'!$CC181&lt;&gt;"",'[1]Game Input'!$CC181,"")</f>
        <v>0</v>
      </c>
      <c r="Y181" s="9">
        <f>IF('[1]Game Input'!$CF181&lt;&gt;"",'[1]Game Input'!$CF181,"")</f>
        <v>7</v>
      </c>
      <c r="Z181" s="9">
        <f>IF('[1]Game Input'!$CG181&lt;&gt;"",'[1]Game Input'!$CG181,"")</f>
        <v>0</v>
      </c>
      <c r="AA181" s="9">
        <f>IF('[1]Game Input'!$CH181&lt;&gt;"",'[1]Game Input'!$CH181,"")</f>
        <v>0</v>
      </c>
      <c r="AB181" s="9">
        <f>IF('[1]Game Input'!$CI181&lt;&gt;"",'[1]Game Input'!$CI181,"")</f>
        <v>0</v>
      </c>
      <c r="AC181" s="9">
        <f>IF('[1]Game Input'!$CJ181&lt;&gt;"",'[1]Game Input'!$CJ181,"")</f>
        <v>0</v>
      </c>
      <c r="AD181" s="9">
        <f>IF('[1]Game Input'!$CK181&lt;&gt;"",'[1]Game Input'!$CK181,"")</f>
        <v>0</v>
      </c>
      <c r="AE181" s="8"/>
      <c r="AF181" s="8"/>
      <c r="AG181" s="8"/>
      <c r="AH181" s="8"/>
    </row>
    <row r="182" spans="1:34" x14ac:dyDescent="0.2">
      <c r="A182" s="6">
        <f>IF('[1]Game Input'!$A182&lt;&gt;"",'[1]Game Input'!$A182,"")</f>
        <v>43441</v>
      </c>
      <c r="B182" s="6" t="str">
        <f>IF(A182&gt;$B$1,VLOOKUP(MONTH($A182),DOTWMonth,2,FALSE),"")</f>
        <v>December</v>
      </c>
      <c r="C182" s="10" t="str">
        <f>IF(A182&gt;$B$1,VLOOKUP(WEEKDAY($A182),DOTWMonth,3,FALSE),"")</f>
        <v>Friday</v>
      </c>
      <c r="D182" s="7">
        <f>IF('[1]Game Input'!$B182&lt;&gt;"",'[1]Game Input'!$B182,"")</f>
        <v>0.83680555555555547</v>
      </c>
      <c r="E182" s="7">
        <f>IF('[1]Game Input'!$C182&lt;&gt;"",'[1]Game Input'!$C182,"")</f>
        <v>0.79513888888888884</v>
      </c>
      <c r="F182" s="8" t="str">
        <f>IF('[1]Game Input'!$D182&lt;&gt;"",'[1]Game Input'!$D182,"")</f>
        <v>Standard</v>
      </c>
      <c r="G182" s="8" t="str">
        <f>IF('[1]Game Input'!$G182&lt;&gt;"",'[1]Game Input'!$G182,"")</f>
        <v>GB @ CR</v>
      </c>
      <c r="H182" s="8" t="str">
        <f>IF('[1]Game Input'!$H182&lt;&gt;"",'[1]Game Input'!$H182,"")</f>
        <v>Vs. Conference</v>
      </c>
      <c r="I182" s="8" t="str">
        <f>IF('[1]Game Input'!$I182&lt;&gt;"",'[1]Game Input'!$I182,"")</f>
        <v>GREEN BAY</v>
      </c>
      <c r="J182" s="9">
        <f>IF('[1]Game Input'!$AC182&lt;&gt;"",'[1]Game Input'!$AC182,"")</f>
        <v>33</v>
      </c>
      <c r="K182" s="9">
        <f>IF('[1]Game Input'!$AD182&lt;&gt;"",'[1]Game Input'!$AD182,"")</f>
        <v>7</v>
      </c>
      <c r="L182" s="9">
        <f>IF('[1]Game Input'!$AJ182&lt;&gt;"",'[1]Game Input'!$AJ182,"")</f>
        <v>0</v>
      </c>
      <c r="M182" s="9">
        <f>IF('[1]Game Input'!$AK182&lt;&gt;"",'[1]Game Input'!$AK182,"")</f>
        <v>0</v>
      </c>
      <c r="N182" s="9">
        <f>IF('[1]Game Input'!$AN182&lt;&gt;"",'[1]Game Input'!$AN182,"")</f>
        <v>4</v>
      </c>
      <c r="O182" s="9">
        <f>IF('[1]Game Input'!$AO182&lt;&gt;"",'[1]Game Input'!$AO182,"")</f>
        <v>1</v>
      </c>
      <c r="P182" s="9">
        <f>IF('[1]Game Input'!$AP182&lt;&gt;"",'[1]Game Input'!$AP182,"")</f>
        <v>2</v>
      </c>
      <c r="Q182" s="9">
        <f>IF('[1]Game Input'!$AQ182&lt;&gt;"",'[1]Game Input'!$AQ182,"")</f>
        <v>0</v>
      </c>
      <c r="R182" s="9">
        <f>IF('[1]Game Input'!$AR182&lt;&gt;"",'[1]Game Input'!$AR182,"")</f>
        <v>0</v>
      </c>
      <c r="S182" s="9">
        <f>IF('[1]Game Input'!$AS182&lt;&gt;"",'[1]Game Input'!$AS182,"")</f>
        <v>0</v>
      </c>
      <c r="T182" s="10" t="str">
        <f>IF('[1]Game Input'!$BA182&lt;&gt;"",'[1]Game Input'!$BA182,"")</f>
        <v>CEDAR RAPIDS</v>
      </c>
      <c r="U182" s="9">
        <f>IF('[1]Game Input'!$BU182&lt;&gt;"",'[1]Game Input'!$BU182,"")</f>
        <v>25</v>
      </c>
      <c r="V182" s="9">
        <f>IF('[1]Game Input'!$BV182&lt;&gt;"",'[1]Game Input'!$BV182,"")</f>
        <v>7</v>
      </c>
      <c r="W182" s="9">
        <f>IF('[1]Game Input'!$CB182&lt;&gt;"",'[1]Game Input'!$CB182,"")</f>
        <v>0</v>
      </c>
      <c r="X182" s="9">
        <f>IF('[1]Game Input'!$CC182&lt;&gt;"",'[1]Game Input'!$CC182,"")</f>
        <v>0</v>
      </c>
      <c r="Y182" s="9">
        <f>IF('[1]Game Input'!$CF182&lt;&gt;"",'[1]Game Input'!$CF182,"")</f>
        <v>5</v>
      </c>
      <c r="Z182" s="9">
        <f>IF('[1]Game Input'!$CG182&lt;&gt;"",'[1]Game Input'!$CG182,"")</f>
        <v>1</v>
      </c>
      <c r="AA182" s="9">
        <f>IF('[1]Game Input'!$CH182&lt;&gt;"",'[1]Game Input'!$CH182,"")</f>
        <v>1</v>
      </c>
      <c r="AB182" s="9">
        <f>IF('[1]Game Input'!$CI182&lt;&gt;"",'[1]Game Input'!$CI182,"")</f>
        <v>0</v>
      </c>
      <c r="AC182" s="9">
        <f>IF('[1]Game Input'!$CJ182&lt;&gt;"",'[1]Game Input'!$CJ182,"")</f>
        <v>0</v>
      </c>
      <c r="AD182" s="9">
        <f>IF('[1]Game Input'!$CK182&lt;&gt;"",'[1]Game Input'!$CK182,"")</f>
        <v>0</v>
      </c>
      <c r="AE182" s="8" t="s">
        <v>100</v>
      </c>
      <c r="AF182" s="8"/>
      <c r="AG182" s="8" t="s">
        <v>109</v>
      </c>
      <c r="AH182" s="8" t="s">
        <v>151</v>
      </c>
    </row>
    <row r="183" spans="1:34" x14ac:dyDescent="0.2">
      <c r="A183" s="6">
        <f>IF('[1]Game Input'!$A183&lt;&gt;"",'[1]Game Input'!$A183,"")</f>
        <v>43441</v>
      </c>
      <c r="B183" s="6" t="str">
        <f>IF(A183&gt;$B$1,VLOOKUP(MONTH($A183),DOTWMonth,2,FALSE),"")</f>
        <v>December</v>
      </c>
      <c r="C183" s="10" t="str">
        <f>IF(A183&gt;$B$1,VLOOKUP(WEEKDAY($A183),DOTWMonth,3,FALSE),"")</f>
        <v>Friday</v>
      </c>
      <c r="D183" s="7">
        <f>IF('[1]Game Input'!$B183&lt;&gt;"",'[1]Game Input'!$B183,"")</f>
        <v>0.83680555555555547</v>
      </c>
      <c r="E183" s="7">
        <f>IF('[1]Game Input'!$C183&lt;&gt;"",'[1]Game Input'!$C183,"")</f>
        <v>0.79513888888888884</v>
      </c>
      <c r="F183" s="8" t="str">
        <f>IF('[1]Game Input'!$D183&lt;&gt;"",'[1]Game Input'!$D183,"")</f>
        <v>Standard</v>
      </c>
      <c r="G183" s="8" t="str">
        <f>IF('[1]Game Input'!$G183&lt;&gt;"",'[1]Game Input'!$G183,"")</f>
        <v>SC @ LIN</v>
      </c>
      <c r="H183" s="8" t="str">
        <f>IF('[1]Game Input'!$H183&lt;&gt;"",'[1]Game Input'!$H183,"")</f>
        <v>Vs. Conference</v>
      </c>
      <c r="I183" s="8" t="str">
        <f>IF('[1]Game Input'!$I183&lt;&gt;"",'[1]Game Input'!$I183,"")</f>
        <v>SIOUX CITY</v>
      </c>
      <c r="J183" s="9">
        <f>IF('[1]Game Input'!$AC183&lt;&gt;"",'[1]Game Input'!$AC183,"")</f>
        <v>10</v>
      </c>
      <c r="K183" s="9">
        <f>IF('[1]Game Input'!$AD183&lt;&gt;"",'[1]Game Input'!$AD183,"")</f>
        <v>5</v>
      </c>
      <c r="L183" s="9">
        <f>IF('[1]Game Input'!$AJ183&lt;&gt;"",'[1]Game Input'!$AJ183,"")</f>
        <v>0</v>
      </c>
      <c r="M183" s="9">
        <f>IF('[1]Game Input'!$AK183&lt;&gt;"",'[1]Game Input'!$AK183,"")</f>
        <v>0</v>
      </c>
      <c r="N183" s="9">
        <f>IF('[1]Game Input'!$AN183&lt;&gt;"",'[1]Game Input'!$AN183,"")</f>
        <v>5</v>
      </c>
      <c r="O183" s="9">
        <f>IF('[1]Game Input'!$AO183&lt;&gt;"",'[1]Game Input'!$AO183,"")</f>
        <v>0</v>
      </c>
      <c r="P183" s="9">
        <f>IF('[1]Game Input'!$AP183&lt;&gt;"",'[1]Game Input'!$AP183,"")</f>
        <v>0</v>
      </c>
      <c r="Q183" s="9">
        <f>IF('[1]Game Input'!$AQ183&lt;&gt;"",'[1]Game Input'!$AQ183,"")</f>
        <v>0</v>
      </c>
      <c r="R183" s="9">
        <f>IF('[1]Game Input'!$AR183&lt;&gt;"",'[1]Game Input'!$AR183,"")</f>
        <v>0</v>
      </c>
      <c r="S183" s="9">
        <f>IF('[1]Game Input'!$AS183&lt;&gt;"",'[1]Game Input'!$AS183,"")</f>
        <v>0</v>
      </c>
      <c r="T183" s="10" t="str">
        <f>IF('[1]Game Input'!$BA183&lt;&gt;"",'[1]Game Input'!$BA183,"")</f>
        <v>LINCOLN</v>
      </c>
      <c r="U183" s="9">
        <f>IF('[1]Game Input'!$BU183&lt;&gt;"",'[1]Game Input'!$BU183,"")</f>
        <v>25</v>
      </c>
      <c r="V183" s="9">
        <f>IF('[1]Game Input'!$BV183&lt;&gt;"",'[1]Game Input'!$BV183,"")</f>
        <v>7</v>
      </c>
      <c r="W183" s="9">
        <f>IF('[1]Game Input'!$CB183&lt;&gt;"",'[1]Game Input'!$CB183,"")</f>
        <v>0</v>
      </c>
      <c r="X183" s="9">
        <f>IF('[1]Game Input'!$CC183&lt;&gt;"",'[1]Game Input'!$CC183,"")</f>
        <v>0</v>
      </c>
      <c r="Y183" s="9">
        <f>IF('[1]Game Input'!$CF183&lt;&gt;"",'[1]Game Input'!$CF183,"")</f>
        <v>5</v>
      </c>
      <c r="Z183" s="9">
        <f>IF('[1]Game Input'!$CG183&lt;&gt;"",'[1]Game Input'!$CG183,"")</f>
        <v>1</v>
      </c>
      <c r="AA183" s="9">
        <f>IF('[1]Game Input'!$CH183&lt;&gt;"",'[1]Game Input'!$CH183,"")</f>
        <v>0</v>
      </c>
      <c r="AB183" s="9">
        <f>IF('[1]Game Input'!$CI183&lt;&gt;"",'[1]Game Input'!$CI183,"")</f>
        <v>1</v>
      </c>
      <c r="AC183" s="9">
        <f>IF('[1]Game Input'!$CJ183&lt;&gt;"",'[1]Game Input'!$CJ183,"")</f>
        <v>0</v>
      </c>
      <c r="AD183" s="9">
        <f>IF('[1]Game Input'!$CK183&lt;&gt;"",'[1]Game Input'!$CK183,"")</f>
        <v>0</v>
      </c>
      <c r="AE183" s="8"/>
      <c r="AF183" s="8"/>
      <c r="AG183" s="8"/>
      <c r="AH183" s="8"/>
    </row>
    <row r="184" spans="1:34" x14ac:dyDescent="0.2">
      <c r="A184" s="6">
        <f>IF('[1]Game Input'!$A184&lt;&gt;"",'[1]Game Input'!$A184,"")</f>
        <v>43441</v>
      </c>
      <c r="B184" s="6" t="str">
        <f>IF(A184&gt;$B$1,VLOOKUP(MONTH($A184),DOTWMonth,2,FALSE),"")</f>
        <v>December</v>
      </c>
      <c r="C184" s="10" t="str">
        <f>IF(A184&gt;$B$1,VLOOKUP(WEEKDAY($A184),DOTWMonth,3,FALSE),"")</f>
        <v>Friday</v>
      </c>
      <c r="D184" s="7">
        <f>IF('[1]Game Input'!$B184&lt;&gt;"",'[1]Game Input'!$B184,"")</f>
        <v>0.83680555555555547</v>
      </c>
      <c r="E184" s="7">
        <f>IF('[1]Game Input'!$C184&lt;&gt;"",'[1]Game Input'!$C184,"")</f>
        <v>0.79513888888888884</v>
      </c>
      <c r="F184" s="8" t="str">
        <f>IF('[1]Game Input'!$D184&lt;&gt;"",'[1]Game Input'!$D184,"")</f>
        <v>Standard</v>
      </c>
      <c r="G184" s="8" t="str">
        <f>IF('[1]Game Input'!$G184&lt;&gt;"",'[1]Game Input'!$G184,"")</f>
        <v>FGO @ TC</v>
      </c>
      <c r="H184" s="8" t="str">
        <f>IF('[1]Game Input'!$H184&lt;&gt;"",'[1]Game Input'!$H184,"")</f>
        <v>Vs. Conference</v>
      </c>
      <c r="I184" s="8" t="str">
        <f>IF('[1]Game Input'!$I184&lt;&gt;"",'[1]Game Input'!$I184,"")</f>
        <v>FARGO</v>
      </c>
      <c r="J184" s="9">
        <f>IF('[1]Game Input'!$AC184&lt;&gt;"",'[1]Game Input'!$AC184,"")</f>
        <v>8</v>
      </c>
      <c r="K184" s="9">
        <f>IF('[1]Game Input'!$AD184&lt;&gt;"",'[1]Game Input'!$AD184,"")</f>
        <v>4</v>
      </c>
      <c r="L184" s="9">
        <f>IF('[1]Game Input'!$AJ184&lt;&gt;"",'[1]Game Input'!$AJ184,"")</f>
        <v>0</v>
      </c>
      <c r="M184" s="9">
        <f>IF('[1]Game Input'!$AK184&lt;&gt;"",'[1]Game Input'!$AK184,"")</f>
        <v>0</v>
      </c>
      <c r="N184" s="9">
        <f>IF('[1]Game Input'!$AN184&lt;&gt;"",'[1]Game Input'!$AN184,"")</f>
        <v>4</v>
      </c>
      <c r="O184" s="9">
        <f>IF('[1]Game Input'!$AO184&lt;&gt;"",'[1]Game Input'!$AO184,"")</f>
        <v>0</v>
      </c>
      <c r="P184" s="9">
        <f>IF('[1]Game Input'!$AP184&lt;&gt;"",'[1]Game Input'!$AP184,"")</f>
        <v>0</v>
      </c>
      <c r="Q184" s="9">
        <f>IF('[1]Game Input'!$AQ184&lt;&gt;"",'[1]Game Input'!$AQ184,"")</f>
        <v>0</v>
      </c>
      <c r="R184" s="9">
        <f>IF('[1]Game Input'!$AR184&lt;&gt;"",'[1]Game Input'!$AR184,"")</f>
        <v>0</v>
      </c>
      <c r="S184" s="9">
        <f>IF('[1]Game Input'!$AS184&lt;&gt;"",'[1]Game Input'!$AS184,"")</f>
        <v>0</v>
      </c>
      <c r="T184" s="10" t="str">
        <f>IF('[1]Game Input'!$BA184&lt;&gt;"",'[1]Game Input'!$BA184,"")</f>
        <v>TRI-CITY</v>
      </c>
      <c r="U184" s="9">
        <f>IF('[1]Game Input'!$BU184&lt;&gt;"",'[1]Game Input'!$BU184,"")</f>
        <v>10</v>
      </c>
      <c r="V184" s="9">
        <f>IF('[1]Game Input'!$BV184&lt;&gt;"",'[1]Game Input'!$BV184,"")</f>
        <v>5</v>
      </c>
      <c r="W184" s="9">
        <f>IF('[1]Game Input'!$CB184&lt;&gt;"",'[1]Game Input'!$CB184,"")</f>
        <v>0</v>
      </c>
      <c r="X184" s="9">
        <f>IF('[1]Game Input'!$CC184&lt;&gt;"",'[1]Game Input'!$CC184,"")</f>
        <v>0</v>
      </c>
      <c r="Y184" s="9">
        <f>IF('[1]Game Input'!$CF184&lt;&gt;"",'[1]Game Input'!$CF184,"")</f>
        <v>5</v>
      </c>
      <c r="Z184" s="9">
        <f>IF('[1]Game Input'!$CG184&lt;&gt;"",'[1]Game Input'!$CG184,"")</f>
        <v>0</v>
      </c>
      <c r="AA184" s="9">
        <f>IF('[1]Game Input'!$CH184&lt;&gt;"",'[1]Game Input'!$CH184,"")</f>
        <v>0</v>
      </c>
      <c r="AB184" s="9">
        <f>IF('[1]Game Input'!$CI184&lt;&gt;"",'[1]Game Input'!$CI184,"")</f>
        <v>0</v>
      </c>
      <c r="AC184" s="9">
        <f>IF('[1]Game Input'!$CJ184&lt;&gt;"",'[1]Game Input'!$CJ184,"")</f>
        <v>0</v>
      </c>
      <c r="AD184" s="9">
        <f>IF('[1]Game Input'!$CK184&lt;&gt;"",'[1]Game Input'!$CK184,"")</f>
        <v>0</v>
      </c>
      <c r="AE184" s="8"/>
      <c r="AF184" s="8"/>
      <c r="AG184" s="8"/>
      <c r="AH184" s="8"/>
    </row>
    <row r="185" spans="1:34" x14ac:dyDescent="0.2">
      <c r="A185" s="6">
        <f>IF('[1]Game Input'!$A185&lt;&gt;"",'[1]Game Input'!$A185,"")</f>
        <v>43441</v>
      </c>
      <c r="B185" s="6" t="str">
        <f>IF(A185&gt;$B$1,VLOOKUP(MONTH($A185),DOTWMonth,2,FALSE),"")</f>
        <v>December</v>
      </c>
      <c r="C185" s="10" t="str">
        <f>IF(A185&gt;$B$1,VLOOKUP(WEEKDAY($A185),DOTWMonth,3,FALSE),"")</f>
        <v>Friday</v>
      </c>
      <c r="D185" s="7">
        <f>IF('[1]Game Input'!$B185&lt;&gt;"",'[1]Game Input'!$B185,"")</f>
        <v>0.83680555555555547</v>
      </c>
      <c r="E185" s="7">
        <f>IF('[1]Game Input'!$C185&lt;&gt;"",'[1]Game Input'!$C185,"")</f>
        <v>0.79513888888888884</v>
      </c>
      <c r="F185" s="8" t="str">
        <f>IF('[1]Game Input'!$D185&lt;&gt;"",'[1]Game Input'!$D185,"")</f>
        <v>Standard</v>
      </c>
      <c r="G185" s="8" t="str">
        <f>IF('[1]Game Input'!$G185&lt;&gt;"",'[1]Game Input'!$G185,"")</f>
        <v>CHI @ DM</v>
      </c>
      <c r="H185" s="8" t="str">
        <f>IF('[1]Game Input'!$H185&lt;&gt;"",'[1]Game Input'!$H185,"")</f>
        <v>Vs. Non-Conference</v>
      </c>
      <c r="I185" s="8" t="str">
        <f>IF('[1]Game Input'!$I185&lt;&gt;"",'[1]Game Input'!$I185,"")</f>
        <v>CHICAGO</v>
      </c>
      <c r="J185" s="9">
        <f>IF('[1]Game Input'!$AC185&lt;&gt;"",'[1]Game Input'!$AC185,"")</f>
        <v>8</v>
      </c>
      <c r="K185" s="9">
        <f>IF('[1]Game Input'!$AD185&lt;&gt;"",'[1]Game Input'!$AD185,"")</f>
        <v>4</v>
      </c>
      <c r="L185" s="9">
        <f>IF('[1]Game Input'!$AJ185&lt;&gt;"",'[1]Game Input'!$AJ185,"")</f>
        <v>0</v>
      </c>
      <c r="M185" s="9">
        <f>IF('[1]Game Input'!$AK185&lt;&gt;"",'[1]Game Input'!$AK185,"")</f>
        <v>0</v>
      </c>
      <c r="N185" s="9">
        <f>IF('[1]Game Input'!$AN185&lt;&gt;"",'[1]Game Input'!$AN185,"")</f>
        <v>4</v>
      </c>
      <c r="O185" s="9">
        <f>IF('[1]Game Input'!$AO185&lt;&gt;"",'[1]Game Input'!$AO185,"")</f>
        <v>0</v>
      </c>
      <c r="P185" s="9">
        <f>IF('[1]Game Input'!$AP185&lt;&gt;"",'[1]Game Input'!$AP185,"")</f>
        <v>0</v>
      </c>
      <c r="Q185" s="9">
        <f>IF('[1]Game Input'!$AQ185&lt;&gt;"",'[1]Game Input'!$AQ185,"")</f>
        <v>0</v>
      </c>
      <c r="R185" s="9">
        <f>IF('[1]Game Input'!$AR185&lt;&gt;"",'[1]Game Input'!$AR185,"")</f>
        <v>0</v>
      </c>
      <c r="S185" s="9">
        <f>IF('[1]Game Input'!$AS185&lt;&gt;"",'[1]Game Input'!$AS185,"")</f>
        <v>0</v>
      </c>
      <c r="T185" s="10" t="str">
        <f>IF('[1]Game Input'!$BA185&lt;&gt;"",'[1]Game Input'!$BA185,"")</f>
        <v>DES MOINES</v>
      </c>
      <c r="U185" s="9">
        <f>IF('[1]Game Input'!$BU185&lt;&gt;"",'[1]Game Input'!$BU185,"")</f>
        <v>14</v>
      </c>
      <c r="V185" s="9">
        <f>IF('[1]Game Input'!$BV185&lt;&gt;"",'[1]Game Input'!$BV185,"")</f>
        <v>7</v>
      </c>
      <c r="W185" s="9">
        <f>IF('[1]Game Input'!$CB185&lt;&gt;"",'[1]Game Input'!$CB185,"")</f>
        <v>0</v>
      </c>
      <c r="X185" s="9">
        <f>IF('[1]Game Input'!$CC185&lt;&gt;"",'[1]Game Input'!$CC185,"")</f>
        <v>0</v>
      </c>
      <c r="Y185" s="9">
        <f>IF('[1]Game Input'!$CF185&lt;&gt;"",'[1]Game Input'!$CF185,"")</f>
        <v>7</v>
      </c>
      <c r="Z185" s="9">
        <f>IF('[1]Game Input'!$CG185&lt;&gt;"",'[1]Game Input'!$CG185,"")</f>
        <v>0</v>
      </c>
      <c r="AA185" s="9">
        <f>IF('[1]Game Input'!$CH185&lt;&gt;"",'[1]Game Input'!$CH185,"")</f>
        <v>0</v>
      </c>
      <c r="AB185" s="9">
        <f>IF('[1]Game Input'!$CI185&lt;&gt;"",'[1]Game Input'!$CI185,"")</f>
        <v>0</v>
      </c>
      <c r="AC185" s="9">
        <f>IF('[1]Game Input'!$CJ185&lt;&gt;"",'[1]Game Input'!$CJ185,"")</f>
        <v>0</v>
      </c>
      <c r="AD185" s="9">
        <f>IF('[1]Game Input'!$CK185&lt;&gt;"",'[1]Game Input'!$CK185,"")</f>
        <v>0</v>
      </c>
      <c r="AE185" s="8" t="s">
        <v>103</v>
      </c>
      <c r="AF185" s="8" t="s">
        <v>97</v>
      </c>
      <c r="AG185" s="8" t="s">
        <v>130</v>
      </c>
      <c r="AH185" s="8" t="s">
        <v>124</v>
      </c>
    </row>
    <row r="186" spans="1:34" x14ac:dyDescent="0.2">
      <c r="A186" s="6">
        <f>IF('[1]Game Input'!$A186&lt;&gt;"",'[1]Game Input'!$A186,"")</f>
        <v>43441</v>
      </c>
      <c r="B186" s="6" t="str">
        <f>IF(A186&gt;$B$1,VLOOKUP(MONTH($A186),DOTWMonth,2,FALSE),"")</f>
        <v>December</v>
      </c>
      <c r="C186" s="10" t="str">
        <f>IF(A186&gt;$B$1,VLOOKUP(WEEKDAY($A186),DOTWMonth,3,FALSE),"")</f>
        <v>Friday</v>
      </c>
      <c r="D186" s="7">
        <f>IF('[1]Game Input'!$B186&lt;&gt;"",'[1]Game Input'!$B186,"")</f>
        <v>0.83680555555555547</v>
      </c>
      <c r="E186" s="7">
        <f>IF('[1]Game Input'!$C186&lt;&gt;"",'[1]Game Input'!$C186,"")</f>
        <v>0.79513888888888884</v>
      </c>
      <c r="F186" s="8" t="str">
        <f>IF('[1]Game Input'!$D186&lt;&gt;"",'[1]Game Input'!$D186,"")</f>
        <v>Standard</v>
      </c>
      <c r="G186" s="8" t="str">
        <f>IF('[1]Game Input'!$G186&lt;&gt;"",'[1]Game Input'!$G186,"")</f>
        <v>MAD @ WAT</v>
      </c>
      <c r="H186" s="8" t="str">
        <f>IF('[1]Game Input'!$H186&lt;&gt;"",'[1]Game Input'!$H186,"")</f>
        <v>Vs. Non-Conference</v>
      </c>
      <c r="I186" s="8" t="str">
        <f>IF('[1]Game Input'!$I186&lt;&gt;"",'[1]Game Input'!$I186,"")</f>
        <v>MADISON</v>
      </c>
      <c r="J186" s="9">
        <f>IF('[1]Game Input'!$AC186&lt;&gt;"",'[1]Game Input'!$AC186,"")</f>
        <v>21</v>
      </c>
      <c r="K186" s="9">
        <f>IF('[1]Game Input'!$AD186&lt;&gt;"",'[1]Game Input'!$AD186,"")</f>
        <v>5</v>
      </c>
      <c r="L186" s="9">
        <f>IF('[1]Game Input'!$AJ186&lt;&gt;"",'[1]Game Input'!$AJ186,"")</f>
        <v>0</v>
      </c>
      <c r="M186" s="9">
        <f>IF('[1]Game Input'!$AK186&lt;&gt;"",'[1]Game Input'!$AK186,"")</f>
        <v>0</v>
      </c>
      <c r="N186" s="9">
        <f>IF('[1]Game Input'!$AN186&lt;&gt;"",'[1]Game Input'!$AN186,"")</f>
        <v>3</v>
      </c>
      <c r="O186" s="9">
        <f>IF('[1]Game Input'!$AO186&lt;&gt;"",'[1]Game Input'!$AO186,"")</f>
        <v>1</v>
      </c>
      <c r="P186" s="9">
        <f>IF('[1]Game Input'!$AP186&lt;&gt;"",'[1]Game Input'!$AP186,"")</f>
        <v>1</v>
      </c>
      <c r="Q186" s="9">
        <f>IF('[1]Game Input'!$AQ186&lt;&gt;"",'[1]Game Input'!$AQ186,"")</f>
        <v>0</v>
      </c>
      <c r="R186" s="9">
        <f>IF('[1]Game Input'!$AR186&lt;&gt;"",'[1]Game Input'!$AR186,"")</f>
        <v>0</v>
      </c>
      <c r="S186" s="9">
        <f>IF('[1]Game Input'!$AS186&lt;&gt;"",'[1]Game Input'!$AS186,"")</f>
        <v>0</v>
      </c>
      <c r="T186" s="10" t="str">
        <f>IF('[1]Game Input'!$BA186&lt;&gt;"",'[1]Game Input'!$BA186,"")</f>
        <v>WATERLOO</v>
      </c>
      <c r="U186" s="9">
        <f>IF('[1]Game Input'!$BU186&lt;&gt;"",'[1]Game Input'!$BU186,"")</f>
        <v>23</v>
      </c>
      <c r="V186" s="9">
        <f>IF('[1]Game Input'!$BV186&lt;&gt;"",'[1]Game Input'!$BV186,"")</f>
        <v>6</v>
      </c>
      <c r="W186" s="9">
        <f>IF('[1]Game Input'!$CB186&lt;&gt;"",'[1]Game Input'!$CB186,"")</f>
        <v>0</v>
      </c>
      <c r="X186" s="9">
        <f>IF('[1]Game Input'!$CC186&lt;&gt;"",'[1]Game Input'!$CC186,"")</f>
        <v>0</v>
      </c>
      <c r="Y186" s="9">
        <f>IF('[1]Game Input'!$CF186&lt;&gt;"",'[1]Game Input'!$CF186,"")</f>
        <v>4</v>
      </c>
      <c r="Z186" s="9">
        <f>IF('[1]Game Input'!$CG186&lt;&gt;"",'[1]Game Input'!$CG186,"")</f>
        <v>1</v>
      </c>
      <c r="AA186" s="9">
        <f>IF('[1]Game Input'!$CH186&lt;&gt;"",'[1]Game Input'!$CH186,"")</f>
        <v>1</v>
      </c>
      <c r="AB186" s="9">
        <f>IF('[1]Game Input'!$CI186&lt;&gt;"",'[1]Game Input'!$CI186,"")</f>
        <v>0</v>
      </c>
      <c r="AC186" s="9">
        <f>IF('[1]Game Input'!$CJ186&lt;&gt;"",'[1]Game Input'!$CJ186,"")</f>
        <v>0</v>
      </c>
      <c r="AD186" s="9">
        <f>IF('[1]Game Input'!$CK186&lt;&gt;"",'[1]Game Input'!$CK186,"")</f>
        <v>0</v>
      </c>
      <c r="AE186" s="8"/>
      <c r="AF186" s="8"/>
      <c r="AG186" s="8"/>
      <c r="AH186" s="8"/>
    </row>
    <row r="187" spans="1:34" x14ac:dyDescent="0.2">
      <c r="A187" s="6">
        <f>IF('[1]Game Input'!$A187&lt;&gt;"",'[1]Game Input'!$A187,"")</f>
        <v>43442</v>
      </c>
      <c r="B187" s="6" t="str">
        <f>IF(A187&gt;$B$1,VLOOKUP(MONTH($A187),DOTWMonth,2,FALSE),"")</f>
        <v>December</v>
      </c>
      <c r="C187" s="10" t="str">
        <f>IF(A187&gt;$B$1,VLOOKUP(WEEKDAY($A187),DOTWMonth,3,FALSE),"")</f>
        <v>Saturday</v>
      </c>
      <c r="D187" s="7">
        <f>IF('[1]Game Input'!$B187&lt;&gt;"",'[1]Game Input'!$B187,"")</f>
        <v>0.80208333333333337</v>
      </c>
      <c r="E187" s="7">
        <f>IF('[1]Game Input'!$C187&lt;&gt;"",'[1]Game Input'!$C187,"")</f>
        <v>0.76041666666666674</v>
      </c>
      <c r="F187" s="8" t="str">
        <f>IF('[1]Game Input'!$D187&lt;&gt;"",'[1]Game Input'!$D187,"")</f>
        <v>Standard</v>
      </c>
      <c r="G187" s="8" t="str">
        <f>IF('[1]Game Input'!$G187&lt;&gt;"",'[1]Game Input'!$G187,"")</f>
        <v>DUB @ MUS</v>
      </c>
      <c r="H187" s="8" t="str">
        <f>IF('[1]Game Input'!$H187&lt;&gt;"",'[1]Game Input'!$H187,"")</f>
        <v>Vs. Conference</v>
      </c>
      <c r="I187" s="8" t="str">
        <f>IF('[1]Game Input'!$I187&lt;&gt;"",'[1]Game Input'!$I187,"")</f>
        <v>DUBUQUE</v>
      </c>
      <c r="J187" s="9">
        <f>IF('[1]Game Input'!$AC187&lt;&gt;"",'[1]Game Input'!$AC187,"")</f>
        <v>4</v>
      </c>
      <c r="K187" s="9">
        <f>IF('[1]Game Input'!$AD187&lt;&gt;"",'[1]Game Input'!$AD187,"")</f>
        <v>2</v>
      </c>
      <c r="L187" s="9">
        <f>IF('[1]Game Input'!$AJ187&lt;&gt;"",'[1]Game Input'!$AJ187,"")</f>
        <v>0</v>
      </c>
      <c r="M187" s="9">
        <f>IF('[1]Game Input'!$AK187&lt;&gt;"",'[1]Game Input'!$AK187,"")</f>
        <v>0</v>
      </c>
      <c r="N187" s="9">
        <f>IF('[1]Game Input'!$AN187&lt;&gt;"",'[1]Game Input'!$AN187,"")</f>
        <v>2</v>
      </c>
      <c r="O187" s="9">
        <f>IF('[1]Game Input'!$AO187&lt;&gt;"",'[1]Game Input'!$AO187,"")</f>
        <v>0</v>
      </c>
      <c r="P187" s="9">
        <f>IF('[1]Game Input'!$AP187&lt;&gt;"",'[1]Game Input'!$AP187,"")</f>
        <v>0</v>
      </c>
      <c r="Q187" s="9">
        <f>IF('[1]Game Input'!$AQ187&lt;&gt;"",'[1]Game Input'!$AQ187,"")</f>
        <v>0</v>
      </c>
      <c r="R187" s="9">
        <f>IF('[1]Game Input'!$AR187&lt;&gt;"",'[1]Game Input'!$AR187,"")</f>
        <v>0</v>
      </c>
      <c r="S187" s="9">
        <f>IF('[1]Game Input'!$AS187&lt;&gt;"",'[1]Game Input'!$AS187,"")</f>
        <v>0</v>
      </c>
      <c r="T187" s="10" t="str">
        <f>IF('[1]Game Input'!$BA187&lt;&gt;"",'[1]Game Input'!$BA187,"")</f>
        <v>MUSKEGON</v>
      </c>
      <c r="U187" s="9">
        <f>IF('[1]Game Input'!$BU187&lt;&gt;"",'[1]Game Input'!$BU187,"")</f>
        <v>4</v>
      </c>
      <c r="V187" s="9">
        <f>IF('[1]Game Input'!$BV187&lt;&gt;"",'[1]Game Input'!$BV187,"")</f>
        <v>2</v>
      </c>
      <c r="W187" s="9">
        <f>IF('[1]Game Input'!$CB187&lt;&gt;"",'[1]Game Input'!$CB187,"")</f>
        <v>0</v>
      </c>
      <c r="X187" s="9">
        <f>IF('[1]Game Input'!$CC187&lt;&gt;"",'[1]Game Input'!$CC187,"")</f>
        <v>0</v>
      </c>
      <c r="Y187" s="9">
        <f>IF('[1]Game Input'!$CF187&lt;&gt;"",'[1]Game Input'!$CF187,"")</f>
        <v>2</v>
      </c>
      <c r="Z187" s="9">
        <f>IF('[1]Game Input'!$CG187&lt;&gt;"",'[1]Game Input'!$CG187,"")</f>
        <v>0</v>
      </c>
      <c r="AA187" s="9">
        <f>IF('[1]Game Input'!$CH187&lt;&gt;"",'[1]Game Input'!$CH187,"")</f>
        <v>0</v>
      </c>
      <c r="AB187" s="9">
        <f>IF('[1]Game Input'!$CI187&lt;&gt;"",'[1]Game Input'!$CI187,"")</f>
        <v>0</v>
      </c>
      <c r="AC187" s="9">
        <f>IF('[1]Game Input'!$CJ187&lt;&gt;"",'[1]Game Input'!$CJ187,"")</f>
        <v>0</v>
      </c>
      <c r="AD187" s="9">
        <f>IF('[1]Game Input'!$CK187&lt;&gt;"",'[1]Game Input'!$CK187,"")</f>
        <v>0</v>
      </c>
      <c r="AE187" s="8"/>
      <c r="AF187" s="8"/>
      <c r="AG187" s="8"/>
      <c r="AH187" s="8"/>
    </row>
    <row r="188" spans="1:34" x14ac:dyDescent="0.2">
      <c r="A188" s="6">
        <f>IF('[1]Game Input'!$A188&lt;&gt;"",'[1]Game Input'!$A188,"")</f>
        <v>43442</v>
      </c>
      <c r="B188" s="6" t="str">
        <f>IF(A188&gt;$B$1,VLOOKUP(MONTH($A188),DOTWMonth,2,FALSE),"")</f>
        <v>December</v>
      </c>
      <c r="C188" s="10" t="str">
        <f>IF(A188&gt;$B$1,VLOOKUP(WEEKDAY($A188),DOTWMonth,3,FALSE),"")</f>
        <v>Saturday</v>
      </c>
      <c r="D188" s="7">
        <f>IF('[1]Game Input'!$B188&lt;&gt;"",'[1]Game Input'!$B188,"")</f>
        <v>0.83680555555555547</v>
      </c>
      <c r="E188" s="7">
        <f>IF('[1]Game Input'!$C188&lt;&gt;"",'[1]Game Input'!$C188,"")</f>
        <v>0.79513888888888884</v>
      </c>
      <c r="F188" s="8" t="str">
        <f>IF('[1]Game Input'!$D188&lt;&gt;"",'[1]Game Input'!$D188,"")</f>
        <v>Standard</v>
      </c>
      <c r="G188" s="8" t="str">
        <f>IF('[1]Game Input'!$G188&lt;&gt;"",'[1]Game Input'!$G188,"")</f>
        <v>MAD @ GB</v>
      </c>
      <c r="H188" s="8" t="str">
        <f>IF('[1]Game Input'!$H188&lt;&gt;"",'[1]Game Input'!$H188,"")</f>
        <v>Vs. Conference</v>
      </c>
      <c r="I188" s="8" t="str">
        <f>IF('[1]Game Input'!$I188&lt;&gt;"",'[1]Game Input'!$I188,"")</f>
        <v>MADISON</v>
      </c>
      <c r="J188" s="9">
        <f>IF('[1]Game Input'!$AC188&lt;&gt;"",'[1]Game Input'!$AC188,"")</f>
        <v>21</v>
      </c>
      <c r="K188" s="9">
        <f>IF('[1]Game Input'!$AD188&lt;&gt;"",'[1]Game Input'!$AD188,"")</f>
        <v>5</v>
      </c>
      <c r="L188" s="9">
        <f>IF('[1]Game Input'!$AJ188&lt;&gt;"",'[1]Game Input'!$AJ188,"")</f>
        <v>0</v>
      </c>
      <c r="M188" s="9">
        <f>IF('[1]Game Input'!$AK188&lt;&gt;"",'[1]Game Input'!$AK188,"")</f>
        <v>0</v>
      </c>
      <c r="N188" s="9">
        <f>IF('[1]Game Input'!$AN188&lt;&gt;"",'[1]Game Input'!$AN188,"")</f>
        <v>3</v>
      </c>
      <c r="O188" s="9">
        <f>IF('[1]Game Input'!$AO188&lt;&gt;"",'[1]Game Input'!$AO188,"")</f>
        <v>1</v>
      </c>
      <c r="P188" s="9">
        <f>IF('[1]Game Input'!$AP188&lt;&gt;"",'[1]Game Input'!$AP188,"")</f>
        <v>1</v>
      </c>
      <c r="Q188" s="9">
        <f>IF('[1]Game Input'!$AQ188&lt;&gt;"",'[1]Game Input'!$AQ188,"")</f>
        <v>0</v>
      </c>
      <c r="R188" s="9">
        <f>IF('[1]Game Input'!$AR188&lt;&gt;"",'[1]Game Input'!$AR188,"")</f>
        <v>0</v>
      </c>
      <c r="S188" s="9">
        <f>IF('[1]Game Input'!$AS188&lt;&gt;"",'[1]Game Input'!$AS188,"")</f>
        <v>0</v>
      </c>
      <c r="T188" s="10" t="str">
        <f>IF('[1]Game Input'!$BA188&lt;&gt;"",'[1]Game Input'!$BA188,"")</f>
        <v>GREEN BAY</v>
      </c>
      <c r="U188" s="9">
        <f>IF('[1]Game Input'!$BU188&lt;&gt;"",'[1]Game Input'!$BU188,"")</f>
        <v>25</v>
      </c>
      <c r="V188" s="9">
        <f>IF('[1]Game Input'!$BV188&lt;&gt;"",'[1]Game Input'!$BV188,"")</f>
        <v>7</v>
      </c>
      <c r="W188" s="9">
        <f>IF('[1]Game Input'!$CB188&lt;&gt;"",'[1]Game Input'!$CB188,"")</f>
        <v>0</v>
      </c>
      <c r="X188" s="9">
        <f>IF('[1]Game Input'!$CC188&lt;&gt;"",'[1]Game Input'!$CC188,"")</f>
        <v>0</v>
      </c>
      <c r="Y188" s="9">
        <f>IF('[1]Game Input'!$CF188&lt;&gt;"",'[1]Game Input'!$CF188,"")</f>
        <v>5</v>
      </c>
      <c r="Z188" s="9">
        <f>IF('[1]Game Input'!$CG188&lt;&gt;"",'[1]Game Input'!$CG188,"")</f>
        <v>1</v>
      </c>
      <c r="AA188" s="9">
        <f>IF('[1]Game Input'!$CH188&lt;&gt;"",'[1]Game Input'!$CH188,"")</f>
        <v>1</v>
      </c>
      <c r="AB188" s="9">
        <f>IF('[1]Game Input'!$CI188&lt;&gt;"",'[1]Game Input'!$CI188,"")</f>
        <v>0</v>
      </c>
      <c r="AC188" s="9">
        <f>IF('[1]Game Input'!$CJ188&lt;&gt;"",'[1]Game Input'!$CJ188,"")</f>
        <v>0</v>
      </c>
      <c r="AD188" s="9">
        <f>IF('[1]Game Input'!$CK188&lt;&gt;"",'[1]Game Input'!$CK188,"")</f>
        <v>0</v>
      </c>
      <c r="AE188" s="8"/>
      <c r="AF188" s="8"/>
      <c r="AG188" s="8"/>
      <c r="AH188" s="8"/>
    </row>
    <row r="189" spans="1:34" x14ac:dyDescent="0.2">
      <c r="A189" s="6">
        <f>IF('[1]Game Input'!$A189&lt;&gt;"",'[1]Game Input'!$A189,"")</f>
        <v>43442</v>
      </c>
      <c r="B189" s="6" t="str">
        <f>IF(A189&gt;$B$1,VLOOKUP(MONTH($A189),DOTWMonth,2,FALSE),"")</f>
        <v>December</v>
      </c>
      <c r="C189" s="10" t="str">
        <f>IF(A189&gt;$B$1,VLOOKUP(WEEKDAY($A189),DOTWMonth,3,FALSE),"")</f>
        <v>Saturday</v>
      </c>
      <c r="D189" s="7">
        <f>IF('[1]Game Input'!$B189&lt;&gt;"",'[1]Game Input'!$B189,"")</f>
        <v>0.83680555555555547</v>
      </c>
      <c r="E189" s="7">
        <f>IF('[1]Game Input'!$C189&lt;&gt;"",'[1]Game Input'!$C189,"")</f>
        <v>0.79513888888888884</v>
      </c>
      <c r="F189" s="8" t="str">
        <f>IF('[1]Game Input'!$D189&lt;&gt;"",'[1]Game Input'!$D189,"")</f>
        <v>Standard</v>
      </c>
      <c r="G189" s="8" t="str">
        <f>IF('[1]Game Input'!$G189&lt;&gt;"",'[1]Game Input'!$G189,"")</f>
        <v>DM @ LIN</v>
      </c>
      <c r="H189" s="8" t="str">
        <f>IF('[1]Game Input'!$H189&lt;&gt;"",'[1]Game Input'!$H189,"")</f>
        <v>Vs. Conference</v>
      </c>
      <c r="I189" s="8" t="str">
        <f>IF('[1]Game Input'!$I189&lt;&gt;"",'[1]Game Input'!$I189,"")</f>
        <v>DES MOINES</v>
      </c>
      <c r="J189" s="9">
        <f>IF('[1]Game Input'!$AC189&lt;&gt;"",'[1]Game Input'!$AC189,"")</f>
        <v>12</v>
      </c>
      <c r="K189" s="9">
        <f>IF('[1]Game Input'!$AD189&lt;&gt;"",'[1]Game Input'!$AD189,"")</f>
        <v>6</v>
      </c>
      <c r="L189" s="9">
        <f>IF('[1]Game Input'!$AJ189&lt;&gt;"",'[1]Game Input'!$AJ189,"")</f>
        <v>0</v>
      </c>
      <c r="M189" s="9">
        <f>IF('[1]Game Input'!$AK189&lt;&gt;"",'[1]Game Input'!$AK189,"")</f>
        <v>0</v>
      </c>
      <c r="N189" s="9">
        <f>IF('[1]Game Input'!$AN189&lt;&gt;"",'[1]Game Input'!$AN189,"")</f>
        <v>6</v>
      </c>
      <c r="O189" s="9">
        <f>IF('[1]Game Input'!$AO189&lt;&gt;"",'[1]Game Input'!$AO189,"")</f>
        <v>0</v>
      </c>
      <c r="P189" s="9">
        <f>IF('[1]Game Input'!$AP189&lt;&gt;"",'[1]Game Input'!$AP189,"")</f>
        <v>0</v>
      </c>
      <c r="Q189" s="9">
        <f>IF('[1]Game Input'!$AQ189&lt;&gt;"",'[1]Game Input'!$AQ189,"")</f>
        <v>0</v>
      </c>
      <c r="R189" s="9">
        <f>IF('[1]Game Input'!$AR189&lt;&gt;"",'[1]Game Input'!$AR189,"")</f>
        <v>0</v>
      </c>
      <c r="S189" s="9">
        <f>IF('[1]Game Input'!$AS189&lt;&gt;"",'[1]Game Input'!$AS189,"")</f>
        <v>0</v>
      </c>
      <c r="T189" s="10" t="str">
        <f>IF('[1]Game Input'!$BA189&lt;&gt;"",'[1]Game Input'!$BA189,"")</f>
        <v>LINCOLN</v>
      </c>
      <c r="U189" s="9">
        <f>IF('[1]Game Input'!$BU189&lt;&gt;"",'[1]Game Input'!$BU189,"")</f>
        <v>14</v>
      </c>
      <c r="V189" s="9">
        <f>IF('[1]Game Input'!$BV189&lt;&gt;"",'[1]Game Input'!$BV189,"")</f>
        <v>7</v>
      </c>
      <c r="W189" s="9">
        <f>IF('[1]Game Input'!$CB189&lt;&gt;"",'[1]Game Input'!$CB189,"")</f>
        <v>0</v>
      </c>
      <c r="X189" s="9">
        <f>IF('[1]Game Input'!$CC189&lt;&gt;"",'[1]Game Input'!$CC189,"")</f>
        <v>0</v>
      </c>
      <c r="Y189" s="9">
        <f>IF('[1]Game Input'!$CF189&lt;&gt;"",'[1]Game Input'!$CF189,"")</f>
        <v>7</v>
      </c>
      <c r="Z189" s="9">
        <f>IF('[1]Game Input'!$CG189&lt;&gt;"",'[1]Game Input'!$CG189,"")</f>
        <v>0</v>
      </c>
      <c r="AA189" s="9">
        <f>IF('[1]Game Input'!$CH189&lt;&gt;"",'[1]Game Input'!$CH189,"")</f>
        <v>0</v>
      </c>
      <c r="AB189" s="9">
        <f>IF('[1]Game Input'!$CI189&lt;&gt;"",'[1]Game Input'!$CI189,"")</f>
        <v>0</v>
      </c>
      <c r="AC189" s="9">
        <f>IF('[1]Game Input'!$CJ189&lt;&gt;"",'[1]Game Input'!$CJ189,"")</f>
        <v>0</v>
      </c>
      <c r="AD189" s="9">
        <f>IF('[1]Game Input'!$CK189&lt;&gt;"",'[1]Game Input'!$CK189,"")</f>
        <v>0</v>
      </c>
      <c r="AE189" s="8" t="s">
        <v>131</v>
      </c>
      <c r="AF189" s="8" t="s">
        <v>132</v>
      </c>
      <c r="AG189" s="8" t="s">
        <v>108</v>
      </c>
      <c r="AH189" s="8" t="s">
        <v>120</v>
      </c>
    </row>
    <row r="190" spans="1:34" x14ac:dyDescent="0.2">
      <c r="A190" s="6">
        <f>IF('[1]Game Input'!$A190&lt;&gt;"",'[1]Game Input'!$A190,"")</f>
        <v>43442</v>
      </c>
      <c r="B190" s="6" t="str">
        <f>IF(A190&gt;$B$1,VLOOKUP(MONTH($A190),DOTWMonth,2,FALSE),"")</f>
        <v>December</v>
      </c>
      <c r="C190" s="10" t="str">
        <f>IF(A190&gt;$B$1,VLOOKUP(WEEKDAY($A190),DOTWMonth,3,FALSE),"")</f>
        <v>Saturday</v>
      </c>
      <c r="D190" s="7">
        <f>IF('[1]Game Input'!$B190&lt;&gt;"",'[1]Game Input'!$B190,"")</f>
        <v>0.83680555555555547</v>
      </c>
      <c r="E190" s="7">
        <f>IF('[1]Game Input'!$C190&lt;&gt;"",'[1]Game Input'!$C190,"")</f>
        <v>0.79513888888888884</v>
      </c>
      <c r="F190" s="8" t="str">
        <f>IF('[1]Game Input'!$D190&lt;&gt;"",'[1]Game Input'!$D190,"")</f>
        <v>Standard</v>
      </c>
      <c r="G190" s="8" t="str">
        <f>IF('[1]Game Input'!$G190&lt;&gt;"",'[1]Game Input'!$G190,"")</f>
        <v>SF @ SC</v>
      </c>
      <c r="H190" s="8" t="str">
        <f>IF('[1]Game Input'!$H190&lt;&gt;"",'[1]Game Input'!$H190,"")</f>
        <v>Vs. Conference</v>
      </c>
      <c r="I190" s="8" t="str">
        <f>IF('[1]Game Input'!$I190&lt;&gt;"",'[1]Game Input'!$I190,"")</f>
        <v>SIOUX FALLS</v>
      </c>
      <c r="J190" s="9">
        <f>IF('[1]Game Input'!$AC190&lt;&gt;"",'[1]Game Input'!$AC190,"")</f>
        <v>20</v>
      </c>
      <c r="K190" s="9">
        <f>IF('[1]Game Input'!$AD190&lt;&gt;"",'[1]Game Input'!$AD190,"")</f>
        <v>7</v>
      </c>
      <c r="L190" s="9">
        <f>IF('[1]Game Input'!$AJ190&lt;&gt;"",'[1]Game Input'!$AJ190,"")</f>
        <v>0</v>
      </c>
      <c r="M190" s="9">
        <f>IF('[1]Game Input'!$AK190&lt;&gt;"",'[1]Game Input'!$AK190,"")</f>
        <v>0</v>
      </c>
      <c r="N190" s="9">
        <f>IF('[1]Game Input'!$AN190&lt;&gt;"",'[1]Game Input'!$AN190,"")</f>
        <v>5</v>
      </c>
      <c r="O190" s="9">
        <f>IF('[1]Game Input'!$AO190&lt;&gt;"",'[1]Game Input'!$AO190,"")</f>
        <v>0</v>
      </c>
      <c r="P190" s="9">
        <f>IF('[1]Game Input'!$AP190&lt;&gt;"",'[1]Game Input'!$AP190,"")</f>
        <v>1</v>
      </c>
      <c r="Q190" s="9">
        <f>IF('[1]Game Input'!$AQ190&lt;&gt;"",'[1]Game Input'!$AQ190,"")</f>
        <v>0</v>
      </c>
      <c r="R190" s="9">
        <f>IF('[1]Game Input'!$AR190&lt;&gt;"",'[1]Game Input'!$AR190,"")</f>
        <v>0</v>
      </c>
      <c r="S190" s="9">
        <f>IF('[1]Game Input'!$AS190&lt;&gt;"",'[1]Game Input'!$AS190,"")</f>
        <v>0</v>
      </c>
      <c r="T190" s="10" t="str">
        <f>IF('[1]Game Input'!$BA190&lt;&gt;"",'[1]Game Input'!$BA190,"")</f>
        <v>SIOUX CITY</v>
      </c>
      <c r="U190" s="9">
        <f>IF('[1]Game Input'!$BU190&lt;&gt;"",'[1]Game Input'!$BU190,"")</f>
        <v>9</v>
      </c>
      <c r="V190" s="9">
        <f>IF('[1]Game Input'!$BV190&lt;&gt;"",'[1]Game Input'!$BV190,"")</f>
        <v>3</v>
      </c>
      <c r="W190" s="9">
        <f>IF('[1]Game Input'!$CB190&lt;&gt;"",'[1]Game Input'!$CB190,"")</f>
        <v>0</v>
      </c>
      <c r="X190" s="9">
        <f>IF('[1]Game Input'!$CC190&lt;&gt;"",'[1]Game Input'!$CC190,"")</f>
        <v>1</v>
      </c>
      <c r="Y190" s="9">
        <f>IF('[1]Game Input'!$CF190&lt;&gt;"",'[1]Game Input'!$CF190,"")</f>
        <v>2</v>
      </c>
      <c r="Z190" s="9">
        <f>IF('[1]Game Input'!$CG190&lt;&gt;"",'[1]Game Input'!$CG190,"")</f>
        <v>1</v>
      </c>
      <c r="AA190" s="9">
        <f>IF('[1]Game Input'!$CH190&lt;&gt;"",'[1]Game Input'!$CH190,"")</f>
        <v>0</v>
      </c>
      <c r="AB190" s="9">
        <f>IF('[1]Game Input'!$CI190&lt;&gt;"",'[1]Game Input'!$CI190,"")</f>
        <v>0</v>
      </c>
      <c r="AC190" s="9">
        <f>IF('[1]Game Input'!$CJ190&lt;&gt;"",'[1]Game Input'!$CJ190,"")</f>
        <v>0</v>
      </c>
      <c r="AD190" s="9">
        <f>IF('[1]Game Input'!$CK190&lt;&gt;"",'[1]Game Input'!$CK190,"")</f>
        <v>1</v>
      </c>
      <c r="AE190" s="8"/>
      <c r="AF190" s="8"/>
      <c r="AG190" s="8"/>
      <c r="AH190" s="8"/>
    </row>
    <row r="191" spans="1:34" x14ac:dyDescent="0.2">
      <c r="A191" s="6">
        <f>IF('[1]Game Input'!$A191&lt;&gt;"",'[1]Game Input'!$A191,"")</f>
        <v>43442</v>
      </c>
      <c r="B191" s="6" t="str">
        <f>IF(A191&gt;$B$1,VLOOKUP(MONTH($A191),DOTWMonth,2,FALSE),"")</f>
        <v>December</v>
      </c>
      <c r="C191" s="10" t="str">
        <f>IF(A191&gt;$B$1,VLOOKUP(WEEKDAY($A191),DOTWMonth,3,FALSE),"")</f>
        <v>Saturday</v>
      </c>
      <c r="D191" s="7">
        <f>IF('[1]Game Input'!$B191&lt;&gt;"",'[1]Game Input'!$B191,"")</f>
        <v>0.83680555555555547</v>
      </c>
      <c r="E191" s="7">
        <f>IF('[1]Game Input'!$C191&lt;&gt;"",'[1]Game Input'!$C191,"")</f>
        <v>0.79513888888888884</v>
      </c>
      <c r="F191" s="8" t="str">
        <f>IF('[1]Game Input'!$D191&lt;&gt;"",'[1]Game Input'!$D191,"")</f>
        <v>Standard</v>
      </c>
      <c r="G191" s="8" t="str">
        <f>IF('[1]Game Input'!$G191&lt;&gt;"",'[1]Game Input'!$G191,"")</f>
        <v>FGO @ TC</v>
      </c>
      <c r="H191" s="8" t="str">
        <f>IF('[1]Game Input'!$H191&lt;&gt;"",'[1]Game Input'!$H191,"")</f>
        <v>Vs. Conference</v>
      </c>
      <c r="I191" s="8" t="str">
        <f>IF('[1]Game Input'!$I191&lt;&gt;"",'[1]Game Input'!$I191,"")</f>
        <v>FARGO</v>
      </c>
      <c r="J191" s="9">
        <f>IF('[1]Game Input'!$AC191&lt;&gt;"",'[1]Game Input'!$AC191,"")</f>
        <v>8</v>
      </c>
      <c r="K191" s="9">
        <f>IF('[1]Game Input'!$AD191&lt;&gt;"",'[1]Game Input'!$AD191,"")</f>
        <v>4</v>
      </c>
      <c r="L191" s="9">
        <f>IF('[1]Game Input'!$AJ191&lt;&gt;"",'[1]Game Input'!$AJ191,"")</f>
        <v>0</v>
      </c>
      <c r="M191" s="9">
        <f>IF('[1]Game Input'!$AK191&lt;&gt;"",'[1]Game Input'!$AK191,"")</f>
        <v>0</v>
      </c>
      <c r="N191" s="9">
        <f>IF('[1]Game Input'!$AN191&lt;&gt;"",'[1]Game Input'!$AN191,"")</f>
        <v>4</v>
      </c>
      <c r="O191" s="9">
        <f>IF('[1]Game Input'!$AO191&lt;&gt;"",'[1]Game Input'!$AO191,"")</f>
        <v>0</v>
      </c>
      <c r="P191" s="9">
        <f>IF('[1]Game Input'!$AP191&lt;&gt;"",'[1]Game Input'!$AP191,"")</f>
        <v>0</v>
      </c>
      <c r="Q191" s="9">
        <f>IF('[1]Game Input'!$AQ191&lt;&gt;"",'[1]Game Input'!$AQ191,"")</f>
        <v>0</v>
      </c>
      <c r="R191" s="9">
        <f>IF('[1]Game Input'!$AR191&lt;&gt;"",'[1]Game Input'!$AR191,"")</f>
        <v>0</v>
      </c>
      <c r="S191" s="9">
        <f>IF('[1]Game Input'!$AS191&lt;&gt;"",'[1]Game Input'!$AS191,"")</f>
        <v>0</v>
      </c>
      <c r="T191" s="10" t="str">
        <f>IF('[1]Game Input'!$BA191&lt;&gt;"",'[1]Game Input'!$BA191,"")</f>
        <v>TRI-CITY</v>
      </c>
      <c r="U191" s="9">
        <f>IF('[1]Game Input'!$BU191&lt;&gt;"",'[1]Game Input'!$BU191,"")</f>
        <v>10</v>
      </c>
      <c r="V191" s="9">
        <f>IF('[1]Game Input'!$BV191&lt;&gt;"",'[1]Game Input'!$BV191,"")</f>
        <v>5</v>
      </c>
      <c r="W191" s="9">
        <f>IF('[1]Game Input'!$CB191&lt;&gt;"",'[1]Game Input'!$CB191,"")</f>
        <v>0</v>
      </c>
      <c r="X191" s="9">
        <f>IF('[1]Game Input'!$CC191&lt;&gt;"",'[1]Game Input'!$CC191,"")</f>
        <v>0</v>
      </c>
      <c r="Y191" s="9">
        <f>IF('[1]Game Input'!$CF191&lt;&gt;"",'[1]Game Input'!$CF191,"")</f>
        <v>5</v>
      </c>
      <c r="Z191" s="9">
        <f>IF('[1]Game Input'!$CG191&lt;&gt;"",'[1]Game Input'!$CG191,"")</f>
        <v>0</v>
      </c>
      <c r="AA191" s="9">
        <f>IF('[1]Game Input'!$CH191&lt;&gt;"",'[1]Game Input'!$CH191,"")</f>
        <v>0</v>
      </c>
      <c r="AB191" s="9">
        <f>IF('[1]Game Input'!$CI191&lt;&gt;"",'[1]Game Input'!$CI191,"")</f>
        <v>0</v>
      </c>
      <c r="AC191" s="9">
        <f>IF('[1]Game Input'!$CJ191&lt;&gt;"",'[1]Game Input'!$CJ191,"")</f>
        <v>0</v>
      </c>
      <c r="AD191" s="9">
        <f>IF('[1]Game Input'!$CK191&lt;&gt;"",'[1]Game Input'!$CK191,"")</f>
        <v>0</v>
      </c>
      <c r="AE191" s="8"/>
      <c r="AF191" s="8"/>
      <c r="AG191" s="8"/>
      <c r="AH191" s="8"/>
    </row>
    <row r="192" spans="1:34" x14ac:dyDescent="0.2">
      <c r="A192" s="6">
        <f>IF('[1]Game Input'!$A192&lt;&gt;"",'[1]Game Input'!$A192,"")</f>
        <v>43442</v>
      </c>
      <c r="B192" s="6" t="str">
        <f>IF(A192&gt;$B$1,VLOOKUP(MONTH($A192),DOTWMonth,2,FALSE),"")</f>
        <v>December</v>
      </c>
      <c r="C192" s="10" t="str">
        <f>IF(A192&gt;$B$1,VLOOKUP(WEEKDAY($A192),DOTWMonth,3,FALSE),"")</f>
        <v>Saturday</v>
      </c>
      <c r="D192" s="7">
        <f>IF('[1]Game Input'!$B192&lt;&gt;"",'[1]Game Input'!$B192,"")</f>
        <v>0.83680555555555547</v>
      </c>
      <c r="E192" s="7">
        <f>IF('[1]Game Input'!$C192&lt;&gt;"",'[1]Game Input'!$C192,"")</f>
        <v>0.79513888888888884</v>
      </c>
      <c r="F192" s="8" t="str">
        <f>IF('[1]Game Input'!$D192&lt;&gt;"",'[1]Game Input'!$D192,"")</f>
        <v>Standard</v>
      </c>
      <c r="G192" s="8" t="str">
        <f>IF('[1]Game Input'!$G192&lt;&gt;"",'[1]Game Input'!$G192,"")</f>
        <v>OMA @ CHI</v>
      </c>
      <c r="H192" s="8" t="str">
        <f>IF('[1]Game Input'!$H192&lt;&gt;"",'[1]Game Input'!$H192,"")</f>
        <v>Vs. Non-Conference</v>
      </c>
      <c r="I192" s="8" t="str">
        <f>IF('[1]Game Input'!$I192&lt;&gt;"",'[1]Game Input'!$I192,"")</f>
        <v>OMAHA</v>
      </c>
      <c r="J192" s="9">
        <f>IF('[1]Game Input'!$AC192&lt;&gt;"",'[1]Game Input'!$AC192,"")</f>
        <v>6</v>
      </c>
      <c r="K192" s="9">
        <f>IF('[1]Game Input'!$AD192&lt;&gt;"",'[1]Game Input'!$AD192,"")</f>
        <v>3</v>
      </c>
      <c r="L192" s="9">
        <f>IF('[1]Game Input'!$AJ192&lt;&gt;"",'[1]Game Input'!$AJ192,"")</f>
        <v>0</v>
      </c>
      <c r="M192" s="9">
        <f>IF('[1]Game Input'!$AK192&lt;&gt;"",'[1]Game Input'!$AK192,"")</f>
        <v>0</v>
      </c>
      <c r="N192" s="9">
        <f>IF('[1]Game Input'!$AN192&lt;&gt;"",'[1]Game Input'!$AN192,"")</f>
        <v>3</v>
      </c>
      <c r="O192" s="9">
        <f>IF('[1]Game Input'!$AO192&lt;&gt;"",'[1]Game Input'!$AO192,"")</f>
        <v>0</v>
      </c>
      <c r="P192" s="9">
        <f>IF('[1]Game Input'!$AP192&lt;&gt;"",'[1]Game Input'!$AP192,"")</f>
        <v>0</v>
      </c>
      <c r="Q192" s="9">
        <f>IF('[1]Game Input'!$AQ192&lt;&gt;"",'[1]Game Input'!$AQ192,"")</f>
        <v>0</v>
      </c>
      <c r="R192" s="9">
        <f>IF('[1]Game Input'!$AR192&lt;&gt;"",'[1]Game Input'!$AR192,"")</f>
        <v>0</v>
      </c>
      <c r="S192" s="9">
        <f>IF('[1]Game Input'!$AS192&lt;&gt;"",'[1]Game Input'!$AS192,"")</f>
        <v>0</v>
      </c>
      <c r="T192" s="10" t="str">
        <f>IF('[1]Game Input'!$BA192&lt;&gt;"",'[1]Game Input'!$BA192,"")</f>
        <v>CHICAGO</v>
      </c>
      <c r="U192" s="9">
        <f>IF('[1]Game Input'!$BU192&lt;&gt;"",'[1]Game Input'!$BU192,"")</f>
        <v>4</v>
      </c>
      <c r="V192" s="9">
        <f>IF('[1]Game Input'!$BV192&lt;&gt;"",'[1]Game Input'!$BV192,"")</f>
        <v>2</v>
      </c>
      <c r="W192" s="9">
        <f>IF('[1]Game Input'!$CB192&lt;&gt;"",'[1]Game Input'!$CB192,"")</f>
        <v>0</v>
      </c>
      <c r="X192" s="9">
        <f>IF('[1]Game Input'!$CC192&lt;&gt;"",'[1]Game Input'!$CC192,"")</f>
        <v>0</v>
      </c>
      <c r="Y192" s="9">
        <f>IF('[1]Game Input'!$CF192&lt;&gt;"",'[1]Game Input'!$CF192,"")</f>
        <v>2</v>
      </c>
      <c r="Z192" s="9">
        <f>IF('[1]Game Input'!$CG192&lt;&gt;"",'[1]Game Input'!$CG192,"")</f>
        <v>0</v>
      </c>
      <c r="AA192" s="9">
        <f>IF('[1]Game Input'!$CH192&lt;&gt;"",'[1]Game Input'!$CH192,"")</f>
        <v>0</v>
      </c>
      <c r="AB192" s="9">
        <f>IF('[1]Game Input'!$CI192&lt;&gt;"",'[1]Game Input'!$CI192,"")</f>
        <v>0</v>
      </c>
      <c r="AC192" s="9">
        <f>IF('[1]Game Input'!$CJ192&lt;&gt;"",'[1]Game Input'!$CJ192,"")</f>
        <v>0</v>
      </c>
      <c r="AD192" s="9">
        <f>IF('[1]Game Input'!$CK192&lt;&gt;"",'[1]Game Input'!$CK192,"")</f>
        <v>0</v>
      </c>
      <c r="AE192" s="8"/>
      <c r="AF192" s="8"/>
      <c r="AG192" s="8"/>
      <c r="AH192" s="8"/>
    </row>
    <row r="193" spans="1:34" x14ac:dyDescent="0.2">
      <c r="A193" s="6">
        <f>IF('[1]Game Input'!$A193&lt;&gt;"",'[1]Game Input'!$A193,"")</f>
        <v>43442</v>
      </c>
      <c r="B193" s="6" t="str">
        <f>IF(A193&gt;$B$1,VLOOKUP(MONTH($A193),DOTWMonth,2,FALSE),"")</f>
        <v>December</v>
      </c>
      <c r="C193" s="10" t="str">
        <f>IF(A193&gt;$B$1,VLOOKUP(WEEKDAY($A193),DOTWMonth,3,FALSE),"")</f>
        <v>Saturday</v>
      </c>
      <c r="D193" s="7">
        <f>IF('[1]Game Input'!$B193&lt;&gt;"",'[1]Game Input'!$B193,"")</f>
        <v>0.83680555555555547</v>
      </c>
      <c r="E193" s="7">
        <f>IF('[1]Game Input'!$C193&lt;&gt;"",'[1]Game Input'!$C193,"")</f>
        <v>0.79513888888888884</v>
      </c>
      <c r="F193" s="8" t="str">
        <f>IF('[1]Game Input'!$D193&lt;&gt;"",'[1]Game Input'!$D193,"")</f>
        <v>Standard</v>
      </c>
      <c r="G193" s="8" t="str">
        <f>IF('[1]Game Input'!$G193&lt;&gt;"",'[1]Game Input'!$G193,"")</f>
        <v>CR @ WAT</v>
      </c>
      <c r="H193" s="8" t="str">
        <f>IF('[1]Game Input'!$H193&lt;&gt;"",'[1]Game Input'!$H193,"")</f>
        <v>Vs. Non-Conference</v>
      </c>
      <c r="I193" s="8" t="str">
        <f>IF('[1]Game Input'!$I193&lt;&gt;"",'[1]Game Input'!$I193,"")</f>
        <v>CEDAR RAPIDS</v>
      </c>
      <c r="J193" s="9">
        <f>IF('[1]Game Input'!$AC193&lt;&gt;"",'[1]Game Input'!$AC193,"")</f>
        <v>26</v>
      </c>
      <c r="K193" s="9">
        <f>IF('[1]Game Input'!$AD193&lt;&gt;"",'[1]Game Input'!$AD193,"")</f>
        <v>9</v>
      </c>
      <c r="L193" s="9">
        <f>IF('[1]Game Input'!$AJ193&lt;&gt;"",'[1]Game Input'!$AJ193,"")</f>
        <v>0</v>
      </c>
      <c r="M193" s="9">
        <f>IF('[1]Game Input'!$AK193&lt;&gt;"",'[1]Game Input'!$AK193,"")</f>
        <v>0</v>
      </c>
      <c r="N193" s="9">
        <f>IF('[1]Game Input'!$AN193&lt;&gt;"",'[1]Game Input'!$AN193,"")</f>
        <v>8</v>
      </c>
      <c r="O193" s="9">
        <f>IF('[1]Game Input'!$AO193&lt;&gt;"",'[1]Game Input'!$AO193,"")</f>
        <v>0</v>
      </c>
      <c r="P193" s="9">
        <f>IF('[1]Game Input'!$AP193&lt;&gt;"",'[1]Game Input'!$AP193,"")</f>
        <v>1</v>
      </c>
      <c r="Q193" s="9">
        <f>IF('[1]Game Input'!$AQ193&lt;&gt;"",'[1]Game Input'!$AQ193,"")</f>
        <v>0</v>
      </c>
      <c r="R193" s="9">
        <f>IF('[1]Game Input'!$AR193&lt;&gt;"",'[1]Game Input'!$AR193,"")</f>
        <v>0</v>
      </c>
      <c r="S193" s="9">
        <f>IF('[1]Game Input'!$AS193&lt;&gt;"",'[1]Game Input'!$AS193,"")</f>
        <v>0</v>
      </c>
      <c r="T193" s="10" t="str">
        <f>IF('[1]Game Input'!$BA193&lt;&gt;"",'[1]Game Input'!$BA193,"")</f>
        <v>WATERLOO</v>
      </c>
      <c r="U193" s="9">
        <f>IF('[1]Game Input'!$BU193&lt;&gt;"",'[1]Game Input'!$BU193,"")</f>
        <v>16</v>
      </c>
      <c r="V193" s="9">
        <f>IF('[1]Game Input'!$BV193&lt;&gt;"",'[1]Game Input'!$BV193,"")</f>
        <v>8</v>
      </c>
      <c r="W193" s="9">
        <f>IF('[1]Game Input'!$CB193&lt;&gt;"",'[1]Game Input'!$CB193,"")</f>
        <v>0</v>
      </c>
      <c r="X193" s="9">
        <f>IF('[1]Game Input'!$CC193&lt;&gt;"",'[1]Game Input'!$CC193,"")</f>
        <v>0</v>
      </c>
      <c r="Y193" s="9">
        <f>IF('[1]Game Input'!$CF193&lt;&gt;"",'[1]Game Input'!$CF193,"")</f>
        <v>8</v>
      </c>
      <c r="Z193" s="9">
        <f>IF('[1]Game Input'!$CG193&lt;&gt;"",'[1]Game Input'!$CG193,"")</f>
        <v>0</v>
      </c>
      <c r="AA193" s="9">
        <f>IF('[1]Game Input'!$CH193&lt;&gt;"",'[1]Game Input'!$CH193,"")</f>
        <v>0</v>
      </c>
      <c r="AB193" s="9">
        <f>IF('[1]Game Input'!$CI193&lt;&gt;"",'[1]Game Input'!$CI193,"")</f>
        <v>0</v>
      </c>
      <c r="AC193" s="9">
        <f>IF('[1]Game Input'!$CJ193&lt;&gt;"",'[1]Game Input'!$CJ193,"")</f>
        <v>0</v>
      </c>
      <c r="AD193" s="9">
        <f>IF('[1]Game Input'!$CK193&lt;&gt;"",'[1]Game Input'!$CK193,"")</f>
        <v>0</v>
      </c>
      <c r="AE193" s="8" t="s">
        <v>102</v>
      </c>
      <c r="AF193" s="8" t="s">
        <v>93</v>
      </c>
      <c r="AG193" s="8" t="s">
        <v>151</v>
      </c>
      <c r="AH193" s="8" t="s">
        <v>119</v>
      </c>
    </row>
    <row r="194" spans="1:34" x14ac:dyDescent="0.2">
      <c r="A194" s="6">
        <f>IF('[1]Game Input'!$A194&lt;&gt;"",'[1]Game Input'!$A194,"")</f>
        <v>43443</v>
      </c>
      <c r="B194" s="6" t="str">
        <f>IF(A194&gt;$B$1,VLOOKUP(MONTH($A194),DOTWMonth,2,FALSE),"")</f>
        <v>December</v>
      </c>
      <c r="C194" s="10" t="str">
        <f>IF(A194&gt;$B$1,VLOOKUP(WEEKDAY($A194),DOTWMonth,3,FALSE),"")</f>
        <v>Sunday</v>
      </c>
      <c r="D194" s="7">
        <f>IF('[1]Game Input'!$B194&lt;&gt;"",'[1]Game Input'!$B194,"")</f>
        <v>0.83819444444444446</v>
      </c>
      <c r="E194" s="7">
        <f>IF('[1]Game Input'!$C194&lt;&gt;"",'[1]Game Input'!$C194,"")</f>
        <v>0.79652777777777783</v>
      </c>
      <c r="F194" s="8" t="str">
        <f>IF('[1]Game Input'!$D194&lt;&gt;"",'[1]Game Input'!$D194,"")</f>
        <v>Standard</v>
      </c>
      <c r="G194" s="8" t="str">
        <f>IF('[1]Game Input'!$G194&lt;&gt;"",'[1]Game Input'!$G194,"")</f>
        <v>OMA @ CIL</v>
      </c>
      <c r="H194" s="8" t="str">
        <f>IF('[1]Game Input'!$H194&lt;&gt;"",'[1]Game Input'!$H194,"")</f>
        <v>Vs. Non-Conference</v>
      </c>
      <c r="I194" s="8" t="str">
        <f>IF('[1]Game Input'!$I194&lt;&gt;"",'[1]Game Input'!$I194,"")</f>
        <v>OMAHA</v>
      </c>
      <c r="J194" s="9">
        <f>IF('[1]Game Input'!$AC194&lt;&gt;"",'[1]Game Input'!$AC194,"")</f>
        <v>2</v>
      </c>
      <c r="K194" s="9">
        <f>IF('[1]Game Input'!$AD194&lt;&gt;"",'[1]Game Input'!$AD194,"")</f>
        <v>1</v>
      </c>
      <c r="L194" s="9">
        <f>IF('[1]Game Input'!$AJ194&lt;&gt;"",'[1]Game Input'!$AJ194,"")</f>
        <v>0</v>
      </c>
      <c r="M194" s="9">
        <f>IF('[1]Game Input'!$AK194&lt;&gt;"",'[1]Game Input'!$AK194,"")</f>
        <v>0</v>
      </c>
      <c r="N194" s="9">
        <f>IF('[1]Game Input'!$AN194&lt;&gt;"",'[1]Game Input'!$AN194,"")</f>
        <v>1</v>
      </c>
      <c r="O194" s="9">
        <f>IF('[1]Game Input'!$AO194&lt;&gt;"",'[1]Game Input'!$AO194,"")</f>
        <v>0</v>
      </c>
      <c r="P194" s="9">
        <f>IF('[1]Game Input'!$AP194&lt;&gt;"",'[1]Game Input'!$AP194,"")</f>
        <v>0</v>
      </c>
      <c r="Q194" s="9">
        <f>IF('[1]Game Input'!$AQ194&lt;&gt;"",'[1]Game Input'!$AQ194,"")</f>
        <v>0</v>
      </c>
      <c r="R194" s="9">
        <f>IF('[1]Game Input'!$AR194&lt;&gt;"",'[1]Game Input'!$AR194,"")</f>
        <v>0</v>
      </c>
      <c r="S194" s="9">
        <f>IF('[1]Game Input'!$AS194&lt;&gt;"",'[1]Game Input'!$AS194,"")</f>
        <v>0</v>
      </c>
      <c r="T194" s="10" t="str">
        <f>IF('[1]Game Input'!$BA194&lt;&gt;"",'[1]Game Input'!$BA194,"")</f>
        <v>CENTRAL ILLINOIS</v>
      </c>
      <c r="U194" s="9">
        <f>IF('[1]Game Input'!$BU194&lt;&gt;"",'[1]Game Input'!$BU194,"")</f>
        <v>0</v>
      </c>
      <c r="V194" s="9">
        <f>IF('[1]Game Input'!$BV194&lt;&gt;"",'[1]Game Input'!$BV194,"")</f>
        <v>0</v>
      </c>
      <c r="W194" s="9">
        <f>IF('[1]Game Input'!$CB194&lt;&gt;"",'[1]Game Input'!$CB194,"")</f>
        <v>0</v>
      </c>
      <c r="X194" s="9">
        <f>IF('[1]Game Input'!$CC194&lt;&gt;"",'[1]Game Input'!$CC194,"")</f>
        <v>0</v>
      </c>
      <c r="Y194" s="9">
        <f>IF('[1]Game Input'!$CF194&lt;&gt;"",'[1]Game Input'!$CF194,"")</f>
        <v>0</v>
      </c>
      <c r="Z194" s="9">
        <f>IF('[1]Game Input'!$CG194&lt;&gt;"",'[1]Game Input'!$CG194,"")</f>
        <v>0</v>
      </c>
      <c r="AA194" s="9">
        <f>IF('[1]Game Input'!$CH194&lt;&gt;"",'[1]Game Input'!$CH194,"")</f>
        <v>0</v>
      </c>
      <c r="AB194" s="9">
        <f>IF('[1]Game Input'!$CI194&lt;&gt;"",'[1]Game Input'!$CI194,"")</f>
        <v>0</v>
      </c>
      <c r="AC194" s="9">
        <f>IF('[1]Game Input'!$CJ194&lt;&gt;"",'[1]Game Input'!$CJ194,"")</f>
        <v>0</v>
      </c>
      <c r="AD194" s="9">
        <f>IF('[1]Game Input'!$CK194&lt;&gt;"",'[1]Game Input'!$CK194,"")</f>
        <v>0</v>
      </c>
      <c r="AE194" s="8" t="s">
        <v>101</v>
      </c>
      <c r="AF194" s="8"/>
      <c r="AG194" s="8" t="s">
        <v>147</v>
      </c>
      <c r="AH194" s="8" t="s">
        <v>121</v>
      </c>
    </row>
    <row r="195" spans="1:34" x14ac:dyDescent="0.2">
      <c r="A195" s="6">
        <f>IF('[1]Game Input'!$A195&lt;&gt;"",'[1]Game Input'!$A195,"")</f>
        <v>43445</v>
      </c>
      <c r="B195" s="6" t="str">
        <f>IF(A195&gt;$B$1,VLOOKUP(MONTH($A195),DOTWMonth,2,FALSE),"")</f>
        <v>December</v>
      </c>
      <c r="C195" s="10" t="str">
        <f>IF(A195&gt;$B$1,VLOOKUP(WEEKDAY($A195),DOTWMonth,3,FALSE),"")</f>
        <v>Tuesday</v>
      </c>
      <c r="D195" s="7">
        <f>IF('[1]Game Input'!$B195&lt;&gt;"",'[1]Game Input'!$B195,"")</f>
        <v>0.8159722222222221</v>
      </c>
      <c r="E195" s="7">
        <f>IF('[1]Game Input'!$C195&lt;&gt;"",'[1]Game Input'!$C195,"")</f>
        <v>0.77430555555555547</v>
      </c>
      <c r="F195" s="8" t="str">
        <f>IF('[1]Game Input'!$D195&lt;&gt;"",'[1]Game Input'!$D195,"")</f>
        <v>Standard</v>
      </c>
      <c r="G195" s="8" t="str">
        <f>IF('[1]Game Input'!$G195&lt;&gt;"",'[1]Game Input'!$G195,"")</f>
        <v>FGO @ SC</v>
      </c>
      <c r="H195" s="8" t="str">
        <f>IF('[1]Game Input'!$H195&lt;&gt;"",'[1]Game Input'!$H195,"")</f>
        <v>Vs. Conference</v>
      </c>
      <c r="I195" s="8" t="str">
        <f>IF('[1]Game Input'!$I195&lt;&gt;"",'[1]Game Input'!$I195,"")</f>
        <v>FARGO</v>
      </c>
      <c r="J195" s="9">
        <f>IF('[1]Game Input'!$AC195&lt;&gt;"",'[1]Game Input'!$AC195,"")</f>
        <v>27</v>
      </c>
      <c r="K195" s="9">
        <f>IF('[1]Game Input'!$AD195&lt;&gt;"",'[1]Game Input'!$AD195,"")</f>
        <v>8</v>
      </c>
      <c r="L195" s="9">
        <f>IF('[1]Game Input'!$AJ195&lt;&gt;"",'[1]Game Input'!$AJ195,"")</f>
        <v>0</v>
      </c>
      <c r="M195" s="9">
        <f>IF('[1]Game Input'!$AK195&lt;&gt;"",'[1]Game Input'!$AK195,"")</f>
        <v>0</v>
      </c>
      <c r="N195" s="9">
        <f>IF('[1]Game Input'!$AN195&lt;&gt;"",'[1]Game Input'!$AN195,"")</f>
        <v>6</v>
      </c>
      <c r="O195" s="9">
        <f>IF('[1]Game Input'!$AO195&lt;&gt;"",'[1]Game Input'!$AO195,"")</f>
        <v>1</v>
      </c>
      <c r="P195" s="9">
        <f>IF('[1]Game Input'!$AP195&lt;&gt;"",'[1]Game Input'!$AP195,"")</f>
        <v>1</v>
      </c>
      <c r="Q195" s="9">
        <f>IF('[1]Game Input'!$AQ195&lt;&gt;"",'[1]Game Input'!$AQ195,"")</f>
        <v>0</v>
      </c>
      <c r="R195" s="9">
        <f>IF('[1]Game Input'!$AR195&lt;&gt;"",'[1]Game Input'!$AR195,"")</f>
        <v>0</v>
      </c>
      <c r="S195" s="9">
        <f>IF('[1]Game Input'!$AS195&lt;&gt;"",'[1]Game Input'!$AS195,"")</f>
        <v>0</v>
      </c>
      <c r="T195" s="10" t="str">
        <f>IF('[1]Game Input'!$BA195&lt;&gt;"",'[1]Game Input'!$BA195,"")</f>
        <v>SIOUX CITY</v>
      </c>
      <c r="U195" s="9">
        <f>IF('[1]Game Input'!$BU195&lt;&gt;"",'[1]Game Input'!$BU195,"")</f>
        <v>23</v>
      </c>
      <c r="V195" s="9">
        <f>IF('[1]Game Input'!$BV195&lt;&gt;"",'[1]Game Input'!$BV195,"")</f>
        <v>6</v>
      </c>
      <c r="W195" s="9">
        <f>IF('[1]Game Input'!$CB195&lt;&gt;"",'[1]Game Input'!$CB195,"")</f>
        <v>0</v>
      </c>
      <c r="X195" s="9">
        <f>IF('[1]Game Input'!$CC195&lt;&gt;"",'[1]Game Input'!$CC195,"")</f>
        <v>0</v>
      </c>
      <c r="Y195" s="9">
        <f>IF('[1]Game Input'!$CF195&lt;&gt;"",'[1]Game Input'!$CF195,"")</f>
        <v>4</v>
      </c>
      <c r="Z195" s="9">
        <f>IF('[1]Game Input'!$CG195&lt;&gt;"",'[1]Game Input'!$CG195,"")</f>
        <v>1</v>
      </c>
      <c r="AA195" s="9">
        <f>IF('[1]Game Input'!$CH195&lt;&gt;"",'[1]Game Input'!$CH195,"")</f>
        <v>1</v>
      </c>
      <c r="AB195" s="9">
        <f>IF('[1]Game Input'!$CI195&lt;&gt;"",'[1]Game Input'!$CI195,"")</f>
        <v>0</v>
      </c>
      <c r="AC195" s="9">
        <f>IF('[1]Game Input'!$CJ195&lt;&gt;"",'[1]Game Input'!$CJ195,"")</f>
        <v>0</v>
      </c>
      <c r="AD195" s="9">
        <f>IF('[1]Game Input'!$CK195&lt;&gt;"",'[1]Game Input'!$CK195,"")</f>
        <v>0</v>
      </c>
      <c r="AE195" s="8"/>
      <c r="AF195" s="8"/>
      <c r="AG195" s="8"/>
      <c r="AH195" s="8"/>
    </row>
    <row r="196" spans="1:34" x14ac:dyDescent="0.2">
      <c r="A196" s="6">
        <f>IF('[1]Game Input'!$A196&lt;&gt;"",'[1]Game Input'!$A196,"")</f>
        <v>43447</v>
      </c>
      <c r="B196" s="6" t="str">
        <f>IF(A196&gt;$B$1,VLOOKUP(MONTH($A196),DOTWMonth,2,FALSE),"")</f>
        <v>December</v>
      </c>
      <c r="C196" s="10" t="str">
        <f>IF(A196&gt;$B$1,VLOOKUP(WEEKDAY($A196),DOTWMonth,3,FALSE),"")</f>
        <v>Thursday</v>
      </c>
      <c r="D196" s="7">
        <f>IF('[1]Game Input'!$B196&lt;&gt;"",'[1]Game Input'!$B196,"")</f>
        <v>0.83680555555555547</v>
      </c>
      <c r="E196" s="7">
        <f>IF('[1]Game Input'!$C196&lt;&gt;"",'[1]Game Input'!$C196,"")</f>
        <v>0.79513888888888884</v>
      </c>
      <c r="F196" s="8" t="str">
        <f>IF('[1]Game Input'!$D196&lt;&gt;"",'[1]Game Input'!$D196,"")</f>
        <v>Standard</v>
      </c>
      <c r="G196" s="8" t="str">
        <f>IF('[1]Game Input'!$G196&lt;&gt;"",'[1]Game Input'!$G196,"")</f>
        <v>LIN @ TC</v>
      </c>
      <c r="H196" s="8" t="str">
        <f>IF('[1]Game Input'!$H196&lt;&gt;"",'[1]Game Input'!$H196,"")</f>
        <v>Vs. Conference</v>
      </c>
      <c r="I196" s="8" t="str">
        <f>IF('[1]Game Input'!$I196&lt;&gt;"",'[1]Game Input'!$I196,"")</f>
        <v>LINCOLN</v>
      </c>
      <c r="J196" s="9">
        <f>IF('[1]Game Input'!$AC196&lt;&gt;"",'[1]Game Input'!$AC196,"")</f>
        <v>4</v>
      </c>
      <c r="K196" s="9">
        <f>IF('[1]Game Input'!$AD196&lt;&gt;"",'[1]Game Input'!$AD196,"")</f>
        <v>2</v>
      </c>
      <c r="L196" s="9">
        <f>IF('[1]Game Input'!$AJ196&lt;&gt;"",'[1]Game Input'!$AJ196,"")</f>
        <v>0</v>
      </c>
      <c r="M196" s="9">
        <f>IF('[1]Game Input'!$AK196&lt;&gt;"",'[1]Game Input'!$AK196,"")</f>
        <v>0</v>
      </c>
      <c r="N196" s="9">
        <f>IF('[1]Game Input'!$AN196&lt;&gt;"",'[1]Game Input'!$AN196,"")</f>
        <v>2</v>
      </c>
      <c r="O196" s="9">
        <f>IF('[1]Game Input'!$AO196&lt;&gt;"",'[1]Game Input'!$AO196,"")</f>
        <v>0</v>
      </c>
      <c r="P196" s="9">
        <f>IF('[1]Game Input'!$AP196&lt;&gt;"",'[1]Game Input'!$AP196,"")</f>
        <v>0</v>
      </c>
      <c r="Q196" s="9">
        <f>IF('[1]Game Input'!$AQ196&lt;&gt;"",'[1]Game Input'!$AQ196,"")</f>
        <v>0</v>
      </c>
      <c r="R196" s="9">
        <f>IF('[1]Game Input'!$AR196&lt;&gt;"",'[1]Game Input'!$AR196,"")</f>
        <v>0</v>
      </c>
      <c r="S196" s="9">
        <f>IF('[1]Game Input'!$AS196&lt;&gt;"",'[1]Game Input'!$AS196,"")</f>
        <v>0</v>
      </c>
      <c r="T196" s="10" t="str">
        <f>IF('[1]Game Input'!$BA196&lt;&gt;"",'[1]Game Input'!$BA196,"")</f>
        <v>TRI-CITY</v>
      </c>
      <c r="U196" s="9">
        <f>IF('[1]Game Input'!$BU196&lt;&gt;"",'[1]Game Input'!$BU196,"")</f>
        <v>4</v>
      </c>
      <c r="V196" s="9">
        <f>IF('[1]Game Input'!$BV196&lt;&gt;"",'[1]Game Input'!$BV196,"")</f>
        <v>2</v>
      </c>
      <c r="W196" s="9">
        <f>IF('[1]Game Input'!$CB196&lt;&gt;"",'[1]Game Input'!$CB196,"")</f>
        <v>0</v>
      </c>
      <c r="X196" s="9">
        <f>IF('[1]Game Input'!$CC196&lt;&gt;"",'[1]Game Input'!$CC196,"")</f>
        <v>0</v>
      </c>
      <c r="Y196" s="9">
        <f>IF('[1]Game Input'!$CF196&lt;&gt;"",'[1]Game Input'!$CF196,"")</f>
        <v>2</v>
      </c>
      <c r="Z196" s="9">
        <f>IF('[1]Game Input'!$CG196&lt;&gt;"",'[1]Game Input'!$CG196,"")</f>
        <v>0</v>
      </c>
      <c r="AA196" s="9">
        <f>IF('[1]Game Input'!$CH196&lt;&gt;"",'[1]Game Input'!$CH196,"")</f>
        <v>0</v>
      </c>
      <c r="AB196" s="9">
        <f>IF('[1]Game Input'!$CI196&lt;&gt;"",'[1]Game Input'!$CI196,"")</f>
        <v>0</v>
      </c>
      <c r="AC196" s="9">
        <f>IF('[1]Game Input'!$CJ196&lt;&gt;"",'[1]Game Input'!$CJ196,"")</f>
        <v>0</v>
      </c>
      <c r="AD196" s="9">
        <f>IF('[1]Game Input'!$CK196&lt;&gt;"",'[1]Game Input'!$CK196,"")</f>
        <v>0</v>
      </c>
      <c r="AE196" s="8"/>
      <c r="AF196" s="8"/>
      <c r="AG196" s="8"/>
      <c r="AH196" s="8"/>
    </row>
    <row r="197" spans="1:34" x14ac:dyDescent="0.2">
      <c r="A197" s="6">
        <f>IF('[1]Game Input'!$A197&lt;&gt;"",'[1]Game Input'!$A197,"")</f>
        <v>43447</v>
      </c>
      <c r="B197" s="6" t="str">
        <f>IF(A197&gt;$B$1,VLOOKUP(MONTH($A197),DOTWMonth,2,FALSE),"")</f>
        <v>December</v>
      </c>
      <c r="C197" s="10" t="str">
        <f>IF(A197&gt;$B$1,VLOOKUP(WEEKDAY($A197),DOTWMonth,3,FALSE),"")</f>
        <v>Thursday</v>
      </c>
      <c r="D197" s="7">
        <f>IF('[1]Game Input'!$B197&lt;&gt;"",'[1]Game Input'!$B197,"")</f>
        <v>0.83680555555555547</v>
      </c>
      <c r="E197" s="7">
        <f>IF('[1]Game Input'!$C197&lt;&gt;"",'[1]Game Input'!$C197,"")</f>
        <v>0.79513888888888884</v>
      </c>
      <c r="F197" s="8" t="str">
        <f>IF('[1]Game Input'!$D197&lt;&gt;"",'[1]Game Input'!$D197,"")</f>
        <v>Standard</v>
      </c>
      <c r="G197" s="8" t="str">
        <f>IF('[1]Game Input'!$G197&lt;&gt;"",'[1]Game Input'!$G197,"")</f>
        <v>DUB @ SF</v>
      </c>
      <c r="H197" s="8" t="str">
        <f>IF('[1]Game Input'!$H197&lt;&gt;"",'[1]Game Input'!$H197,"")</f>
        <v>Vs. Non-Conference</v>
      </c>
      <c r="I197" s="8" t="str">
        <f>IF('[1]Game Input'!$I197&lt;&gt;"",'[1]Game Input'!$I197,"")</f>
        <v>DUBUQUE</v>
      </c>
      <c r="J197" s="9">
        <f>IF('[1]Game Input'!$AC197&lt;&gt;"",'[1]Game Input'!$AC197,"")</f>
        <v>10</v>
      </c>
      <c r="K197" s="9">
        <f>IF('[1]Game Input'!$AD197&lt;&gt;"",'[1]Game Input'!$AD197,"")</f>
        <v>5</v>
      </c>
      <c r="L197" s="9">
        <f>IF('[1]Game Input'!$AJ197&lt;&gt;"",'[1]Game Input'!$AJ197,"")</f>
        <v>0</v>
      </c>
      <c r="M197" s="9">
        <f>IF('[1]Game Input'!$AK197&lt;&gt;"",'[1]Game Input'!$AK197,"")</f>
        <v>0</v>
      </c>
      <c r="N197" s="9">
        <f>IF('[1]Game Input'!$AN197&lt;&gt;"",'[1]Game Input'!$AN197,"")</f>
        <v>5</v>
      </c>
      <c r="O197" s="9">
        <f>IF('[1]Game Input'!$AO197&lt;&gt;"",'[1]Game Input'!$AO197,"")</f>
        <v>0</v>
      </c>
      <c r="P197" s="9">
        <f>IF('[1]Game Input'!$AP197&lt;&gt;"",'[1]Game Input'!$AP197,"")</f>
        <v>0</v>
      </c>
      <c r="Q197" s="9">
        <f>IF('[1]Game Input'!$AQ197&lt;&gt;"",'[1]Game Input'!$AQ197,"")</f>
        <v>0</v>
      </c>
      <c r="R197" s="9">
        <f>IF('[1]Game Input'!$AR197&lt;&gt;"",'[1]Game Input'!$AR197,"")</f>
        <v>0</v>
      </c>
      <c r="S197" s="9">
        <f>IF('[1]Game Input'!$AS197&lt;&gt;"",'[1]Game Input'!$AS197,"")</f>
        <v>0</v>
      </c>
      <c r="T197" s="10" t="str">
        <f>IF('[1]Game Input'!$BA197&lt;&gt;"",'[1]Game Input'!$BA197,"")</f>
        <v>SIOUX FALLS</v>
      </c>
      <c r="U197" s="9">
        <f>IF('[1]Game Input'!$BU197&lt;&gt;"",'[1]Game Input'!$BU197,"")</f>
        <v>4</v>
      </c>
      <c r="V197" s="9">
        <f>IF('[1]Game Input'!$BV197&lt;&gt;"",'[1]Game Input'!$BV197,"")</f>
        <v>2</v>
      </c>
      <c r="W197" s="9">
        <f>IF('[1]Game Input'!$CB197&lt;&gt;"",'[1]Game Input'!$CB197,"")</f>
        <v>0</v>
      </c>
      <c r="X197" s="9">
        <f>IF('[1]Game Input'!$CC197&lt;&gt;"",'[1]Game Input'!$CC197,"")</f>
        <v>0</v>
      </c>
      <c r="Y197" s="9">
        <f>IF('[1]Game Input'!$CF197&lt;&gt;"",'[1]Game Input'!$CF197,"")</f>
        <v>2</v>
      </c>
      <c r="Z197" s="9">
        <f>IF('[1]Game Input'!$CG197&lt;&gt;"",'[1]Game Input'!$CG197,"")</f>
        <v>0</v>
      </c>
      <c r="AA197" s="9">
        <f>IF('[1]Game Input'!$CH197&lt;&gt;"",'[1]Game Input'!$CH197,"")</f>
        <v>0</v>
      </c>
      <c r="AB197" s="9">
        <f>IF('[1]Game Input'!$CI197&lt;&gt;"",'[1]Game Input'!$CI197,"")</f>
        <v>0</v>
      </c>
      <c r="AC197" s="9">
        <f>IF('[1]Game Input'!$CJ197&lt;&gt;"",'[1]Game Input'!$CJ197,"")</f>
        <v>0</v>
      </c>
      <c r="AD197" s="9">
        <f>IF('[1]Game Input'!$CK197&lt;&gt;"",'[1]Game Input'!$CK197,"")</f>
        <v>0</v>
      </c>
      <c r="AE197" s="8"/>
      <c r="AF197" s="8"/>
      <c r="AG197" s="8"/>
      <c r="AH197" s="8"/>
    </row>
    <row r="198" spans="1:34" x14ac:dyDescent="0.2">
      <c r="A198" s="6">
        <f>IF('[1]Game Input'!$A198&lt;&gt;"",'[1]Game Input'!$A198,"")</f>
        <v>43448</v>
      </c>
      <c r="B198" s="6" t="str">
        <f>IF(A198&gt;$B$1,VLOOKUP(MONTH($A198),DOTWMonth,2,FALSE),"")</f>
        <v>December</v>
      </c>
      <c r="C198" s="10" t="str">
        <f>IF(A198&gt;$B$1,VLOOKUP(WEEKDAY($A198),DOTWMonth,3,FALSE),"")</f>
        <v>Friday</v>
      </c>
      <c r="D198" s="7">
        <f>IF('[1]Game Input'!$B198&lt;&gt;"",'[1]Game Input'!$B198,"")</f>
        <v>0.79513888888888884</v>
      </c>
      <c r="E198" s="7">
        <f>IF('[1]Game Input'!$C198&lt;&gt;"",'[1]Game Input'!$C198,"")</f>
        <v>0.75347222222222221</v>
      </c>
      <c r="F198" s="8" t="str">
        <f>IF('[1]Game Input'!$D198&lt;&gt;"",'[1]Game Input'!$D198,"")</f>
        <v>Standard</v>
      </c>
      <c r="G198" s="8" t="str">
        <f>IF('[1]Game Input'!$G198&lt;&gt;"",'[1]Game Input'!$G198,"")</f>
        <v>CHI @ YNG</v>
      </c>
      <c r="H198" s="8" t="str">
        <f>IF('[1]Game Input'!$H198&lt;&gt;"",'[1]Game Input'!$H198,"")</f>
        <v>Vs. Conference</v>
      </c>
      <c r="I198" s="8" t="str">
        <f>IF('[1]Game Input'!$I198&lt;&gt;"",'[1]Game Input'!$I198,"")</f>
        <v>CHICAGO</v>
      </c>
      <c r="J198" s="9">
        <f>IF('[1]Game Input'!$AC198&lt;&gt;"",'[1]Game Input'!$AC198,"")</f>
        <v>25</v>
      </c>
      <c r="K198" s="9">
        <f>IF('[1]Game Input'!$AD198&lt;&gt;"",'[1]Game Input'!$AD198,"")</f>
        <v>7</v>
      </c>
      <c r="L198" s="9">
        <f>IF('[1]Game Input'!$AJ198&lt;&gt;"",'[1]Game Input'!$AJ198,"")</f>
        <v>0</v>
      </c>
      <c r="M198" s="9">
        <f>IF('[1]Game Input'!$AK198&lt;&gt;"",'[1]Game Input'!$AK198,"")</f>
        <v>0</v>
      </c>
      <c r="N198" s="9">
        <f>IF('[1]Game Input'!$AN198&lt;&gt;"",'[1]Game Input'!$AN198,"")</f>
        <v>5</v>
      </c>
      <c r="O198" s="9">
        <f>IF('[1]Game Input'!$AO198&lt;&gt;"",'[1]Game Input'!$AO198,"")</f>
        <v>1</v>
      </c>
      <c r="P198" s="9">
        <f>IF('[1]Game Input'!$AP198&lt;&gt;"",'[1]Game Input'!$AP198,"")</f>
        <v>1</v>
      </c>
      <c r="Q198" s="9">
        <f>IF('[1]Game Input'!$AQ198&lt;&gt;"",'[1]Game Input'!$AQ198,"")</f>
        <v>0</v>
      </c>
      <c r="R198" s="9">
        <f>IF('[1]Game Input'!$AR198&lt;&gt;"",'[1]Game Input'!$AR198,"")</f>
        <v>0</v>
      </c>
      <c r="S198" s="9">
        <f>IF('[1]Game Input'!$AS198&lt;&gt;"",'[1]Game Input'!$AS198,"")</f>
        <v>0</v>
      </c>
      <c r="T198" s="10" t="str">
        <f>IF('[1]Game Input'!$BA198&lt;&gt;"",'[1]Game Input'!$BA198,"")</f>
        <v>YOUNGSTOWN</v>
      </c>
      <c r="U198" s="9">
        <f>IF('[1]Game Input'!$BU198&lt;&gt;"",'[1]Game Input'!$BU198,"")</f>
        <v>31</v>
      </c>
      <c r="V198" s="9">
        <f>IF('[1]Game Input'!$BV198&lt;&gt;"",'[1]Game Input'!$BV198,"")</f>
        <v>10</v>
      </c>
      <c r="W198" s="9">
        <f>IF('[1]Game Input'!$CB198&lt;&gt;"",'[1]Game Input'!$CB198,"")</f>
        <v>0</v>
      </c>
      <c r="X198" s="9">
        <f>IF('[1]Game Input'!$CC198&lt;&gt;"",'[1]Game Input'!$CC198,"")</f>
        <v>0</v>
      </c>
      <c r="Y198" s="9">
        <f>IF('[1]Game Input'!$CF198&lt;&gt;"",'[1]Game Input'!$CF198,"")</f>
        <v>8</v>
      </c>
      <c r="Z198" s="9">
        <f>IF('[1]Game Input'!$CG198&lt;&gt;"",'[1]Game Input'!$CG198,"")</f>
        <v>1</v>
      </c>
      <c r="AA198" s="9">
        <f>IF('[1]Game Input'!$CH198&lt;&gt;"",'[1]Game Input'!$CH198,"")</f>
        <v>1</v>
      </c>
      <c r="AB198" s="9">
        <f>IF('[1]Game Input'!$CI198&lt;&gt;"",'[1]Game Input'!$CI198,"")</f>
        <v>0</v>
      </c>
      <c r="AC198" s="9">
        <f>IF('[1]Game Input'!$CJ198&lt;&gt;"",'[1]Game Input'!$CJ198,"")</f>
        <v>0</v>
      </c>
      <c r="AD198" s="9">
        <f>IF('[1]Game Input'!$CK198&lt;&gt;"",'[1]Game Input'!$CK198,"")</f>
        <v>0</v>
      </c>
      <c r="AE198" s="8"/>
      <c r="AF198" s="8"/>
      <c r="AG198" s="8"/>
      <c r="AH198" s="8"/>
    </row>
    <row r="199" spans="1:34" x14ac:dyDescent="0.2">
      <c r="A199" s="6">
        <f>IF('[1]Game Input'!$A199&lt;&gt;"",'[1]Game Input'!$A199,"")</f>
        <v>43448</v>
      </c>
      <c r="B199" s="6" t="str">
        <f>IF(A199&gt;$B$1,VLOOKUP(MONTH($A199),DOTWMonth,2,FALSE),"")</f>
        <v>December</v>
      </c>
      <c r="C199" s="10" t="str">
        <f>IF(A199&gt;$B$1,VLOOKUP(WEEKDAY($A199),DOTWMonth,3,FALSE),"")</f>
        <v>Friday</v>
      </c>
      <c r="D199" s="7">
        <f>IF('[1]Game Input'!$B199&lt;&gt;"",'[1]Game Input'!$B199,"")</f>
        <v>0.83680555555555547</v>
      </c>
      <c r="E199" s="7">
        <f>IF('[1]Game Input'!$C199&lt;&gt;"",'[1]Game Input'!$C199,"")</f>
        <v>0.79513888888888884</v>
      </c>
      <c r="F199" s="8" t="str">
        <f>IF('[1]Game Input'!$D199&lt;&gt;"",'[1]Game Input'!$D199,"")</f>
        <v>Standard</v>
      </c>
      <c r="G199" s="8" t="str">
        <f>IF('[1]Game Input'!$G199&lt;&gt;"",'[1]Game Input'!$G199,"")</f>
        <v>WAT @ LIN</v>
      </c>
      <c r="H199" s="8" t="str">
        <f>IF('[1]Game Input'!$H199&lt;&gt;"",'[1]Game Input'!$H199,"")</f>
        <v>Vs. Conference</v>
      </c>
      <c r="I199" s="8" t="str">
        <f>IF('[1]Game Input'!$I199&lt;&gt;"",'[1]Game Input'!$I199,"")</f>
        <v>WATERLOO</v>
      </c>
      <c r="J199" s="9">
        <f>IF('[1]Game Input'!$AC199&lt;&gt;"",'[1]Game Input'!$AC199,"")</f>
        <v>10</v>
      </c>
      <c r="K199" s="9">
        <f>IF('[1]Game Input'!$AD199&lt;&gt;"",'[1]Game Input'!$AD199,"")</f>
        <v>5</v>
      </c>
      <c r="L199" s="9">
        <f>IF('[1]Game Input'!$AJ199&lt;&gt;"",'[1]Game Input'!$AJ199,"")</f>
        <v>0</v>
      </c>
      <c r="M199" s="9">
        <f>IF('[1]Game Input'!$AK199&lt;&gt;"",'[1]Game Input'!$AK199,"")</f>
        <v>0</v>
      </c>
      <c r="N199" s="9">
        <f>IF('[1]Game Input'!$AN199&lt;&gt;"",'[1]Game Input'!$AN199,"")</f>
        <v>5</v>
      </c>
      <c r="O199" s="9">
        <f>IF('[1]Game Input'!$AO199&lt;&gt;"",'[1]Game Input'!$AO199,"")</f>
        <v>0</v>
      </c>
      <c r="P199" s="9">
        <f>IF('[1]Game Input'!$AP199&lt;&gt;"",'[1]Game Input'!$AP199,"")</f>
        <v>0</v>
      </c>
      <c r="Q199" s="9">
        <f>IF('[1]Game Input'!$AQ199&lt;&gt;"",'[1]Game Input'!$AQ199,"")</f>
        <v>0</v>
      </c>
      <c r="R199" s="9">
        <f>IF('[1]Game Input'!$AR199&lt;&gt;"",'[1]Game Input'!$AR199,"")</f>
        <v>0</v>
      </c>
      <c r="S199" s="9">
        <f>IF('[1]Game Input'!$AS199&lt;&gt;"",'[1]Game Input'!$AS199,"")</f>
        <v>0</v>
      </c>
      <c r="T199" s="10" t="str">
        <f>IF('[1]Game Input'!$BA199&lt;&gt;"",'[1]Game Input'!$BA199,"")</f>
        <v>LINCOLN</v>
      </c>
      <c r="U199" s="9">
        <f>IF('[1]Game Input'!$BU199&lt;&gt;"",'[1]Game Input'!$BU199,"")</f>
        <v>12</v>
      </c>
      <c r="V199" s="9">
        <f>IF('[1]Game Input'!$BV199&lt;&gt;"",'[1]Game Input'!$BV199,"")</f>
        <v>6</v>
      </c>
      <c r="W199" s="9">
        <f>IF('[1]Game Input'!$CB199&lt;&gt;"",'[1]Game Input'!$CB199,"")</f>
        <v>0</v>
      </c>
      <c r="X199" s="9">
        <f>IF('[1]Game Input'!$CC199&lt;&gt;"",'[1]Game Input'!$CC199,"")</f>
        <v>0</v>
      </c>
      <c r="Y199" s="9">
        <f>IF('[1]Game Input'!$CF199&lt;&gt;"",'[1]Game Input'!$CF199,"")</f>
        <v>6</v>
      </c>
      <c r="Z199" s="9">
        <f>IF('[1]Game Input'!$CG199&lt;&gt;"",'[1]Game Input'!$CG199,"")</f>
        <v>0</v>
      </c>
      <c r="AA199" s="9">
        <f>IF('[1]Game Input'!$CH199&lt;&gt;"",'[1]Game Input'!$CH199,"")</f>
        <v>0</v>
      </c>
      <c r="AB199" s="9">
        <f>IF('[1]Game Input'!$CI199&lt;&gt;"",'[1]Game Input'!$CI199,"")</f>
        <v>0</v>
      </c>
      <c r="AC199" s="9">
        <f>IF('[1]Game Input'!$CJ199&lt;&gt;"",'[1]Game Input'!$CJ199,"")</f>
        <v>0</v>
      </c>
      <c r="AD199" s="9">
        <f>IF('[1]Game Input'!$CK199&lt;&gt;"",'[1]Game Input'!$CK199,"")</f>
        <v>0</v>
      </c>
      <c r="AE199" s="8"/>
      <c r="AF199" s="8"/>
      <c r="AG199" s="8"/>
      <c r="AH199" s="8"/>
    </row>
    <row r="200" spans="1:34" x14ac:dyDescent="0.2">
      <c r="A200" s="6">
        <f>IF('[1]Game Input'!$A200&lt;&gt;"",'[1]Game Input'!$A200,"")</f>
        <v>43448</v>
      </c>
      <c r="B200" s="6" t="str">
        <f>IF(A200&gt;$B$1,VLOOKUP(MONTH($A200),DOTWMonth,2,FALSE),"")</f>
        <v>December</v>
      </c>
      <c r="C200" s="10" t="str">
        <f>IF(A200&gt;$B$1,VLOOKUP(WEEKDAY($A200),DOTWMonth,3,FALSE),"")</f>
        <v>Friday</v>
      </c>
      <c r="D200" s="7">
        <f>IF('[1]Game Input'!$B200&lt;&gt;"",'[1]Game Input'!$B200,"")</f>
        <v>0.83680555555555547</v>
      </c>
      <c r="E200" s="7">
        <f>IF('[1]Game Input'!$C200&lt;&gt;"",'[1]Game Input'!$C200,"")</f>
        <v>0.79513888888888884</v>
      </c>
      <c r="F200" s="8" t="str">
        <f>IF('[1]Game Input'!$D200&lt;&gt;"",'[1]Game Input'!$D200,"")</f>
        <v>Standard</v>
      </c>
      <c r="G200" s="8" t="str">
        <f>IF('[1]Game Input'!$G200&lt;&gt;"",'[1]Game Input'!$G200,"")</f>
        <v>CR @ MAD</v>
      </c>
      <c r="H200" s="8" t="str">
        <f>IF('[1]Game Input'!$H200&lt;&gt;"",'[1]Game Input'!$H200,"")</f>
        <v>Vs. Conference</v>
      </c>
      <c r="I200" s="8" t="str">
        <f>IF('[1]Game Input'!$I200&lt;&gt;"",'[1]Game Input'!$I200,"")</f>
        <v>CEDAR RAPIDS</v>
      </c>
      <c r="J200" s="9">
        <f>IF('[1]Game Input'!$AC200&lt;&gt;"",'[1]Game Input'!$AC200,"")</f>
        <v>23</v>
      </c>
      <c r="K200" s="9">
        <f>IF('[1]Game Input'!$AD200&lt;&gt;"",'[1]Game Input'!$AD200,"")</f>
        <v>6</v>
      </c>
      <c r="L200" s="9">
        <f>IF('[1]Game Input'!$AJ200&lt;&gt;"",'[1]Game Input'!$AJ200,"")</f>
        <v>0</v>
      </c>
      <c r="M200" s="9">
        <f>IF('[1]Game Input'!$AK200&lt;&gt;"",'[1]Game Input'!$AK200,"")</f>
        <v>0</v>
      </c>
      <c r="N200" s="9">
        <f>IF('[1]Game Input'!$AN200&lt;&gt;"",'[1]Game Input'!$AN200,"")</f>
        <v>4</v>
      </c>
      <c r="O200" s="9">
        <f>IF('[1]Game Input'!$AO200&lt;&gt;"",'[1]Game Input'!$AO200,"")</f>
        <v>1</v>
      </c>
      <c r="P200" s="9">
        <f>IF('[1]Game Input'!$AP200&lt;&gt;"",'[1]Game Input'!$AP200,"")</f>
        <v>1</v>
      </c>
      <c r="Q200" s="9">
        <f>IF('[1]Game Input'!$AQ200&lt;&gt;"",'[1]Game Input'!$AQ200,"")</f>
        <v>0</v>
      </c>
      <c r="R200" s="9">
        <f>IF('[1]Game Input'!$AR200&lt;&gt;"",'[1]Game Input'!$AR200,"")</f>
        <v>0</v>
      </c>
      <c r="S200" s="9">
        <f>IF('[1]Game Input'!$AS200&lt;&gt;"",'[1]Game Input'!$AS200,"")</f>
        <v>0</v>
      </c>
      <c r="T200" s="10" t="str">
        <f>IF('[1]Game Input'!$BA200&lt;&gt;"",'[1]Game Input'!$BA200,"")</f>
        <v>MADISON</v>
      </c>
      <c r="U200" s="9">
        <f>IF('[1]Game Input'!$BU200&lt;&gt;"",'[1]Game Input'!$BU200,"")</f>
        <v>25</v>
      </c>
      <c r="V200" s="9">
        <f>IF('[1]Game Input'!$BV200&lt;&gt;"",'[1]Game Input'!$BV200,"")</f>
        <v>7</v>
      </c>
      <c r="W200" s="9">
        <f>IF('[1]Game Input'!$CB200&lt;&gt;"",'[1]Game Input'!$CB200,"")</f>
        <v>0</v>
      </c>
      <c r="X200" s="9">
        <f>IF('[1]Game Input'!$CC200&lt;&gt;"",'[1]Game Input'!$CC200,"")</f>
        <v>0</v>
      </c>
      <c r="Y200" s="9">
        <f>IF('[1]Game Input'!$CF200&lt;&gt;"",'[1]Game Input'!$CF200,"")</f>
        <v>5</v>
      </c>
      <c r="Z200" s="9">
        <f>IF('[1]Game Input'!$CG200&lt;&gt;"",'[1]Game Input'!$CG200,"")</f>
        <v>1</v>
      </c>
      <c r="AA200" s="9">
        <f>IF('[1]Game Input'!$CH200&lt;&gt;"",'[1]Game Input'!$CH200,"")</f>
        <v>1</v>
      </c>
      <c r="AB200" s="9">
        <f>IF('[1]Game Input'!$CI200&lt;&gt;"",'[1]Game Input'!$CI200,"")</f>
        <v>0</v>
      </c>
      <c r="AC200" s="9">
        <f>IF('[1]Game Input'!$CJ200&lt;&gt;"",'[1]Game Input'!$CJ200,"")</f>
        <v>0</v>
      </c>
      <c r="AD200" s="9">
        <f>IF('[1]Game Input'!$CK200&lt;&gt;"",'[1]Game Input'!$CK200,"")</f>
        <v>0</v>
      </c>
      <c r="AE200" s="8" t="s">
        <v>152</v>
      </c>
      <c r="AF200" s="8"/>
      <c r="AG200" s="8" t="s">
        <v>108</v>
      </c>
      <c r="AH200" s="8" t="s">
        <v>118</v>
      </c>
    </row>
    <row r="201" spans="1:34" x14ac:dyDescent="0.2">
      <c r="A201" s="6">
        <f>IF('[1]Game Input'!$A201&lt;&gt;"",'[1]Game Input'!$A201,"")</f>
        <v>43448</v>
      </c>
      <c r="B201" s="6" t="str">
        <f>IF(A201&gt;$B$1,VLOOKUP(MONTH($A201),DOTWMonth,2,FALSE),"")</f>
        <v>December</v>
      </c>
      <c r="C201" s="10" t="str">
        <f>IF(A201&gt;$B$1,VLOOKUP(WEEKDAY($A201),DOTWMonth,3,FALSE),"")</f>
        <v>Friday</v>
      </c>
      <c r="D201" s="7">
        <f>IF('[1]Game Input'!$B201&lt;&gt;"",'[1]Game Input'!$B201,"")</f>
        <v>0.83680555555555547</v>
      </c>
      <c r="E201" s="7">
        <f>IF('[1]Game Input'!$C201&lt;&gt;"",'[1]Game Input'!$C201,"")</f>
        <v>0.79513888888888884</v>
      </c>
      <c r="F201" s="8" t="str">
        <f>IF('[1]Game Input'!$D201&lt;&gt;"",'[1]Game Input'!$D201,"")</f>
        <v>Standard</v>
      </c>
      <c r="G201" s="8" t="str">
        <f>IF('[1]Game Input'!$G201&lt;&gt;"",'[1]Game Input'!$G201,"")</f>
        <v>CIL @ DM</v>
      </c>
      <c r="H201" s="8" t="str">
        <f>IF('[1]Game Input'!$H201&lt;&gt;"",'[1]Game Input'!$H201,"")</f>
        <v>Vs. Non-Conference</v>
      </c>
      <c r="I201" s="8" t="str">
        <f>IF('[1]Game Input'!$I201&lt;&gt;"",'[1]Game Input'!$I201,"")</f>
        <v>CENTRAL ILLINOIS</v>
      </c>
      <c r="J201" s="9">
        <f>IF('[1]Game Input'!$AC201&lt;&gt;"",'[1]Game Input'!$AC201,"")</f>
        <v>8</v>
      </c>
      <c r="K201" s="9">
        <f>IF('[1]Game Input'!$AD201&lt;&gt;"",'[1]Game Input'!$AD201,"")</f>
        <v>4</v>
      </c>
      <c r="L201" s="9">
        <f>IF('[1]Game Input'!$AJ201&lt;&gt;"",'[1]Game Input'!$AJ201,"")</f>
        <v>0</v>
      </c>
      <c r="M201" s="9">
        <f>IF('[1]Game Input'!$AK201&lt;&gt;"",'[1]Game Input'!$AK201,"")</f>
        <v>0</v>
      </c>
      <c r="N201" s="9">
        <f>IF('[1]Game Input'!$AN201&lt;&gt;"",'[1]Game Input'!$AN201,"")</f>
        <v>4</v>
      </c>
      <c r="O201" s="9">
        <f>IF('[1]Game Input'!$AO201&lt;&gt;"",'[1]Game Input'!$AO201,"")</f>
        <v>0</v>
      </c>
      <c r="P201" s="9">
        <f>IF('[1]Game Input'!$AP201&lt;&gt;"",'[1]Game Input'!$AP201,"")</f>
        <v>0</v>
      </c>
      <c r="Q201" s="9">
        <f>IF('[1]Game Input'!$AQ201&lt;&gt;"",'[1]Game Input'!$AQ201,"")</f>
        <v>0</v>
      </c>
      <c r="R201" s="9">
        <f>IF('[1]Game Input'!$AR201&lt;&gt;"",'[1]Game Input'!$AR201,"")</f>
        <v>0</v>
      </c>
      <c r="S201" s="9">
        <f>IF('[1]Game Input'!$AS201&lt;&gt;"",'[1]Game Input'!$AS201,"")</f>
        <v>0</v>
      </c>
      <c r="T201" s="10" t="str">
        <f>IF('[1]Game Input'!$BA201&lt;&gt;"",'[1]Game Input'!$BA201,"")</f>
        <v>DES MOINES</v>
      </c>
      <c r="U201" s="9">
        <f>IF('[1]Game Input'!$BU201&lt;&gt;"",'[1]Game Input'!$BU201,"")</f>
        <v>12</v>
      </c>
      <c r="V201" s="9">
        <f>IF('[1]Game Input'!$BV201&lt;&gt;"",'[1]Game Input'!$BV201,"")</f>
        <v>6</v>
      </c>
      <c r="W201" s="9">
        <f>IF('[1]Game Input'!$CB201&lt;&gt;"",'[1]Game Input'!$CB201,"")</f>
        <v>0</v>
      </c>
      <c r="X201" s="9">
        <f>IF('[1]Game Input'!$CC201&lt;&gt;"",'[1]Game Input'!$CC201,"")</f>
        <v>0</v>
      </c>
      <c r="Y201" s="9">
        <f>IF('[1]Game Input'!$CF201&lt;&gt;"",'[1]Game Input'!$CF201,"")</f>
        <v>6</v>
      </c>
      <c r="Z201" s="9">
        <f>IF('[1]Game Input'!$CG201&lt;&gt;"",'[1]Game Input'!$CG201,"")</f>
        <v>0</v>
      </c>
      <c r="AA201" s="9">
        <f>IF('[1]Game Input'!$CH201&lt;&gt;"",'[1]Game Input'!$CH201,"")</f>
        <v>0</v>
      </c>
      <c r="AB201" s="9">
        <f>IF('[1]Game Input'!$CI201&lt;&gt;"",'[1]Game Input'!$CI201,"")</f>
        <v>0</v>
      </c>
      <c r="AC201" s="9">
        <f>IF('[1]Game Input'!$CJ201&lt;&gt;"",'[1]Game Input'!$CJ201,"")</f>
        <v>0</v>
      </c>
      <c r="AD201" s="9">
        <f>IF('[1]Game Input'!$CK201&lt;&gt;"",'[1]Game Input'!$CK201,"")</f>
        <v>0</v>
      </c>
      <c r="AE201" s="8" t="s">
        <v>98</v>
      </c>
      <c r="AF201" s="8" t="s">
        <v>102</v>
      </c>
      <c r="AG201" s="8" t="s">
        <v>120</v>
      </c>
      <c r="AH201" s="8" t="s">
        <v>122</v>
      </c>
    </row>
    <row r="202" spans="1:34" x14ac:dyDescent="0.2">
      <c r="A202" s="6">
        <f>IF('[1]Game Input'!$A202&lt;&gt;"",'[1]Game Input'!$A202,"")</f>
        <v>43448</v>
      </c>
      <c r="B202" s="6" t="str">
        <f>IF(A202&gt;$B$1,VLOOKUP(MONTH($A202),DOTWMonth,2,FALSE),"")</f>
        <v>December</v>
      </c>
      <c r="C202" s="10" t="str">
        <f>IF(A202&gt;$B$1,VLOOKUP(WEEKDAY($A202),DOTWMonth,3,FALSE),"")</f>
        <v>Friday</v>
      </c>
      <c r="D202" s="7">
        <f>IF('[1]Game Input'!$B202&lt;&gt;"",'[1]Game Input'!$B202,"")</f>
        <v>0.83680555555555547</v>
      </c>
      <c r="E202" s="7">
        <f>IF('[1]Game Input'!$C202&lt;&gt;"",'[1]Game Input'!$C202,"")</f>
        <v>0.79513888888888884</v>
      </c>
      <c r="F202" s="8" t="str">
        <f>IF('[1]Game Input'!$D202&lt;&gt;"",'[1]Game Input'!$D202,"")</f>
        <v>Standard</v>
      </c>
      <c r="G202" s="8" t="str">
        <f>IF('[1]Game Input'!$G202&lt;&gt;"",'[1]Game Input'!$G202,"")</f>
        <v>DUB @ SC</v>
      </c>
      <c r="H202" s="8" t="str">
        <f>IF('[1]Game Input'!$H202&lt;&gt;"",'[1]Game Input'!$H202,"")</f>
        <v>Vs. Non-Conference</v>
      </c>
      <c r="I202" s="8" t="str">
        <f>IF('[1]Game Input'!$I202&lt;&gt;"",'[1]Game Input'!$I202,"")</f>
        <v>DUBUQUE</v>
      </c>
      <c r="J202" s="9">
        <f>IF('[1]Game Input'!$AC202&lt;&gt;"",'[1]Game Input'!$AC202,"")</f>
        <v>4</v>
      </c>
      <c r="K202" s="9">
        <f>IF('[1]Game Input'!$AD202&lt;&gt;"",'[1]Game Input'!$AD202,"")</f>
        <v>2</v>
      </c>
      <c r="L202" s="9">
        <f>IF('[1]Game Input'!$AJ202&lt;&gt;"",'[1]Game Input'!$AJ202,"")</f>
        <v>0</v>
      </c>
      <c r="M202" s="9">
        <f>IF('[1]Game Input'!$AK202&lt;&gt;"",'[1]Game Input'!$AK202,"")</f>
        <v>0</v>
      </c>
      <c r="N202" s="9">
        <f>IF('[1]Game Input'!$AN202&lt;&gt;"",'[1]Game Input'!$AN202,"")</f>
        <v>2</v>
      </c>
      <c r="O202" s="9">
        <f>IF('[1]Game Input'!$AO202&lt;&gt;"",'[1]Game Input'!$AO202,"")</f>
        <v>0</v>
      </c>
      <c r="P202" s="9">
        <f>IF('[1]Game Input'!$AP202&lt;&gt;"",'[1]Game Input'!$AP202,"")</f>
        <v>0</v>
      </c>
      <c r="Q202" s="9">
        <f>IF('[1]Game Input'!$AQ202&lt;&gt;"",'[1]Game Input'!$AQ202,"")</f>
        <v>0</v>
      </c>
      <c r="R202" s="9">
        <f>IF('[1]Game Input'!$AR202&lt;&gt;"",'[1]Game Input'!$AR202,"")</f>
        <v>0</v>
      </c>
      <c r="S202" s="9">
        <f>IF('[1]Game Input'!$AS202&lt;&gt;"",'[1]Game Input'!$AS202,"")</f>
        <v>0</v>
      </c>
      <c r="T202" s="10" t="str">
        <f>IF('[1]Game Input'!$BA202&lt;&gt;"",'[1]Game Input'!$BA202,"")</f>
        <v>SIOUX CITY</v>
      </c>
      <c r="U202" s="9">
        <f>IF('[1]Game Input'!$BU202&lt;&gt;"",'[1]Game Input'!$BU202,"")</f>
        <v>6</v>
      </c>
      <c r="V202" s="9">
        <f>IF('[1]Game Input'!$BV202&lt;&gt;"",'[1]Game Input'!$BV202,"")</f>
        <v>3</v>
      </c>
      <c r="W202" s="9">
        <f>IF('[1]Game Input'!$CB202&lt;&gt;"",'[1]Game Input'!$CB202,"")</f>
        <v>0</v>
      </c>
      <c r="X202" s="9">
        <f>IF('[1]Game Input'!$CC202&lt;&gt;"",'[1]Game Input'!$CC202,"")</f>
        <v>0</v>
      </c>
      <c r="Y202" s="9">
        <f>IF('[1]Game Input'!$CF202&lt;&gt;"",'[1]Game Input'!$CF202,"")</f>
        <v>3</v>
      </c>
      <c r="Z202" s="9">
        <f>IF('[1]Game Input'!$CG202&lt;&gt;"",'[1]Game Input'!$CG202,"")</f>
        <v>0</v>
      </c>
      <c r="AA202" s="9">
        <f>IF('[1]Game Input'!$CH202&lt;&gt;"",'[1]Game Input'!$CH202,"")</f>
        <v>0</v>
      </c>
      <c r="AB202" s="9">
        <f>IF('[1]Game Input'!$CI202&lt;&gt;"",'[1]Game Input'!$CI202,"")</f>
        <v>0</v>
      </c>
      <c r="AC202" s="9">
        <f>IF('[1]Game Input'!$CJ202&lt;&gt;"",'[1]Game Input'!$CJ202,"")</f>
        <v>0</v>
      </c>
      <c r="AD202" s="9">
        <f>IF('[1]Game Input'!$CK202&lt;&gt;"",'[1]Game Input'!$CK202,"")</f>
        <v>0</v>
      </c>
      <c r="AE202" s="8"/>
      <c r="AF202" s="8"/>
      <c r="AG202" s="8"/>
      <c r="AH202" s="8"/>
    </row>
    <row r="203" spans="1:34" x14ac:dyDescent="0.2">
      <c r="A203" s="6">
        <f>IF('[1]Game Input'!$A203&lt;&gt;"",'[1]Game Input'!$A203,"")</f>
        <v>43448</v>
      </c>
      <c r="B203" s="6" t="str">
        <f>IF(A203&gt;$B$1,VLOOKUP(MONTH($A203),DOTWMonth,2,FALSE),"")</f>
        <v>December</v>
      </c>
      <c r="C203" s="10" t="str">
        <f>IF(A203&gt;$B$1,VLOOKUP(WEEKDAY($A203),DOTWMonth,3,FALSE),"")</f>
        <v>Friday</v>
      </c>
      <c r="D203" s="7">
        <f>IF('[1]Game Input'!$B203&lt;&gt;"",'[1]Game Input'!$B203,"")</f>
        <v>0.83680555555555547</v>
      </c>
      <c r="E203" s="7">
        <f>IF('[1]Game Input'!$C203&lt;&gt;"",'[1]Game Input'!$C203,"")</f>
        <v>0.79513888888888884</v>
      </c>
      <c r="F203" s="8" t="str">
        <f>IF('[1]Game Input'!$D203&lt;&gt;"",'[1]Game Input'!$D203,"")</f>
        <v>Standard</v>
      </c>
      <c r="G203" s="8" t="str">
        <f>IF('[1]Game Input'!$G203&lt;&gt;"",'[1]Game Input'!$G203,"")</f>
        <v>GB @ SF</v>
      </c>
      <c r="H203" s="8" t="str">
        <f>IF('[1]Game Input'!$H203&lt;&gt;"",'[1]Game Input'!$H203,"")</f>
        <v>Vs. Non-Conference</v>
      </c>
      <c r="I203" s="8" t="str">
        <f>IF('[1]Game Input'!$I203&lt;&gt;"",'[1]Game Input'!$I203,"")</f>
        <v>GREEN BAY</v>
      </c>
      <c r="J203" s="9">
        <f>IF('[1]Game Input'!$AC203&lt;&gt;"",'[1]Game Input'!$AC203,"")</f>
        <v>10</v>
      </c>
      <c r="K203" s="9">
        <f>IF('[1]Game Input'!$AD203&lt;&gt;"",'[1]Game Input'!$AD203,"")</f>
        <v>5</v>
      </c>
      <c r="L203" s="9">
        <f>IF('[1]Game Input'!$AJ203&lt;&gt;"",'[1]Game Input'!$AJ203,"")</f>
        <v>0</v>
      </c>
      <c r="M203" s="9">
        <f>IF('[1]Game Input'!$AK203&lt;&gt;"",'[1]Game Input'!$AK203,"")</f>
        <v>0</v>
      </c>
      <c r="N203" s="9">
        <f>IF('[1]Game Input'!$AN203&lt;&gt;"",'[1]Game Input'!$AN203,"")</f>
        <v>5</v>
      </c>
      <c r="O203" s="9">
        <f>IF('[1]Game Input'!$AO203&lt;&gt;"",'[1]Game Input'!$AO203,"")</f>
        <v>0</v>
      </c>
      <c r="P203" s="9">
        <f>IF('[1]Game Input'!$AP203&lt;&gt;"",'[1]Game Input'!$AP203,"")</f>
        <v>0</v>
      </c>
      <c r="Q203" s="9">
        <f>IF('[1]Game Input'!$AQ203&lt;&gt;"",'[1]Game Input'!$AQ203,"")</f>
        <v>0</v>
      </c>
      <c r="R203" s="9">
        <f>IF('[1]Game Input'!$AR203&lt;&gt;"",'[1]Game Input'!$AR203,"")</f>
        <v>0</v>
      </c>
      <c r="S203" s="9">
        <f>IF('[1]Game Input'!$AS203&lt;&gt;"",'[1]Game Input'!$AS203,"")</f>
        <v>0</v>
      </c>
      <c r="T203" s="10" t="str">
        <f>IF('[1]Game Input'!$BA203&lt;&gt;"",'[1]Game Input'!$BA203,"")</f>
        <v>SIOUX FALLS</v>
      </c>
      <c r="U203" s="9">
        <f>IF('[1]Game Input'!$BU203&lt;&gt;"",'[1]Game Input'!$BU203,"")</f>
        <v>6</v>
      </c>
      <c r="V203" s="9">
        <f>IF('[1]Game Input'!$BV203&lt;&gt;"",'[1]Game Input'!$BV203,"")</f>
        <v>3</v>
      </c>
      <c r="W203" s="9">
        <f>IF('[1]Game Input'!$CB203&lt;&gt;"",'[1]Game Input'!$CB203,"")</f>
        <v>0</v>
      </c>
      <c r="X203" s="9">
        <f>IF('[1]Game Input'!$CC203&lt;&gt;"",'[1]Game Input'!$CC203,"")</f>
        <v>0</v>
      </c>
      <c r="Y203" s="9">
        <f>IF('[1]Game Input'!$CF203&lt;&gt;"",'[1]Game Input'!$CF203,"")</f>
        <v>3</v>
      </c>
      <c r="Z203" s="9">
        <f>IF('[1]Game Input'!$CG203&lt;&gt;"",'[1]Game Input'!$CG203,"")</f>
        <v>0</v>
      </c>
      <c r="AA203" s="9">
        <f>IF('[1]Game Input'!$CH203&lt;&gt;"",'[1]Game Input'!$CH203,"")</f>
        <v>0</v>
      </c>
      <c r="AB203" s="9">
        <f>IF('[1]Game Input'!$CI203&lt;&gt;"",'[1]Game Input'!$CI203,"")</f>
        <v>0</v>
      </c>
      <c r="AC203" s="9">
        <f>IF('[1]Game Input'!$CJ203&lt;&gt;"",'[1]Game Input'!$CJ203,"")</f>
        <v>0</v>
      </c>
      <c r="AD203" s="9">
        <f>IF('[1]Game Input'!$CK203&lt;&gt;"",'[1]Game Input'!$CK203,"")</f>
        <v>0</v>
      </c>
      <c r="AE203" s="8"/>
      <c r="AF203" s="8"/>
      <c r="AG203" s="8"/>
      <c r="AH203" s="8"/>
    </row>
    <row r="204" spans="1:34" x14ac:dyDescent="0.2">
      <c r="A204" s="6">
        <f>IF('[1]Game Input'!$A204&lt;&gt;"",'[1]Game Input'!$A204,"")</f>
        <v>43448</v>
      </c>
      <c r="B204" s="6" t="str">
        <f>IF(A204&gt;$B$1,VLOOKUP(MONTH($A204),DOTWMonth,2,FALSE),"")</f>
        <v>December</v>
      </c>
      <c r="C204" s="10" t="str">
        <f>IF(A204&gt;$B$1,VLOOKUP(WEEKDAY($A204),DOTWMonth,3,FALSE),"")</f>
        <v>Friday</v>
      </c>
      <c r="D204" s="7">
        <f>IF('[1]Game Input'!$B204&lt;&gt;"",'[1]Game Input'!$B204,"")</f>
        <v>0.85763888888888884</v>
      </c>
      <c r="E204" s="7">
        <f>IF('[1]Game Input'!$C204&lt;&gt;"",'[1]Game Input'!$C204,"")</f>
        <v>0.81597222222222221</v>
      </c>
      <c r="F204" s="8" t="str">
        <f>IF('[1]Game Input'!$D204&lt;&gt;"",'[1]Game Input'!$D204,"")</f>
        <v>Standard</v>
      </c>
      <c r="G204" s="8" t="str">
        <f>IF('[1]Game Input'!$G204&lt;&gt;"",'[1]Game Input'!$G204,"")</f>
        <v>MUS @ OMA</v>
      </c>
      <c r="H204" s="8" t="str">
        <f>IF('[1]Game Input'!$H204&lt;&gt;"",'[1]Game Input'!$H204,"")</f>
        <v>Vs. Non-Conference</v>
      </c>
      <c r="I204" s="8" t="str">
        <f>IF('[1]Game Input'!$I204&lt;&gt;"",'[1]Game Input'!$I204,"")</f>
        <v>MUSKEGON</v>
      </c>
      <c r="J204" s="9">
        <f>IF('[1]Game Input'!$AC204&lt;&gt;"",'[1]Game Input'!$AC204,"")</f>
        <v>12</v>
      </c>
      <c r="K204" s="9">
        <f>IF('[1]Game Input'!$AD204&lt;&gt;"",'[1]Game Input'!$AD204,"")</f>
        <v>6</v>
      </c>
      <c r="L204" s="9">
        <f>IF('[1]Game Input'!$AJ204&lt;&gt;"",'[1]Game Input'!$AJ204,"")</f>
        <v>0</v>
      </c>
      <c r="M204" s="9">
        <f>IF('[1]Game Input'!$AK204&lt;&gt;"",'[1]Game Input'!$AK204,"")</f>
        <v>0</v>
      </c>
      <c r="N204" s="9">
        <f>IF('[1]Game Input'!$AN204&lt;&gt;"",'[1]Game Input'!$AN204,"")</f>
        <v>6</v>
      </c>
      <c r="O204" s="9">
        <f>IF('[1]Game Input'!$AO204&lt;&gt;"",'[1]Game Input'!$AO204,"")</f>
        <v>0</v>
      </c>
      <c r="P204" s="9">
        <f>IF('[1]Game Input'!$AP204&lt;&gt;"",'[1]Game Input'!$AP204,"")</f>
        <v>0</v>
      </c>
      <c r="Q204" s="9">
        <f>IF('[1]Game Input'!$AQ204&lt;&gt;"",'[1]Game Input'!$AQ204,"")</f>
        <v>0</v>
      </c>
      <c r="R204" s="9">
        <f>IF('[1]Game Input'!$AR204&lt;&gt;"",'[1]Game Input'!$AR204,"")</f>
        <v>0</v>
      </c>
      <c r="S204" s="9">
        <f>IF('[1]Game Input'!$AS204&lt;&gt;"",'[1]Game Input'!$AS204,"")</f>
        <v>0</v>
      </c>
      <c r="T204" s="10" t="str">
        <f>IF('[1]Game Input'!$BA204&lt;&gt;"",'[1]Game Input'!$BA204,"")</f>
        <v>OMAHA</v>
      </c>
      <c r="U204" s="9">
        <f>IF('[1]Game Input'!$BU204&lt;&gt;"",'[1]Game Input'!$BU204,"")</f>
        <v>8</v>
      </c>
      <c r="V204" s="9">
        <f>IF('[1]Game Input'!$BV204&lt;&gt;"",'[1]Game Input'!$BV204,"")</f>
        <v>4</v>
      </c>
      <c r="W204" s="9">
        <f>IF('[1]Game Input'!$CB204&lt;&gt;"",'[1]Game Input'!$CB204,"")</f>
        <v>0</v>
      </c>
      <c r="X204" s="9">
        <f>IF('[1]Game Input'!$CC204&lt;&gt;"",'[1]Game Input'!$CC204,"")</f>
        <v>0</v>
      </c>
      <c r="Y204" s="9">
        <f>IF('[1]Game Input'!$CF204&lt;&gt;"",'[1]Game Input'!$CF204,"")</f>
        <v>4</v>
      </c>
      <c r="Z204" s="9">
        <f>IF('[1]Game Input'!$CG204&lt;&gt;"",'[1]Game Input'!$CG204,"")</f>
        <v>0</v>
      </c>
      <c r="AA204" s="9">
        <f>IF('[1]Game Input'!$CH204&lt;&gt;"",'[1]Game Input'!$CH204,"")</f>
        <v>0</v>
      </c>
      <c r="AB204" s="9">
        <f>IF('[1]Game Input'!$CI204&lt;&gt;"",'[1]Game Input'!$CI204,"")</f>
        <v>0</v>
      </c>
      <c r="AC204" s="9">
        <f>IF('[1]Game Input'!$CJ204&lt;&gt;"",'[1]Game Input'!$CJ204,"")</f>
        <v>0</v>
      </c>
      <c r="AD204" s="9">
        <f>IF('[1]Game Input'!$CK204&lt;&gt;"",'[1]Game Input'!$CK204,"")</f>
        <v>0</v>
      </c>
      <c r="AE204" s="8"/>
      <c r="AF204" s="8"/>
      <c r="AG204" s="8"/>
      <c r="AH204" s="8"/>
    </row>
    <row r="205" spans="1:34" x14ac:dyDescent="0.2">
      <c r="A205" s="6">
        <f>IF('[1]Game Input'!$A205&lt;&gt;"",'[1]Game Input'!$A205,"")</f>
        <v>43449</v>
      </c>
      <c r="B205" s="6" t="str">
        <f>IF(A205&gt;$B$1,VLOOKUP(MONTH($A205),DOTWMonth,2,FALSE),"")</f>
        <v>December</v>
      </c>
      <c r="C205" s="10" t="str">
        <f>IF(A205&gt;$B$1,VLOOKUP(WEEKDAY($A205),DOTWMonth,3,FALSE),"")</f>
        <v>Saturday</v>
      </c>
      <c r="D205" s="7">
        <f>IF('[1]Game Input'!$B205&lt;&gt;"",'[1]Game Input'!$B205,"")</f>
        <v>0.79513888888888884</v>
      </c>
      <c r="E205" s="7">
        <f>IF('[1]Game Input'!$C205&lt;&gt;"",'[1]Game Input'!$C205,"")</f>
        <v>0.75347222222222221</v>
      </c>
      <c r="F205" s="8" t="str">
        <f>IF('[1]Game Input'!$D205&lt;&gt;"",'[1]Game Input'!$D205,"")</f>
        <v>Standard</v>
      </c>
      <c r="G205" s="8" t="str">
        <f>IF('[1]Game Input'!$G205&lt;&gt;"",'[1]Game Input'!$G205,"")</f>
        <v>CHI @ YNG</v>
      </c>
      <c r="H205" s="8" t="str">
        <f>IF('[1]Game Input'!$H205&lt;&gt;"",'[1]Game Input'!$H205,"")</f>
        <v>Vs. Conference</v>
      </c>
      <c r="I205" s="8" t="str">
        <f>IF('[1]Game Input'!$I205&lt;&gt;"",'[1]Game Input'!$I205,"")</f>
        <v>CHICAGO</v>
      </c>
      <c r="J205" s="9">
        <f>IF('[1]Game Input'!$AC205&lt;&gt;"",'[1]Game Input'!$AC205,"")</f>
        <v>47</v>
      </c>
      <c r="K205" s="9">
        <f>IF('[1]Game Input'!$AD205&lt;&gt;"",'[1]Game Input'!$AD205,"")</f>
        <v>14</v>
      </c>
      <c r="L205" s="9">
        <f>IF('[1]Game Input'!$AJ205&lt;&gt;"",'[1]Game Input'!$AJ205,"")</f>
        <v>0</v>
      </c>
      <c r="M205" s="9">
        <f>IF('[1]Game Input'!$AK205&lt;&gt;"",'[1]Game Input'!$AK205,"")</f>
        <v>0</v>
      </c>
      <c r="N205" s="9">
        <f>IF('[1]Game Input'!$AN205&lt;&gt;"",'[1]Game Input'!$AN205,"")</f>
        <v>11</v>
      </c>
      <c r="O205" s="9">
        <f>IF('[1]Game Input'!$AO205&lt;&gt;"",'[1]Game Input'!$AO205,"")</f>
        <v>1</v>
      </c>
      <c r="P205" s="9">
        <f>IF('[1]Game Input'!$AP205&lt;&gt;"",'[1]Game Input'!$AP205,"")</f>
        <v>2</v>
      </c>
      <c r="Q205" s="9">
        <f>IF('[1]Game Input'!$AQ205&lt;&gt;"",'[1]Game Input'!$AQ205,"")</f>
        <v>0</v>
      </c>
      <c r="R205" s="9">
        <f>IF('[1]Game Input'!$AR205&lt;&gt;"",'[1]Game Input'!$AR205,"")</f>
        <v>0</v>
      </c>
      <c r="S205" s="9">
        <f>IF('[1]Game Input'!$AS205&lt;&gt;"",'[1]Game Input'!$AS205,"")</f>
        <v>0</v>
      </c>
      <c r="T205" s="10" t="str">
        <f>IF('[1]Game Input'!$BA205&lt;&gt;"",'[1]Game Input'!$BA205,"")</f>
        <v>YOUNGSTOWN</v>
      </c>
      <c r="U205" s="9">
        <f>IF('[1]Game Input'!$BU205&lt;&gt;"",'[1]Game Input'!$BU205,"")</f>
        <v>51</v>
      </c>
      <c r="V205" s="9">
        <f>IF('[1]Game Input'!$BV205&lt;&gt;"",'[1]Game Input'!$BV205,"")</f>
        <v>12</v>
      </c>
      <c r="W205" s="9">
        <f>IF('[1]Game Input'!$CB205&lt;&gt;"",'[1]Game Input'!$CB205,"")</f>
        <v>0</v>
      </c>
      <c r="X205" s="9">
        <f>IF('[1]Game Input'!$CC205&lt;&gt;"",'[1]Game Input'!$CC205,"")</f>
        <v>0</v>
      </c>
      <c r="Y205" s="9">
        <f>IF('[1]Game Input'!$CF205&lt;&gt;"",'[1]Game Input'!$CF205,"")</f>
        <v>8</v>
      </c>
      <c r="Z205" s="9">
        <f>IF('[1]Game Input'!$CG205&lt;&gt;"",'[1]Game Input'!$CG205,"")</f>
        <v>1</v>
      </c>
      <c r="AA205" s="9">
        <f>IF('[1]Game Input'!$CH205&lt;&gt;"",'[1]Game Input'!$CH205,"")</f>
        <v>3</v>
      </c>
      <c r="AB205" s="9">
        <f>IF('[1]Game Input'!$CI205&lt;&gt;"",'[1]Game Input'!$CI205,"")</f>
        <v>0</v>
      </c>
      <c r="AC205" s="9">
        <f>IF('[1]Game Input'!$CJ205&lt;&gt;"",'[1]Game Input'!$CJ205,"")</f>
        <v>0</v>
      </c>
      <c r="AD205" s="9">
        <f>IF('[1]Game Input'!$CK205&lt;&gt;"",'[1]Game Input'!$CK205,"")</f>
        <v>0</v>
      </c>
      <c r="AE205" s="8"/>
      <c r="AF205" s="8"/>
      <c r="AG205" s="8"/>
      <c r="AH205" s="8"/>
    </row>
    <row r="206" spans="1:34" x14ac:dyDescent="0.2">
      <c r="A206" s="6">
        <f>IF('[1]Game Input'!$A206&lt;&gt;"",'[1]Game Input'!$A206,"")</f>
        <v>43449</v>
      </c>
      <c r="B206" s="6" t="str">
        <f>IF(A206&gt;$B$1,VLOOKUP(MONTH($A206),DOTWMonth,2,FALSE),"")</f>
        <v>December</v>
      </c>
      <c r="C206" s="10" t="str">
        <f>IF(A206&gt;$B$1,VLOOKUP(WEEKDAY($A206),DOTWMonth,3,FALSE),"")</f>
        <v>Saturday</v>
      </c>
      <c r="D206" s="7">
        <f>IF('[1]Game Input'!$B206&lt;&gt;"",'[1]Game Input'!$B206,"")</f>
        <v>0.83680555555555547</v>
      </c>
      <c r="E206" s="7">
        <f>IF('[1]Game Input'!$C206&lt;&gt;"",'[1]Game Input'!$C206,"")</f>
        <v>0.79513888888888884</v>
      </c>
      <c r="F206" s="8" t="str">
        <f>IF('[1]Game Input'!$D206&lt;&gt;"",'[1]Game Input'!$D206,"")</f>
        <v>Standard</v>
      </c>
      <c r="G206" s="8" t="str">
        <f>IF('[1]Game Input'!$G206&lt;&gt;"",'[1]Game Input'!$G206,"")</f>
        <v>CIL @ CR</v>
      </c>
      <c r="H206" s="8" t="str">
        <f>IF('[1]Game Input'!$H206&lt;&gt;"",'[1]Game Input'!$H206,"")</f>
        <v>Vs. Conference</v>
      </c>
      <c r="I206" s="8" t="str">
        <f>IF('[1]Game Input'!$I206&lt;&gt;"",'[1]Game Input'!$I206,"")</f>
        <v>CENTRAL ILLINOIS</v>
      </c>
      <c r="J206" s="9">
        <f>IF('[1]Game Input'!$AC206&lt;&gt;"",'[1]Game Input'!$AC206,"")</f>
        <v>30</v>
      </c>
      <c r="K206" s="9">
        <f>IF('[1]Game Input'!$AD206&lt;&gt;"",'[1]Game Input'!$AD206,"")</f>
        <v>12</v>
      </c>
      <c r="L206" s="9">
        <f>IF('[1]Game Input'!$AJ206&lt;&gt;"",'[1]Game Input'!$AJ206,"")</f>
        <v>0</v>
      </c>
      <c r="M206" s="9">
        <f>IF('[1]Game Input'!$AK206&lt;&gt;"",'[1]Game Input'!$AK206,"")</f>
        <v>0</v>
      </c>
      <c r="N206" s="9">
        <f>IF('[1]Game Input'!$AN206&lt;&gt;"",'[1]Game Input'!$AN206,"")</f>
        <v>10</v>
      </c>
      <c r="O206" s="9">
        <f>IF('[1]Game Input'!$AO206&lt;&gt;"",'[1]Game Input'!$AO206,"")</f>
        <v>2</v>
      </c>
      <c r="P206" s="9">
        <f>IF('[1]Game Input'!$AP206&lt;&gt;"",'[1]Game Input'!$AP206,"")</f>
        <v>0</v>
      </c>
      <c r="Q206" s="9">
        <f>IF('[1]Game Input'!$AQ206&lt;&gt;"",'[1]Game Input'!$AQ206,"")</f>
        <v>0</v>
      </c>
      <c r="R206" s="9">
        <f>IF('[1]Game Input'!$AR206&lt;&gt;"",'[1]Game Input'!$AR206,"")</f>
        <v>0</v>
      </c>
      <c r="S206" s="9">
        <f>IF('[1]Game Input'!$AS206&lt;&gt;"",'[1]Game Input'!$AS206,"")</f>
        <v>0</v>
      </c>
      <c r="T206" s="10" t="str">
        <f>IF('[1]Game Input'!$BA206&lt;&gt;"",'[1]Game Input'!$BA206,"")</f>
        <v>CEDAR RAPIDS</v>
      </c>
      <c r="U206" s="9">
        <f>IF('[1]Game Input'!$BU206&lt;&gt;"",'[1]Game Input'!$BU206,"")</f>
        <v>58</v>
      </c>
      <c r="V206" s="9">
        <f>IF('[1]Game Input'!$BV206&lt;&gt;"",'[1]Game Input'!$BV206,"")</f>
        <v>14</v>
      </c>
      <c r="W206" s="9">
        <f>IF('[1]Game Input'!$CB206&lt;&gt;"",'[1]Game Input'!$CB206,"")</f>
        <v>0</v>
      </c>
      <c r="X206" s="9">
        <f>IF('[1]Game Input'!$CC206&lt;&gt;"",'[1]Game Input'!$CC206,"")</f>
        <v>0</v>
      </c>
      <c r="Y206" s="9">
        <f>IF('[1]Game Input'!$CF206&lt;&gt;"",'[1]Game Input'!$CF206,"")</f>
        <v>9</v>
      </c>
      <c r="Z206" s="9">
        <f>IF('[1]Game Input'!$CG206&lt;&gt;"",'[1]Game Input'!$CG206,"")</f>
        <v>2</v>
      </c>
      <c r="AA206" s="9">
        <f>IF('[1]Game Input'!$CH206&lt;&gt;"",'[1]Game Input'!$CH206,"")</f>
        <v>3</v>
      </c>
      <c r="AB206" s="9">
        <f>IF('[1]Game Input'!$CI206&lt;&gt;"",'[1]Game Input'!$CI206,"")</f>
        <v>0</v>
      </c>
      <c r="AC206" s="9">
        <f>IF('[1]Game Input'!$CJ206&lt;&gt;"",'[1]Game Input'!$CJ206,"")</f>
        <v>0</v>
      </c>
      <c r="AD206" s="9">
        <f>IF('[1]Game Input'!$CK206&lt;&gt;"",'[1]Game Input'!$CK206,"")</f>
        <v>0</v>
      </c>
      <c r="AE206" s="8" t="s">
        <v>90</v>
      </c>
      <c r="AF206" s="8" t="s">
        <v>152</v>
      </c>
      <c r="AG206" s="8" t="s">
        <v>108</v>
      </c>
      <c r="AH206" s="8" t="s">
        <v>118</v>
      </c>
    </row>
    <row r="207" spans="1:34" x14ac:dyDescent="0.2">
      <c r="A207" s="6">
        <f>IF('[1]Game Input'!$A207&lt;&gt;"",'[1]Game Input'!$A207,"")</f>
        <v>43449</v>
      </c>
      <c r="B207" s="6" t="str">
        <f>IF(A207&gt;$B$1,VLOOKUP(MONTH($A207),DOTWMonth,2,FALSE),"")</f>
        <v>December</v>
      </c>
      <c r="C207" s="10" t="str">
        <f>IF(A207&gt;$B$1,VLOOKUP(WEEKDAY($A207),DOTWMonth,3,FALSE),"")</f>
        <v>Saturday</v>
      </c>
      <c r="D207" s="7">
        <f>IF('[1]Game Input'!$B207&lt;&gt;"",'[1]Game Input'!$B207,"")</f>
        <v>0.83680555555555547</v>
      </c>
      <c r="E207" s="7">
        <f>IF('[1]Game Input'!$C207&lt;&gt;"",'[1]Game Input'!$C207,"")</f>
        <v>0.79513888888888884</v>
      </c>
      <c r="F207" s="8" t="str">
        <f>IF('[1]Game Input'!$D207&lt;&gt;"",'[1]Game Input'!$D207,"")</f>
        <v>Standard</v>
      </c>
      <c r="G207" s="8" t="str">
        <f>IF('[1]Game Input'!$G207&lt;&gt;"",'[1]Game Input'!$G207,"")</f>
        <v>TC @ FGO</v>
      </c>
      <c r="H207" s="8" t="str">
        <f>IF('[1]Game Input'!$H207&lt;&gt;"",'[1]Game Input'!$H207,"")</f>
        <v>Vs. Conference</v>
      </c>
      <c r="I207" s="8" t="str">
        <f>IF('[1]Game Input'!$I207&lt;&gt;"",'[1]Game Input'!$I207,"")</f>
        <v>TRI-CITY</v>
      </c>
      <c r="J207" s="9">
        <f>IF('[1]Game Input'!$AC207&lt;&gt;"",'[1]Game Input'!$AC207,"")</f>
        <v>10</v>
      </c>
      <c r="K207" s="9">
        <f>IF('[1]Game Input'!$AD207&lt;&gt;"",'[1]Game Input'!$AD207,"")</f>
        <v>5</v>
      </c>
      <c r="L207" s="9">
        <f>IF('[1]Game Input'!$AJ207&lt;&gt;"",'[1]Game Input'!$AJ207,"")</f>
        <v>0</v>
      </c>
      <c r="M207" s="9">
        <f>IF('[1]Game Input'!$AK207&lt;&gt;"",'[1]Game Input'!$AK207,"")</f>
        <v>0</v>
      </c>
      <c r="N207" s="9">
        <f>IF('[1]Game Input'!$AN207&lt;&gt;"",'[1]Game Input'!$AN207,"")</f>
        <v>5</v>
      </c>
      <c r="O207" s="9">
        <f>IF('[1]Game Input'!$AO207&lt;&gt;"",'[1]Game Input'!$AO207,"")</f>
        <v>0</v>
      </c>
      <c r="P207" s="9">
        <f>IF('[1]Game Input'!$AP207&lt;&gt;"",'[1]Game Input'!$AP207,"")</f>
        <v>0</v>
      </c>
      <c r="Q207" s="9">
        <f>IF('[1]Game Input'!$AQ207&lt;&gt;"",'[1]Game Input'!$AQ207,"")</f>
        <v>0</v>
      </c>
      <c r="R207" s="9">
        <f>IF('[1]Game Input'!$AR207&lt;&gt;"",'[1]Game Input'!$AR207,"")</f>
        <v>0</v>
      </c>
      <c r="S207" s="9">
        <f>IF('[1]Game Input'!$AS207&lt;&gt;"",'[1]Game Input'!$AS207,"")</f>
        <v>0</v>
      </c>
      <c r="T207" s="10" t="str">
        <f>IF('[1]Game Input'!$BA207&lt;&gt;"",'[1]Game Input'!$BA207,"")</f>
        <v>FARGO</v>
      </c>
      <c r="U207" s="9">
        <f>IF('[1]Game Input'!$BU207&lt;&gt;"",'[1]Game Input'!$BU207,"")</f>
        <v>10</v>
      </c>
      <c r="V207" s="9">
        <f>IF('[1]Game Input'!$BV207&lt;&gt;"",'[1]Game Input'!$BV207,"")</f>
        <v>5</v>
      </c>
      <c r="W207" s="9">
        <f>IF('[1]Game Input'!$CB207&lt;&gt;"",'[1]Game Input'!$CB207,"")</f>
        <v>0</v>
      </c>
      <c r="X207" s="9">
        <f>IF('[1]Game Input'!$CC207&lt;&gt;"",'[1]Game Input'!$CC207,"")</f>
        <v>0</v>
      </c>
      <c r="Y207" s="9">
        <f>IF('[1]Game Input'!$CF207&lt;&gt;"",'[1]Game Input'!$CF207,"")</f>
        <v>5</v>
      </c>
      <c r="Z207" s="9">
        <f>IF('[1]Game Input'!$CG207&lt;&gt;"",'[1]Game Input'!$CG207,"")</f>
        <v>0</v>
      </c>
      <c r="AA207" s="9">
        <f>IF('[1]Game Input'!$CH207&lt;&gt;"",'[1]Game Input'!$CH207,"")</f>
        <v>0</v>
      </c>
      <c r="AB207" s="9">
        <f>IF('[1]Game Input'!$CI207&lt;&gt;"",'[1]Game Input'!$CI207,"")</f>
        <v>0</v>
      </c>
      <c r="AC207" s="9">
        <f>IF('[1]Game Input'!$CJ207&lt;&gt;"",'[1]Game Input'!$CJ207,"")</f>
        <v>0</v>
      </c>
      <c r="AD207" s="9">
        <f>IF('[1]Game Input'!$CK207&lt;&gt;"",'[1]Game Input'!$CK207,"")</f>
        <v>0</v>
      </c>
      <c r="AE207" s="8"/>
      <c r="AF207" s="8"/>
      <c r="AG207" s="8"/>
      <c r="AH207" s="8"/>
    </row>
    <row r="208" spans="1:34" x14ac:dyDescent="0.2">
      <c r="A208" s="6">
        <f>IF('[1]Game Input'!$A208&lt;&gt;"",'[1]Game Input'!$A208,"")</f>
        <v>43449</v>
      </c>
      <c r="B208" s="6" t="str">
        <f>IF(A208&gt;$B$1,VLOOKUP(MONTH($A208),DOTWMonth,2,FALSE),"")</f>
        <v>December</v>
      </c>
      <c r="C208" s="10" t="str">
        <f>IF(A208&gt;$B$1,VLOOKUP(WEEKDAY($A208),DOTWMonth,3,FALSE),"")</f>
        <v>Saturday</v>
      </c>
      <c r="D208" s="7">
        <f>IF('[1]Game Input'!$B208&lt;&gt;"",'[1]Game Input'!$B208,"")</f>
        <v>0.83680555555555547</v>
      </c>
      <c r="E208" s="7">
        <f>IF('[1]Game Input'!$C208&lt;&gt;"",'[1]Game Input'!$C208,"")</f>
        <v>0.79513888888888884</v>
      </c>
      <c r="F208" s="8" t="str">
        <f>IF('[1]Game Input'!$D208&lt;&gt;"",'[1]Game Input'!$D208,"")</f>
        <v>Standard</v>
      </c>
      <c r="G208" s="8" t="str">
        <f>IF('[1]Game Input'!$G208&lt;&gt;"",'[1]Game Input'!$G208,"")</f>
        <v>DM @ LIN</v>
      </c>
      <c r="H208" s="8" t="str">
        <f>IF('[1]Game Input'!$H208&lt;&gt;"",'[1]Game Input'!$H208,"")</f>
        <v>Vs. Conference</v>
      </c>
      <c r="I208" s="8" t="str">
        <f>IF('[1]Game Input'!$I208&lt;&gt;"",'[1]Game Input'!$I208,"")</f>
        <v>DES MOINES</v>
      </c>
      <c r="J208" s="9">
        <f>IF('[1]Game Input'!$AC208&lt;&gt;"",'[1]Game Input'!$AC208,"")</f>
        <v>16</v>
      </c>
      <c r="K208" s="9">
        <f>IF('[1]Game Input'!$AD208&lt;&gt;"",'[1]Game Input'!$AD208,"")</f>
        <v>4</v>
      </c>
      <c r="L208" s="9">
        <f>IF('[1]Game Input'!$AJ208&lt;&gt;"",'[1]Game Input'!$AJ208,"")</f>
        <v>0</v>
      </c>
      <c r="M208" s="9">
        <f>IF('[1]Game Input'!$AK208&lt;&gt;"",'[1]Game Input'!$AK208,"")</f>
        <v>0</v>
      </c>
      <c r="N208" s="9">
        <f>IF('[1]Game Input'!$AN208&lt;&gt;"",'[1]Game Input'!$AN208,"")</f>
        <v>3</v>
      </c>
      <c r="O208" s="9">
        <f>IF('[1]Game Input'!$AO208&lt;&gt;"",'[1]Game Input'!$AO208,"")</f>
        <v>0</v>
      </c>
      <c r="P208" s="9">
        <f>IF('[1]Game Input'!$AP208&lt;&gt;"",'[1]Game Input'!$AP208,"")</f>
        <v>1</v>
      </c>
      <c r="Q208" s="9">
        <f>IF('[1]Game Input'!$AQ208&lt;&gt;"",'[1]Game Input'!$AQ208,"")</f>
        <v>0</v>
      </c>
      <c r="R208" s="9">
        <f>IF('[1]Game Input'!$AR208&lt;&gt;"",'[1]Game Input'!$AR208,"")</f>
        <v>0</v>
      </c>
      <c r="S208" s="9">
        <f>IF('[1]Game Input'!$AS208&lt;&gt;"",'[1]Game Input'!$AS208,"")</f>
        <v>0</v>
      </c>
      <c r="T208" s="10" t="str">
        <f>IF('[1]Game Input'!$BA208&lt;&gt;"",'[1]Game Input'!$BA208,"")</f>
        <v>LINCOLN</v>
      </c>
      <c r="U208" s="9">
        <f>IF('[1]Game Input'!$BU208&lt;&gt;"",'[1]Game Input'!$BU208,"")</f>
        <v>6</v>
      </c>
      <c r="V208" s="9">
        <f>IF('[1]Game Input'!$BV208&lt;&gt;"",'[1]Game Input'!$BV208,"")</f>
        <v>3</v>
      </c>
      <c r="W208" s="9">
        <f>IF('[1]Game Input'!$CB208&lt;&gt;"",'[1]Game Input'!$CB208,"")</f>
        <v>0</v>
      </c>
      <c r="X208" s="9">
        <f>IF('[1]Game Input'!$CC208&lt;&gt;"",'[1]Game Input'!$CC208,"")</f>
        <v>0</v>
      </c>
      <c r="Y208" s="9">
        <f>IF('[1]Game Input'!$CF208&lt;&gt;"",'[1]Game Input'!$CF208,"")</f>
        <v>3</v>
      </c>
      <c r="Z208" s="9">
        <f>IF('[1]Game Input'!$CG208&lt;&gt;"",'[1]Game Input'!$CG208,"")</f>
        <v>0</v>
      </c>
      <c r="AA208" s="9">
        <f>IF('[1]Game Input'!$CH208&lt;&gt;"",'[1]Game Input'!$CH208,"")</f>
        <v>0</v>
      </c>
      <c r="AB208" s="9">
        <f>IF('[1]Game Input'!$CI208&lt;&gt;"",'[1]Game Input'!$CI208,"")</f>
        <v>0</v>
      </c>
      <c r="AC208" s="9">
        <f>IF('[1]Game Input'!$CJ208&lt;&gt;"",'[1]Game Input'!$CJ208,"")</f>
        <v>0</v>
      </c>
      <c r="AD208" s="9">
        <f>IF('[1]Game Input'!$CK208&lt;&gt;"",'[1]Game Input'!$CK208,"")</f>
        <v>0</v>
      </c>
      <c r="AE208" s="8" t="s">
        <v>92</v>
      </c>
      <c r="AF208" s="8"/>
      <c r="AG208" s="8" t="s">
        <v>124</v>
      </c>
      <c r="AH208" s="8" t="s">
        <v>114</v>
      </c>
    </row>
    <row r="209" spans="1:34" x14ac:dyDescent="0.2">
      <c r="A209" s="6">
        <f>IF('[1]Game Input'!$A209&lt;&gt;"",'[1]Game Input'!$A209,"")</f>
        <v>43449</v>
      </c>
      <c r="B209" s="6" t="str">
        <f>IF(A209&gt;$B$1,VLOOKUP(MONTH($A209),DOTWMonth,2,FALSE),"")</f>
        <v>December</v>
      </c>
      <c r="C209" s="10" t="str">
        <f>IF(A209&gt;$B$1,VLOOKUP(WEEKDAY($A209),DOTWMonth,3,FALSE),"")</f>
        <v>Saturday</v>
      </c>
      <c r="D209" s="7">
        <f>IF('[1]Game Input'!$B209&lt;&gt;"",'[1]Game Input'!$B209,"")</f>
        <v>0.83680555555555547</v>
      </c>
      <c r="E209" s="7">
        <f>IF('[1]Game Input'!$C209&lt;&gt;"",'[1]Game Input'!$C209,"")</f>
        <v>0.79513888888888884</v>
      </c>
      <c r="F209" s="8" t="str">
        <f>IF('[1]Game Input'!$D209&lt;&gt;"",'[1]Game Input'!$D209,"")</f>
        <v>Standard</v>
      </c>
      <c r="G209" s="8" t="str">
        <f>IF('[1]Game Input'!$G209&lt;&gt;"",'[1]Game Input'!$G209,"")</f>
        <v>WAT @ MAD</v>
      </c>
      <c r="H209" s="8" t="str">
        <f>IF('[1]Game Input'!$H209&lt;&gt;"",'[1]Game Input'!$H209,"")</f>
        <v>Vs. Non-Conference</v>
      </c>
      <c r="I209" s="8" t="str">
        <f>IF('[1]Game Input'!$I209&lt;&gt;"",'[1]Game Input'!$I209,"")</f>
        <v>WATERLOO</v>
      </c>
      <c r="J209" s="9">
        <f>IF('[1]Game Input'!$AC209&lt;&gt;"",'[1]Game Input'!$AC209,"")</f>
        <v>20</v>
      </c>
      <c r="K209" s="9">
        <f>IF('[1]Game Input'!$AD209&lt;&gt;"",'[1]Game Input'!$AD209,"")</f>
        <v>10</v>
      </c>
      <c r="L209" s="9">
        <f>IF('[1]Game Input'!$AJ209&lt;&gt;"",'[1]Game Input'!$AJ209,"")</f>
        <v>0</v>
      </c>
      <c r="M209" s="9">
        <f>IF('[1]Game Input'!$AK209&lt;&gt;"",'[1]Game Input'!$AK209,"")</f>
        <v>0</v>
      </c>
      <c r="N209" s="9">
        <f>IF('[1]Game Input'!$AN209&lt;&gt;"",'[1]Game Input'!$AN209,"")</f>
        <v>10</v>
      </c>
      <c r="O209" s="9">
        <f>IF('[1]Game Input'!$AO209&lt;&gt;"",'[1]Game Input'!$AO209,"")</f>
        <v>0</v>
      </c>
      <c r="P209" s="9">
        <f>IF('[1]Game Input'!$AP209&lt;&gt;"",'[1]Game Input'!$AP209,"")</f>
        <v>0</v>
      </c>
      <c r="Q209" s="9">
        <f>IF('[1]Game Input'!$AQ209&lt;&gt;"",'[1]Game Input'!$AQ209,"")</f>
        <v>0</v>
      </c>
      <c r="R209" s="9">
        <f>IF('[1]Game Input'!$AR209&lt;&gt;"",'[1]Game Input'!$AR209,"")</f>
        <v>0</v>
      </c>
      <c r="S209" s="9">
        <f>IF('[1]Game Input'!$AS209&lt;&gt;"",'[1]Game Input'!$AS209,"")</f>
        <v>0</v>
      </c>
      <c r="T209" s="10" t="str">
        <f>IF('[1]Game Input'!$BA209&lt;&gt;"",'[1]Game Input'!$BA209,"")</f>
        <v>MADISON</v>
      </c>
      <c r="U209" s="9">
        <f>IF('[1]Game Input'!$BU209&lt;&gt;"",'[1]Game Input'!$BU209,"")</f>
        <v>20</v>
      </c>
      <c r="V209" s="9">
        <f>IF('[1]Game Input'!$BV209&lt;&gt;"",'[1]Game Input'!$BV209,"")</f>
        <v>10</v>
      </c>
      <c r="W209" s="9">
        <f>IF('[1]Game Input'!$CB209&lt;&gt;"",'[1]Game Input'!$CB209,"")</f>
        <v>0</v>
      </c>
      <c r="X209" s="9">
        <f>IF('[1]Game Input'!$CC209&lt;&gt;"",'[1]Game Input'!$CC209,"")</f>
        <v>0</v>
      </c>
      <c r="Y209" s="9">
        <f>IF('[1]Game Input'!$CF209&lt;&gt;"",'[1]Game Input'!$CF209,"")</f>
        <v>10</v>
      </c>
      <c r="Z209" s="9">
        <f>IF('[1]Game Input'!$CG209&lt;&gt;"",'[1]Game Input'!$CG209,"")</f>
        <v>0</v>
      </c>
      <c r="AA209" s="9">
        <f>IF('[1]Game Input'!$CH209&lt;&gt;"",'[1]Game Input'!$CH209,"")</f>
        <v>0</v>
      </c>
      <c r="AB209" s="9">
        <f>IF('[1]Game Input'!$CI209&lt;&gt;"",'[1]Game Input'!$CI209,"")</f>
        <v>0</v>
      </c>
      <c r="AC209" s="9">
        <f>IF('[1]Game Input'!$CJ209&lt;&gt;"",'[1]Game Input'!$CJ209,"")</f>
        <v>0</v>
      </c>
      <c r="AD209" s="9">
        <f>IF('[1]Game Input'!$CK209&lt;&gt;"",'[1]Game Input'!$CK209,"")</f>
        <v>0</v>
      </c>
      <c r="AE209" s="8"/>
      <c r="AF209" s="8"/>
      <c r="AG209" s="8"/>
      <c r="AH209" s="8"/>
    </row>
    <row r="210" spans="1:34" x14ac:dyDescent="0.2">
      <c r="A210" s="6">
        <f>IF('[1]Game Input'!$A210&lt;&gt;"",'[1]Game Input'!$A210,"")</f>
        <v>43449</v>
      </c>
      <c r="B210" s="6" t="str">
        <f>IF(A210&gt;$B$1,VLOOKUP(MONTH($A210),DOTWMonth,2,FALSE),"")</f>
        <v>December</v>
      </c>
      <c r="C210" s="10" t="str">
        <f>IF(A210&gt;$B$1,VLOOKUP(WEEKDAY($A210),DOTWMonth,3,FALSE),"")</f>
        <v>Saturday</v>
      </c>
      <c r="D210" s="7">
        <f>IF('[1]Game Input'!$B210&lt;&gt;"",'[1]Game Input'!$B210,"")</f>
        <v>0.83680555555555547</v>
      </c>
      <c r="E210" s="7">
        <f>IF('[1]Game Input'!$C210&lt;&gt;"",'[1]Game Input'!$C210,"")</f>
        <v>0.79513888888888884</v>
      </c>
      <c r="F210" s="8" t="str">
        <f>IF('[1]Game Input'!$D210&lt;&gt;"",'[1]Game Input'!$D210,"")</f>
        <v>Standard</v>
      </c>
      <c r="G210" s="8" t="str">
        <f>IF('[1]Game Input'!$G210&lt;&gt;"",'[1]Game Input'!$G210,"")</f>
        <v>MUS @ OMA</v>
      </c>
      <c r="H210" s="8" t="str">
        <f>IF('[1]Game Input'!$H210&lt;&gt;"",'[1]Game Input'!$H210,"")</f>
        <v>Vs. Non-Conference</v>
      </c>
      <c r="I210" s="8" t="str">
        <f>IF('[1]Game Input'!$I210&lt;&gt;"",'[1]Game Input'!$I210,"")</f>
        <v>MUSKEGON</v>
      </c>
      <c r="J210" s="9">
        <f>IF('[1]Game Input'!$AC210&lt;&gt;"",'[1]Game Input'!$AC210,"")</f>
        <v>4</v>
      </c>
      <c r="K210" s="9">
        <f>IF('[1]Game Input'!$AD210&lt;&gt;"",'[1]Game Input'!$AD210,"")</f>
        <v>2</v>
      </c>
      <c r="L210" s="9">
        <f>IF('[1]Game Input'!$AJ210&lt;&gt;"",'[1]Game Input'!$AJ210,"")</f>
        <v>0</v>
      </c>
      <c r="M210" s="9">
        <f>IF('[1]Game Input'!$AK210&lt;&gt;"",'[1]Game Input'!$AK210,"")</f>
        <v>0</v>
      </c>
      <c r="N210" s="9">
        <f>IF('[1]Game Input'!$AN210&lt;&gt;"",'[1]Game Input'!$AN210,"")</f>
        <v>2</v>
      </c>
      <c r="O210" s="9">
        <f>IF('[1]Game Input'!$AO210&lt;&gt;"",'[1]Game Input'!$AO210,"")</f>
        <v>0</v>
      </c>
      <c r="P210" s="9">
        <f>IF('[1]Game Input'!$AP210&lt;&gt;"",'[1]Game Input'!$AP210,"")</f>
        <v>0</v>
      </c>
      <c r="Q210" s="9">
        <f>IF('[1]Game Input'!$AQ210&lt;&gt;"",'[1]Game Input'!$AQ210,"")</f>
        <v>0</v>
      </c>
      <c r="R210" s="9">
        <f>IF('[1]Game Input'!$AR210&lt;&gt;"",'[1]Game Input'!$AR210,"")</f>
        <v>0</v>
      </c>
      <c r="S210" s="9">
        <f>IF('[1]Game Input'!$AS210&lt;&gt;"",'[1]Game Input'!$AS210,"")</f>
        <v>0</v>
      </c>
      <c r="T210" s="10" t="str">
        <f>IF('[1]Game Input'!$BA210&lt;&gt;"",'[1]Game Input'!$BA210,"")</f>
        <v>OMAHA</v>
      </c>
      <c r="U210" s="9">
        <f>IF('[1]Game Input'!$BU210&lt;&gt;"",'[1]Game Input'!$BU210,"")</f>
        <v>8</v>
      </c>
      <c r="V210" s="9">
        <f>IF('[1]Game Input'!$BV210&lt;&gt;"",'[1]Game Input'!$BV210,"")</f>
        <v>4</v>
      </c>
      <c r="W210" s="9">
        <f>IF('[1]Game Input'!$CB210&lt;&gt;"",'[1]Game Input'!$CB210,"")</f>
        <v>0</v>
      </c>
      <c r="X210" s="9">
        <f>IF('[1]Game Input'!$CC210&lt;&gt;"",'[1]Game Input'!$CC210,"")</f>
        <v>0</v>
      </c>
      <c r="Y210" s="9">
        <f>IF('[1]Game Input'!$CF210&lt;&gt;"",'[1]Game Input'!$CF210,"")</f>
        <v>4</v>
      </c>
      <c r="Z210" s="9">
        <f>IF('[1]Game Input'!$CG210&lt;&gt;"",'[1]Game Input'!$CG210,"")</f>
        <v>0</v>
      </c>
      <c r="AA210" s="9">
        <f>IF('[1]Game Input'!$CH210&lt;&gt;"",'[1]Game Input'!$CH210,"")</f>
        <v>0</v>
      </c>
      <c r="AB210" s="9">
        <f>IF('[1]Game Input'!$CI210&lt;&gt;"",'[1]Game Input'!$CI210,"")</f>
        <v>0</v>
      </c>
      <c r="AC210" s="9">
        <f>IF('[1]Game Input'!$CJ210&lt;&gt;"",'[1]Game Input'!$CJ210,"")</f>
        <v>0</v>
      </c>
      <c r="AD210" s="9">
        <f>IF('[1]Game Input'!$CK210&lt;&gt;"",'[1]Game Input'!$CK210,"")</f>
        <v>0</v>
      </c>
      <c r="AE210" s="8"/>
      <c r="AF210" s="8"/>
      <c r="AG210" s="8"/>
      <c r="AH210" s="8"/>
    </row>
    <row r="211" spans="1:34" x14ac:dyDescent="0.2">
      <c r="A211" s="6">
        <f>IF('[1]Game Input'!$A211&lt;&gt;"",'[1]Game Input'!$A211,"")</f>
        <v>43449</v>
      </c>
      <c r="B211" s="6" t="str">
        <f>IF(A211&gt;$B$1,VLOOKUP(MONTH($A211),DOTWMonth,2,FALSE),"")</f>
        <v>December</v>
      </c>
      <c r="C211" s="10" t="str">
        <f>IF(A211&gt;$B$1,VLOOKUP(WEEKDAY($A211),DOTWMonth,3,FALSE),"")</f>
        <v>Saturday</v>
      </c>
      <c r="D211" s="7">
        <f>IF('[1]Game Input'!$B211&lt;&gt;"",'[1]Game Input'!$B211,"")</f>
        <v>0.83680555555555547</v>
      </c>
      <c r="E211" s="7">
        <f>IF('[1]Game Input'!$C211&lt;&gt;"",'[1]Game Input'!$C211,"")</f>
        <v>0.79513888888888884</v>
      </c>
      <c r="F211" s="8" t="str">
        <f>IF('[1]Game Input'!$D211&lt;&gt;"",'[1]Game Input'!$D211,"")</f>
        <v>Standard</v>
      </c>
      <c r="G211" s="8" t="str">
        <f>IF('[1]Game Input'!$G211&lt;&gt;"",'[1]Game Input'!$G211,"")</f>
        <v>DUB @ SC</v>
      </c>
      <c r="H211" s="8" t="str">
        <f>IF('[1]Game Input'!$H211&lt;&gt;"",'[1]Game Input'!$H211,"")</f>
        <v>Vs. Non-Conference</v>
      </c>
      <c r="I211" s="8" t="str">
        <f>IF('[1]Game Input'!$I211&lt;&gt;"",'[1]Game Input'!$I211,"")</f>
        <v>DUBUQUE</v>
      </c>
      <c r="J211" s="9">
        <f>IF('[1]Game Input'!$AC211&lt;&gt;"",'[1]Game Input'!$AC211,"")</f>
        <v>10</v>
      </c>
      <c r="K211" s="9">
        <f>IF('[1]Game Input'!$AD211&lt;&gt;"",'[1]Game Input'!$AD211,"")</f>
        <v>5</v>
      </c>
      <c r="L211" s="9">
        <f>IF('[1]Game Input'!$AJ211&lt;&gt;"",'[1]Game Input'!$AJ211,"")</f>
        <v>0</v>
      </c>
      <c r="M211" s="9">
        <f>IF('[1]Game Input'!$AK211&lt;&gt;"",'[1]Game Input'!$AK211,"")</f>
        <v>0</v>
      </c>
      <c r="N211" s="9">
        <f>IF('[1]Game Input'!$AN211&lt;&gt;"",'[1]Game Input'!$AN211,"")</f>
        <v>5</v>
      </c>
      <c r="O211" s="9">
        <f>IF('[1]Game Input'!$AO211&lt;&gt;"",'[1]Game Input'!$AO211,"")</f>
        <v>0</v>
      </c>
      <c r="P211" s="9">
        <f>IF('[1]Game Input'!$AP211&lt;&gt;"",'[1]Game Input'!$AP211,"")</f>
        <v>0</v>
      </c>
      <c r="Q211" s="9">
        <f>IF('[1]Game Input'!$AQ211&lt;&gt;"",'[1]Game Input'!$AQ211,"")</f>
        <v>0</v>
      </c>
      <c r="R211" s="9">
        <f>IF('[1]Game Input'!$AR211&lt;&gt;"",'[1]Game Input'!$AR211,"")</f>
        <v>0</v>
      </c>
      <c r="S211" s="9">
        <f>IF('[1]Game Input'!$AS211&lt;&gt;"",'[1]Game Input'!$AS211,"")</f>
        <v>0</v>
      </c>
      <c r="T211" s="10" t="str">
        <f>IF('[1]Game Input'!$BA211&lt;&gt;"",'[1]Game Input'!$BA211,"")</f>
        <v>SIOUX CITY</v>
      </c>
      <c r="U211" s="9">
        <f>IF('[1]Game Input'!$BU211&lt;&gt;"",'[1]Game Input'!$BU211,"")</f>
        <v>10</v>
      </c>
      <c r="V211" s="9">
        <f>IF('[1]Game Input'!$BV211&lt;&gt;"",'[1]Game Input'!$BV211,"")</f>
        <v>5</v>
      </c>
      <c r="W211" s="9">
        <f>IF('[1]Game Input'!$CB211&lt;&gt;"",'[1]Game Input'!$CB211,"")</f>
        <v>0</v>
      </c>
      <c r="X211" s="9">
        <f>IF('[1]Game Input'!$CC211&lt;&gt;"",'[1]Game Input'!$CC211,"")</f>
        <v>0</v>
      </c>
      <c r="Y211" s="9">
        <f>IF('[1]Game Input'!$CF211&lt;&gt;"",'[1]Game Input'!$CF211,"")</f>
        <v>5</v>
      </c>
      <c r="Z211" s="9">
        <f>IF('[1]Game Input'!$CG211&lt;&gt;"",'[1]Game Input'!$CG211,"")</f>
        <v>0</v>
      </c>
      <c r="AA211" s="9">
        <f>IF('[1]Game Input'!$CH211&lt;&gt;"",'[1]Game Input'!$CH211,"")</f>
        <v>0</v>
      </c>
      <c r="AB211" s="9">
        <f>IF('[1]Game Input'!$CI211&lt;&gt;"",'[1]Game Input'!$CI211,"")</f>
        <v>0</v>
      </c>
      <c r="AC211" s="9">
        <f>IF('[1]Game Input'!$CJ211&lt;&gt;"",'[1]Game Input'!$CJ211,"")</f>
        <v>0</v>
      </c>
      <c r="AD211" s="9">
        <f>IF('[1]Game Input'!$CK211&lt;&gt;"",'[1]Game Input'!$CK211,"")</f>
        <v>0</v>
      </c>
      <c r="AE211" s="8"/>
      <c r="AF211" s="8"/>
      <c r="AG211" s="8"/>
      <c r="AH211" s="8"/>
    </row>
    <row r="212" spans="1:34" x14ac:dyDescent="0.2">
      <c r="A212" s="6">
        <f>IF('[1]Game Input'!$A212&lt;&gt;"",'[1]Game Input'!$A212,"")</f>
        <v>43449</v>
      </c>
      <c r="B212" s="6" t="str">
        <f>IF(A212&gt;$B$1,VLOOKUP(MONTH($A212),DOTWMonth,2,FALSE),"")</f>
        <v>December</v>
      </c>
      <c r="C212" s="10" t="str">
        <f>IF(A212&gt;$B$1,VLOOKUP(WEEKDAY($A212),DOTWMonth,3,FALSE),"")</f>
        <v>Saturday</v>
      </c>
      <c r="D212" s="7">
        <f>IF('[1]Game Input'!$B212&lt;&gt;"",'[1]Game Input'!$B212,"")</f>
        <v>0.83680555555555547</v>
      </c>
      <c r="E212" s="7">
        <f>IF('[1]Game Input'!$C212&lt;&gt;"",'[1]Game Input'!$C212,"")</f>
        <v>0.79513888888888884</v>
      </c>
      <c r="F212" s="8" t="str">
        <f>IF('[1]Game Input'!$D212&lt;&gt;"",'[1]Game Input'!$D212,"")</f>
        <v>Standard</v>
      </c>
      <c r="G212" s="8" t="str">
        <f>IF('[1]Game Input'!$G212&lt;&gt;"",'[1]Game Input'!$G212,"")</f>
        <v>GB @ SF</v>
      </c>
      <c r="H212" s="8" t="str">
        <f>IF('[1]Game Input'!$H212&lt;&gt;"",'[1]Game Input'!$H212,"")</f>
        <v>Vs. Non-Conference</v>
      </c>
      <c r="I212" s="8" t="str">
        <f>IF('[1]Game Input'!$I212&lt;&gt;"",'[1]Game Input'!$I212,"")</f>
        <v>GREEN BAY</v>
      </c>
      <c r="J212" s="9">
        <f>IF('[1]Game Input'!$AC212&lt;&gt;"",'[1]Game Input'!$AC212,"")</f>
        <v>10</v>
      </c>
      <c r="K212" s="9">
        <f>IF('[1]Game Input'!$AD212&lt;&gt;"",'[1]Game Input'!$AD212,"")</f>
        <v>5</v>
      </c>
      <c r="L212" s="9">
        <f>IF('[1]Game Input'!$AJ212&lt;&gt;"",'[1]Game Input'!$AJ212,"")</f>
        <v>0</v>
      </c>
      <c r="M212" s="9">
        <f>IF('[1]Game Input'!$AK212&lt;&gt;"",'[1]Game Input'!$AK212,"")</f>
        <v>0</v>
      </c>
      <c r="N212" s="9">
        <f>IF('[1]Game Input'!$AN212&lt;&gt;"",'[1]Game Input'!$AN212,"")</f>
        <v>5</v>
      </c>
      <c r="O212" s="9">
        <f>IF('[1]Game Input'!$AO212&lt;&gt;"",'[1]Game Input'!$AO212,"")</f>
        <v>0</v>
      </c>
      <c r="P212" s="9">
        <f>IF('[1]Game Input'!$AP212&lt;&gt;"",'[1]Game Input'!$AP212,"")</f>
        <v>0</v>
      </c>
      <c r="Q212" s="9">
        <f>IF('[1]Game Input'!$AQ212&lt;&gt;"",'[1]Game Input'!$AQ212,"")</f>
        <v>0</v>
      </c>
      <c r="R212" s="9">
        <f>IF('[1]Game Input'!$AR212&lt;&gt;"",'[1]Game Input'!$AR212,"")</f>
        <v>0</v>
      </c>
      <c r="S212" s="9">
        <f>IF('[1]Game Input'!$AS212&lt;&gt;"",'[1]Game Input'!$AS212,"")</f>
        <v>0</v>
      </c>
      <c r="T212" s="10" t="str">
        <f>IF('[1]Game Input'!$BA212&lt;&gt;"",'[1]Game Input'!$BA212,"")</f>
        <v>SIOUX FALLS</v>
      </c>
      <c r="U212" s="9">
        <f>IF('[1]Game Input'!$BU212&lt;&gt;"",'[1]Game Input'!$BU212,"")</f>
        <v>6</v>
      </c>
      <c r="V212" s="9">
        <f>IF('[1]Game Input'!$BV212&lt;&gt;"",'[1]Game Input'!$BV212,"")</f>
        <v>3</v>
      </c>
      <c r="W212" s="9">
        <f>IF('[1]Game Input'!$CB212&lt;&gt;"",'[1]Game Input'!$CB212,"")</f>
        <v>0</v>
      </c>
      <c r="X212" s="9">
        <f>IF('[1]Game Input'!$CC212&lt;&gt;"",'[1]Game Input'!$CC212,"")</f>
        <v>0</v>
      </c>
      <c r="Y212" s="9">
        <f>IF('[1]Game Input'!$CF212&lt;&gt;"",'[1]Game Input'!$CF212,"")</f>
        <v>3</v>
      </c>
      <c r="Z212" s="9">
        <f>IF('[1]Game Input'!$CG212&lt;&gt;"",'[1]Game Input'!$CG212,"")</f>
        <v>0</v>
      </c>
      <c r="AA212" s="9">
        <f>IF('[1]Game Input'!$CH212&lt;&gt;"",'[1]Game Input'!$CH212,"")</f>
        <v>0</v>
      </c>
      <c r="AB212" s="9">
        <f>IF('[1]Game Input'!$CI212&lt;&gt;"",'[1]Game Input'!$CI212,"")</f>
        <v>0</v>
      </c>
      <c r="AC212" s="9">
        <f>IF('[1]Game Input'!$CJ212&lt;&gt;"",'[1]Game Input'!$CJ212,"")</f>
        <v>0</v>
      </c>
      <c r="AD212" s="9">
        <f>IF('[1]Game Input'!$CK212&lt;&gt;"",'[1]Game Input'!$CK212,"")</f>
        <v>0</v>
      </c>
      <c r="AE212" s="8"/>
      <c r="AF212" s="8"/>
      <c r="AG212" s="8"/>
      <c r="AH212" s="8"/>
    </row>
    <row r="213" spans="1:34" x14ac:dyDescent="0.2">
      <c r="A213" s="6">
        <f>IF('[1]Game Input'!$A213&lt;&gt;"",'[1]Game Input'!$A213,"")</f>
        <v>43450</v>
      </c>
      <c r="B213" s="6" t="str">
        <f>IF(A213&gt;$B$1,VLOOKUP(MONTH($A213),DOTWMonth,2,FALSE),"")</f>
        <v>December</v>
      </c>
      <c r="C213" s="10" t="str">
        <f>IF(A213&gt;$B$1,VLOOKUP(WEEKDAY($A213),DOTWMonth,3,FALSE),"")</f>
        <v>Sunday</v>
      </c>
      <c r="D213" s="7">
        <f>IF('[1]Game Input'!$B213&lt;&gt;"",'[1]Game Input'!$B213,"")</f>
        <v>0.70833333333333337</v>
      </c>
      <c r="E213" s="7">
        <f>IF('[1]Game Input'!$C213&lt;&gt;"",'[1]Game Input'!$C213,"")</f>
        <v>0.66666666666666674</v>
      </c>
      <c r="F213" s="8" t="str">
        <f>IF('[1]Game Input'!$D213&lt;&gt;"",'[1]Game Input'!$D213,"")</f>
        <v>Standard</v>
      </c>
      <c r="G213" s="8" t="str">
        <f>IF('[1]Game Input'!$G213&lt;&gt;"",'[1]Game Input'!$G213,"")</f>
        <v>CHI @ YNG</v>
      </c>
      <c r="H213" s="8" t="str">
        <f>IF('[1]Game Input'!$H213&lt;&gt;"",'[1]Game Input'!$H213,"")</f>
        <v>Vs. Conference</v>
      </c>
      <c r="I213" s="8" t="str">
        <f>IF('[1]Game Input'!$I213&lt;&gt;"",'[1]Game Input'!$I213,"")</f>
        <v>CHICAGO</v>
      </c>
      <c r="J213" s="9">
        <f>IF('[1]Game Input'!$AC213&lt;&gt;"",'[1]Game Input'!$AC213,"")</f>
        <v>30</v>
      </c>
      <c r="K213" s="9">
        <f>IF('[1]Game Input'!$AD213&lt;&gt;"",'[1]Game Input'!$AD213,"")</f>
        <v>11</v>
      </c>
      <c r="L213" s="9">
        <f>IF('[1]Game Input'!$AJ213&lt;&gt;"",'[1]Game Input'!$AJ213,"")</f>
        <v>0</v>
      </c>
      <c r="M213" s="9">
        <f>IF('[1]Game Input'!$AK213&lt;&gt;"",'[1]Game Input'!$AK213,"")</f>
        <v>0</v>
      </c>
      <c r="N213" s="9">
        <f>IF('[1]Game Input'!$AN213&lt;&gt;"",'[1]Game Input'!$AN213,"")</f>
        <v>10</v>
      </c>
      <c r="O213" s="9">
        <f>IF('[1]Game Input'!$AO213&lt;&gt;"",'[1]Game Input'!$AO213,"")</f>
        <v>0</v>
      </c>
      <c r="P213" s="9">
        <f>IF('[1]Game Input'!$AP213&lt;&gt;"",'[1]Game Input'!$AP213,"")</f>
        <v>1</v>
      </c>
      <c r="Q213" s="9">
        <f>IF('[1]Game Input'!$AQ213&lt;&gt;"",'[1]Game Input'!$AQ213,"")</f>
        <v>0</v>
      </c>
      <c r="R213" s="9">
        <f>IF('[1]Game Input'!$AR213&lt;&gt;"",'[1]Game Input'!$AR213,"")</f>
        <v>0</v>
      </c>
      <c r="S213" s="9">
        <f>IF('[1]Game Input'!$AS213&lt;&gt;"",'[1]Game Input'!$AS213,"")</f>
        <v>0</v>
      </c>
      <c r="T213" s="10" t="str">
        <f>IF('[1]Game Input'!$BA213&lt;&gt;"",'[1]Game Input'!$BA213,"")</f>
        <v>YOUNGSTOWN</v>
      </c>
      <c r="U213" s="9">
        <f>IF('[1]Game Input'!$BU213&lt;&gt;"",'[1]Game Input'!$BU213,"")</f>
        <v>40</v>
      </c>
      <c r="V213" s="9">
        <f>IF('[1]Game Input'!$BV213&lt;&gt;"",'[1]Game Input'!$BV213,"")</f>
        <v>8</v>
      </c>
      <c r="W213" s="9">
        <f>IF('[1]Game Input'!$CB213&lt;&gt;"",'[1]Game Input'!$CB213,"")</f>
        <v>0</v>
      </c>
      <c r="X213" s="9">
        <f>IF('[1]Game Input'!$CC213&lt;&gt;"",'[1]Game Input'!$CC213,"")</f>
        <v>0</v>
      </c>
      <c r="Y213" s="9">
        <f>IF('[1]Game Input'!$CF213&lt;&gt;"",'[1]Game Input'!$CF213,"")</f>
        <v>5</v>
      </c>
      <c r="Z213" s="9">
        <f>IF('[1]Game Input'!$CG213&lt;&gt;"",'[1]Game Input'!$CG213,"")</f>
        <v>0</v>
      </c>
      <c r="AA213" s="9">
        <f>IF('[1]Game Input'!$CH213&lt;&gt;"",'[1]Game Input'!$CH213,"")</f>
        <v>3</v>
      </c>
      <c r="AB213" s="9">
        <f>IF('[1]Game Input'!$CI213&lt;&gt;"",'[1]Game Input'!$CI213,"")</f>
        <v>0</v>
      </c>
      <c r="AC213" s="9">
        <f>IF('[1]Game Input'!$CJ213&lt;&gt;"",'[1]Game Input'!$CJ213,"")</f>
        <v>0</v>
      </c>
      <c r="AD213" s="9">
        <f>IF('[1]Game Input'!$CK213&lt;&gt;"",'[1]Game Input'!$CK213,"")</f>
        <v>0</v>
      </c>
      <c r="AE213" s="8"/>
      <c r="AF213" s="8"/>
      <c r="AG213" s="8"/>
      <c r="AH213" s="8"/>
    </row>
    <row r="214" spans="1:34" x14ac:dyDescent="0.2">
      <c r="A214" s="6">
        <f>IF('[1]Game Input'!$A214&lt;&gt;"",'[1]Game Input'!$A214,"")</f>
        <v>43450</v>
      </c>
      <c r="B214" s="6" t="str">
        <f>IF(A214&gt;$B$1,VLOOKUP(MONTH($A214),DOTWMonth,2,FALSE),"")</f>
        <v>December</v>
      </c>
      <c r="C214" s="10" t="str">
        <f>IF(A214&gt;$B$1,VLOOKUP(WEEKDAY($A214),DOTWMonth,3,FALSE),"")</f>
        <v>Sunday</v>
      </c>
      <c r="D214" s="7">
        <f>IF('[1]Game Input'!$B214&lt;&gt;"",'[1]Game Input'!$B214,"")</f>
        <v>0.7534722222222221</v>
      </c>
      <c r="E214" s="7">
        <f>IF('[1]Game Input'!$C214&lt;&gt;"",'[1]Game Input'!$C214,"")</f>
        <v>0.71180555555555547</v>
      </c>
      <c r="F214" s="8" t="str">
        <f>IF('[1]Game Input'!$D214&lt;&gt;"",'[1]Game Input'!$D214,"")</f>
        <v>Standard</v>
      </c>
      <c r="G214" s="8" t="str">
        <f>IF('[1]Game Input'!$G214&lt;&gt;"",'[1]Game Input'!$G214,"")</f>
        <v>TC @ FGO</v>
      </c>
      <c r="H214" s="8" t="str">
        <f>IF('[1]Game Input'!$H214&lt;&gt;"",'[1]Game Input'!$H214,"")</f>
        <v>Vs. Conference</v>
      </c>
      <c r="I214" s="8" t="str">
        <f>IF('[1]Game Input'!$I214&lt;&gt;"",'[1]Game Input'!$I214,"")</f>
        <v>TRI-CITY</v>
      </c>
      <c r="J214" s="9">
        <f>IF('[1]Game Input'!$AC214&lt;&gt;"",'[1]Game Input'!$AC214,"")</f>
        <v>18</v>
      </c>
      <c r="K214" s="9">
        <f>IF('[1]Game Input'!$AD214&lt;&gt;"",'[1]Game Input'!$AD214,"")</f>
        <v>5</v>
      </c>
      <c r="L214" s="9">
        <f>IF('[1]Game Input'!$AJ214&lt;&gt;"",'[1]Game Input'!$AJ214,"")</f>
        <v>0</v>
      </c>
      <c r="M214" s="9">
        <f>IF('[1]Game Input'!$AK214&lt;&gt;"",'[1]Game Input'!$AK214,"")</f>
        <v>0</v>
      </c>
      <c r="N214" s="9">
        <f>IF('[1]Game Input'!$AN214&lt;&gt;"",'[1]Game Input'!$AN214,"")</f>
        <v>4</v>
      </c>
      <c r="O214" s="9">
        <f>IF('[1]Game Input'!$AO214&lt;&gt;"",'[1]Game Input'!$AO214,"")</f>
        <v>0</v>
      </c>
      <c r="P214" s="9">
        <f>IF('[1]Game Input'!$AP214&lt;&gt;"",'[1]Game Input'!$AP214,"")</f>
        <v>1</v>
      </c>
      <c r="Q214" s="9">
        <f>IF('[1]Game Input'!$AQ214&lt;&gt;"",'[1]Game Input'!$AQ214,"")</f>
        <v>0</v>
      </c>
      <c r="R214" s="9">
        <f>IF('[1]Game Input'!$AR214&lt;&gt;"",'[1]Game Input'!$AR214,"")</f>
        <v>0</v>
      </c>
      <c r="S214" s="9">
        <f>IF('[1]Game Input'!$AS214&lt;&gt;"",'[1]Game Input'!$AS214,"")</f>
        <v>0</v>
      </c>
      <c r="T214" s="10" t="str">
        <f>IF('[1]Game Input'!$BA214&lt;&gt;"",'[1]Game Input'!$BA214,"")</f>
        <v>FARGO</v>
      </c>
      <c r="U214" s="9">
        <f>IF('[1]Game Input'!$BU214&lt;&gt;"",'[1]Game Input'!$BU214,"")</f>
        <v>4</v>
      </c>
      <c r="V214" s="9">
        <f>IF('[1]Game Input'!$BV214&lt;&gt;"",'[1]Game Input'!$BV214,"")</f>
        <v>2</v>
      </c>
      <c r="W214" s="9">
        <f>IF('[1]Game Input'!$CB214&lt;&gt;"",'[1]Game Input'!$CB214,"")</f>
        <v>0</v>
      </c>
      <c r="X214" s="9">
        <f>IF('[1]Game Input'!$CC214&lt;&gt;"",'[1]Game Input'!$CC214,"")</f>
        <v>0</v>
      </c>
      <c r="Y214" s="9">
        <f>IF('[1]Game Input'!$CF214&lt;&gt;"",'[1]Game Input'!$CF214,"")</f>
        <v>2</v>
      </c>
      <c r="Z214" s="9">
        <f>IF('[1]Game Input'!$CG214&lt;&gt;"",'[1]Game Input'!$CG214,"")</f>
        <v>0</v>
      </c>
      <c r="AA214" s="9">
        <f>IF('[1]Game Input'!$CH214&lt;&gt;"",'[1]Game Input'!$CH214,"")</f>
        <v>0</v>
      </c>
      <c r="AB214" s="9">
        <f>IF('[1]Game Input'!$CI214&lt;&gt;"",'[1]Game Input'!$CI214,"")</f>
        <v>0</v>
      </c>
      <c r="AC214" s="9">
        <f>IF('[1]Game Input'!$CJ214&lt;&gt;"",'[1]Game Input'!$CJ214,"")</f>
        <v>0</v>
      </c>
      <c r="AD214" s="9">
        <f>IF('[1]Game Input'!$CK214&lt;&gt;"",'[1]Game Input'!$CK214,"")</f>
        <v>0</v>
      </c>
      <c r="AE214" s="8"/>
      <c r="AF214" s="8"/>
      <c r="AG214" s="8"/>
      <c r="AH214" s="8"/>
    </row>
    <row r="215" spans="1:34" x14ac:dyDescent="0.2">
      <c r="A215" s="6">
        <f>IF('[1]Game Input'!$A215&lt;&gt;"",'[1]Game Input'!$A215,"")</f>
        <v>43452</v>
      </c>
      <c r="B215" s="6" t="str">
        <f>IF(A215&gt;$B$1,VLOOKUP(MONTH($A215),DOTWMonth,2,FALSE),"")</f>
        <v>December</v>
      </c>
      <c r="C215" s="10" t="str">
        <f>IF(A215&gt;$B$1,VLOOKUP(WEEKDAY($A215),DOTWMonth,3,FALSE),"")</f>
        <v>Tuesday</v>
      </c>
      <c r="D215" s="7">
        <f>IF('[1]Game Input'!$B215&lt;&gt;"",'[1]Game Input'!$B215,"")</f>
        <v>0.79513888888888884</v>
      </c>
      <c r="E215" s="7">
        <f>IF('[1]Game Input'!$C215&lt;&gt;"",'[1]Game Input'!$C215,"")</f>
        <v>0.75347222222222221</v>
      </c>
      <c r="F215" s="8" t="str">
        <f>IF('[1]Game Input'!$D215&lt;&gt;"",'[1]Game Input'!$D215,"")</f>
        <v>Standard</v>
      </c>
      <c r="G215" s="8" t="str">
        <f>IF('[1]Game Input'!$G215&lt;&gt;"",'[1]Game Input'!$G215,"")</f>
        <v>SF @ DM</v>
      </c>
      <c r="H215" s="8" t="str">
        <f>IF('[1]Game Input'!$H215&lt;&gt;"",'[1]Game Input'!$H215,"")</f>
        <v>Vs. Conference</v>
      </c>
      <c r="I215" s="8" t="str">
        <f>IF('[1]Game Input'!$I215&lt;&gt;"",'[1]Game Input'!$I215,"")</f>
        <v>SIOUX FALLS</v>
      </c>
      <c r="J215" s="9">
        <f>IF('[1]Game Input'!$AC215&lt;&gt;"",'[1]Game Input'!$AC215,"")</f>
        <v>22</v>
      </c>
      <c r="K215" s="9">
        <f>IF('[1]Game Input'!$AD215&lt;&gt;"",'[1]Game Input'!$AD215,"")</f>
        <v>7</v>
      </c>
      <c r="L215" s="9">
        <f>IF('[1]Game Input'!$AJ215&lt;&gt;"",'[1]Game Input'!$AJ215,"")</f>
        <v>0</v>
      </c>
      <c r="M215" s="9">
        <f>IF('[1]Game Input'!$AK215&lt;&gt;"",'[1]Game Input'!$AK215,"")</f>
        <v>0</v>
      </c>
      <c r="N215" s="9">
        <f>IF('[1]Game Input'!$AN215&lt;&gt;"",'[1]Game Input'!$AN215,"")</f>
        <v>6</v>
      </c>
      <c r="O215" s="9">
        <f>IF('[1]Game Input'!$AO215&lt;&gt;"",'[1]Game Input'!$AO215,"")</f>
        <v>0</v>
      </c>
      <c r="P215" s="9">
        <f>IF('[1]Game Input'!$AP215&lt;&gt;"",'[1]Game Input'!$AP215,"")</f>
        <v>1</v>
      </c>
      <c r="Q215" s="9">
        <f>IF('[1]Game Input'!$AQ215&lt;&gt;"",'[1]Game Input'!$AQ215,"")</f>
        <v>0</v>
      </c>
      <c r="R215" s="9">
        <f>IF('[1]Game Input'!$AR215&lt;&gt;"",'[1]Game Input'!$AR215,"")</f>
        <v>0</v>
      </c>
      <c r="S215" s="9">
        <f>IF('[1]Game Input'!$AS215&lt;&gt;"",'[1]Game Input'!$AS215,"")</f>
        <v>0</v>
      </c>
      <c r="T215" s="10" t="str">
        <f>IF('[1]Game Input'!$BA215&lt;&gt;"",'[1]Game Input'!$BA215,"")</f>
        <v>DES MOINES</v>
      </c>
      <c r="U215" s="9">
        <f>IF('[1]Game Input'!$BU215&lt;&gt;"",'[1]Game Input'!$BU215,"")</f>
        <v>10</v>
      </c>
      <c r="V215" s="9">
        <f>IF('[1]Game Input'!$BV215&lt;&gt;"",'[1]Game Input'!$BV215,"")</f>
        <v>5</v>
      </c>
      <c r="W215" s="9">
        <f>IF('[1]Game Input'!$CB215&lt;&gt;"",'[1]Game Input'!$CB215,"")</f>
        <v>0</v>
      </c>
      <c r="X215" s="9">
        <f>IF('[1]Game Input'!$CC215&lt;&gt;"",'[1]Game Input'!$CC215,"")</f>
        <v>0</v>
      </c>
      <c r="Y215" s="9">
        <f>IF('[1]Game Input'!$CF215&lt;&gt;"",'[1]Game Input'!$CF215,"")</f>
        <v>5</v>
      </c>
      <c r="Z215" s="9">
        <f>IF('[1]Game Input'!$CG215&lt;&gt;"",'[1]Game Input'!$CG215,"")</f>
        <v>0</v>
      </c>
      <c r="AA215" s="9">
        <f>IF('[1]Game Input'!$CH215&lt;&gt;"",'[1]Game Input'!$CH215,"")</f>
        <v>0</v>
      </c>
      <c r="AB215" s="9">
        <f>IF('[1]Game Input'!$CI215&lt;&gt;"",'[1]Game Input'!$CI215,"")</f>
        <v>0</v>
      </c>
      <c r="AC215" s="9">
        <f>IF('[1]Game Input'!$CJ215&lt;&gt;"",'[1]Game Input'!$CJ215,"")</f>
        <v>0</v>
      </c>
      <c r="AD215" s="9">
        <f>IF('[1]Game Input'!$CK215&lt;&gt;"",'[1]Game Input'!$CK215,"")</f>
        <v>0</v>
      </c>
      <c r="AE215" s="8" t="s">
        <v>94</v>
      </c>
      <c r="AF215" s="8"/>
      <c r="AG215" s="8" t="s">
        <v>115</v>
      </c>
      <c r="AH215" s="8" t="s">
        <v>119</v>
      </c>
    </row>
    <row r="216" spans="1:34" x14ac:dyDescent="0.2">
      <c r="A216" s="6">
        <f>IF('[1]Game Input'!$A216&lt;&gt;"",'[1]Game Input'!$A216,"")</f>
        <v>43453</v>
      </c>
      <c r="B216" s="6" t="str">
        <f>IF(A216&gt;$B$1,VLOOKUP(MONTH($A216),DOTWMonth,2,FALSE),"")</f>
        <v>December</v>
      </c>
      <c r="C216" s="10" t="str">
        <f>IF(A216&gt;$B$1,VLOOKUP(WEEKDAY($A216),DOTWMonth,3,FALSE),"")</f>
        <v>Wednesday</v>
      </c>
      <c r="D216" s="7">
        <f>IF('[1]Game Input'!$B216&lt;&gt;"",'[1]Game Input'!$B216,"")</f>
        <v>0.4375</v>
      </c>
      <c r="E216" s="7">
        <f>IF('[1]Game Input'!$C216&lt;&gt;"",'[1]Game Input'!$C216,"")</f>
        <v>0.39583333333333337</v>
      </c>
      <c r="F216" s="8" t="str">
        <f>IF('[1]Game Input'!$D216&lt;&gt;"",'[1]Game Input'!$D216,"")</f>
        <v>Standard</v>
      </c>
      <c r="G216" s="8" t="str">
        <f>IF('[1]Game Input'!$G216&lt;&gt;"",'[1]Game Input'!$G216,"")</f>
        <v>MUS @ USA</v>
      </c>
      <c r="H216" s="8" t="str">
        <f>IF('[1]Game Input'!$H216&lt;&gt;"",'[1]Game Input'!$H216,"")</f>
        <v>Vs. Conference</v>
      </c>
      <c r="I216" s="8" t="str">
        <f>IF('[1]Game Input'!$I216&lt;&gt;"",'[1]Game Input'!$I216,"")</f>
        <v>MUSKEGON</v>
      </c>
      <c r="J216" s="9">
        <f>IF('[1]Game Input'!$AC216&lt;&gt;"",'[1]Game Input'!$AC216,"")</f>
        <v>10</v>
      </c>
      <c r="K216" s="9">
        <f>IF('[1]Game Input'!$AD216&lt;&gt;"",'[1]Game Input'!$AD216,"")</f>
        <v>5</v>
      </c>
      <c r="L216" s="9">
        <f>IF('[1]Game Input'!$AJ216&lt;&gt;"",'[1]Game Input'!$AJ216,"")</f>
        <v>0</v>
      </c>
      <c r="M216" s="9">
        <f>IF('[1]Game Input'!$AK216&lt;&gt;"",'[1]Game Input'!$AK216,"")</f>
        <v>0</v>
      </c>
      <c r="N216" s="9">
        <f>IF('[1]Game Input'!$AN216&lt;&gt;"",'[1]Game Input'!$AN216,"")</f>
        <v>5</v>
      </c>
      <c r="O216" s="9">
        <f>IF('[1]Game Input'!$AO216&lt;&gt;"",'[1]Game Input'!$AO216,"")</f>
        <v>0</v>
      </c>
      <c r="P216" s="9">
        <f>IF('[1]Game Input'!$AP216&lt;&gt;"",'[1]Game Input'!$AP216,"")</f>
        <v>0</v>
      </c>
      <c r="Q216" s="9">
        <f>IF('[1]Game Input'!$AQ216&lt;&gt;"",'[1]Game Input'!$AQ216,"")</f>
        <v>0</v>
      </c>
      <c r="R216" s="9">
        <f>IF('[1]Game Input'!$AR216&lt;&gt;"",'[1]Game Input'!$AR216,"")</f>
        <v>0</v>
      </c>
      <c r="S216" s="9">
        <f>IF('[1]Game Input'!$AS216&lt;&gt;"",'[1]Game Input'!$AS216,"")</f>
        <v>0</v>
      </c>
      <c r="T216" s="10" t="str">
        <f>IF('[1]Game Input'!$BA216&lt;&gt;"",'[1]Game Input'!$BA216,"")</f>
        <v>TEAM USA</v>
      </c>
      <c r="U216" s="9">
        <f>IF('[1]Game Input'!$BU216&lt;&gt;"",'[1]Game Input'!$BU216,"")</f>
        <v>26</v>
      </c>
      <c r="V216" s="9">
        <f>IF('[1]Game Input'!$BV216&lt;&gt;"",'[1]Game Input'!$BV216,"")</f>
        <v>9</v>
      </c>
      <c r="W216" s="9">
        <f>IF('[1]Game Input'!$CB216&lt;&gt;"",'[1]Game Input'!$CB216,"")</f>
        <v>0</v>
      </c>
      <c r="X216" s="9">
        <f>IF('[1]Game Input'!$CC216&lt;&gt;"",'[1]Game Input'!$CC216,"")</f>
        <v>0</v>
      </c>
      <c r="Y216" s="9">
        <f>IF('[1]Game Input'!$CF216&lt;&gt;"",'[1]Game Input'!$CF216,"")</f>
        <v>8</v>
      </c>
      <c r="Z216" s="9">
        <f>IF('[1]Game Input'!$CG216&lt;&gt;"",'[1]Game Input'!$CG216,"")</f>
        <v>0</v>
      </c>
      <c r="AA216" s="9">
        <f>IF('[1]Game Input'!$CH216&lt;&gt;"",'[1]Game Input'!$CH216,"")</f>
        <v>1</v>
      </c>
      <c r="AB216" s="9">
        <f>IF('[1]Game Input'!$CI216&lt;&gt;"",'[1]Game Input'!$CI216,"")</f>
        <v>0</v>
      </c>
      <c r="AC216" s="9">
        <f>IF('[1]Game Input'!$CJ216&lt;&gt;"",'[1]Game Input'!$CJ216,"")</f>
        <v>0</v>
      </c>
      <c r="AD216" s="9">
        <f>IF('[1]Game Input'!$CK216&lt;&gt;"",'[1]Game Input'!$CK216,"")</f>
        <v>0</v>
      </c>
      <c r="AE216" s="8"/>
      <c r="AF216" s="8"/>
      <c r="AG216" s="8"/>
      <c r="AH216" s="8"/>
    </row>
    <row r="217" spans="1:34" x14ac:dyDescent="0.2">
      <c r="A217" s="6">
        <f>IF('[1]Game Input'!$A217&lt;&gt;"",'[1]Game Input'!$A217,"")</f>
        <v>43461</v>
      </c>
      <c r="B217" s="6" t="str">
        <f>IF(A217&gt;$B$1,VLOOKUP(MONTH($A217),DOTWMonth,2,FALSE),"")</f>
        <v>December</v>
      </c>
      <c r="C217" s="10" t="str">
        <f>IF(A217&gt;$B$1,VLOOKUP(WEEKDAY($A217),DOTWMonth,3,FALSE),"")</f>
        <v>Thursday</v>
      </c>
      <c r="D217" s="7">
        <f>IF('[1]Game Input'!$B217&lt;&gt;"",'[1]Game Input'!$B217,"")</f>
        <v>0.83680555555555547</v>
      </c>
      <c r="E217" s="7">
        <f>IF('[1]Game Input'!$C217&lt;&gt;"",'[1]Game Input'!$C217,"")</f>
        <v>0.79513888888888884</v>
      </c>
      <c r="F217" s="8" t="str">
        <f>IF('[1]Game Input'!$D217&lt;&gt;"",'[1]Game Input'!$D217,"")</f>
        <v>Standard</v>
      </c>
      <c r="G217" s="8" t="str">
        <f>IF('[1]Game Input'!$G217&lt;&gt;"",'[1]Game Input'!$G217,"")</f>
        <v>DUB @ GB</v>
      </c>
      <c r="H217" s="8" t="str">
        <f>IF('[1]Game Input'!$H217&lt;&gt;"",'[1]Game Input'!$H217,"")</f>
        <v>Vs. Conference</v>
      </c>
      <c r="I217" s="8" t="str">
        <f>IF('[1]Game Input'!$I217&lt;&gt;"",'[1]Game Input'!$I217,"")</f>
        <v>DUBUQUE</v>
      </c>
      <c r="J217" s="9">
        <f>IF('[1]Game Input'!$AC217&lt;&gt;"",'[1]Game Input'!$AC217,"")</f>
        <v>10</v>
      </c>
      <c r="K217" s="9">
        <f>IF('[1]Game Input'!$AD217&lt;&gt;"",'[1]Game Input'!$AD217,"")</f>
        <v>5</v>
      </c>
      <c r="L217" s="9">
        <f>IF('[1]Game Input'!$AJ217&lt;&gt;"",'[1]Game Input'!$AJ217,"")</f>
        <v>0</v>
      </c>
      <c r="M217" s="9">
        <f>IF('[1]Game Input'!$AK217&lt;&gt;"",'[1]Game Input'!$AK217,"")</f>
        <v>0</v>
      </c>
      <c r="N217" s="9">
        <f>IF('[1]Game Input'!$AN217&lt;&gt;"",'[1]Game Input'!$AN217,"")</f>
        <v>5</v>
      </c>
      <c r="O217" s="9">
        <f>IF('[1]Game Input'!$AO217&lt;&gt;"",'[1]Game Input'!$AO217,"")</f>
        <v>0</v>
      </c>
      <c r="P217" s="9">
        <f>IF('[1]Game Input'!$AP217&lt;&gt;"",'[1]Game Input'!$AP217,"")</f>
        <v>0</v>
      </c>
      <c r="Q217" s="9">
        <f>IF('[1]Game Input'!$AQ217&lt;&gt;"",'[1]Game Input'!$AQ217,"")</f>
        <v>0</v>
      </c>
      <c r="R217" s="9">
        <f>IF('[1]Game Input'!$AR217&lt;&gt;"",'[1]Game Input'!$AR217,"")</f>
        <v>0</v>
      </c>
      <c r="S217" s="9">
        <f>IF('[1]Game Input'!$AS217&lt;&gt;"",'[1]Game Input'!$AS217,"")</f>
        <v>0</v>
      </c>
      <c r="T217" s="10" t="str">
        <f>IF('[1]Game Input'!$BA217&lt;&gt;"",'[1]Game Input'!$BA217,"")</f>
        <v>GREEN BAY</v>
      </c>
      <c r="U217" s="9">
        <f>IF('[1]Game Input'!$BU217&lt;&gt;"",'[1]Game Input'!$BU217,"")</f>
        <v>16</v>
      </c>
      <c r="V217" s="9">
        <f>IF('[1]Game Input'!$BV217&lt;&gt;"",'[1]Game Input'!$BV217,"")</f>
        <v>4</v>
      </c>
      <c r="W217" s="9">
        <f>IF('[1]Game Input'!$CB217&lt;&gt;"",'[1]Game Input'!$CB217,"")</f>
        <v>0</v>
      </c>
      <c r="X217" s="9">
        <f>IF('[1]Game Input'!$CC217&lt;&gt;"",'[1]Game Input'!$CC217,"")</f>
        <v>0</v>
      </c>
      <c r="Y217" s="9">
        <f>IF('[1]Game Input'!$CF217&lt;&gt;"",'[1]Game Input'!$CF217,"")</f>
        <v>3</v>
      </c>
      <c r="Z217" s="9">
        <f>IF('[1]Game Input'!$CG217&lt;&gt;"",'[1]Game Input'!$CG217,"")</f>
        <v>0</v>
      </c>
      <c r="AA217" s="9">
        <f>IF('[1]Game Input'!$CH217&lt;&gt;"",'[1]Game Input'!$CH217,"")</f>
        <v>1</v>
      </c>
      <c r="AB217" s="9">
        <f>IF('[1]Game Input'!$CI217&lt;&gt;"",'[1]Game Input'!$CI217,"")</f>
        <v>0</v>
      </c>
      <c r="AC217" s="9">
        <f>IF('[1]Game Input'!$CJ217&lt;&gt;"",'[1]Game Input'!$CJ217,"")</f>
        <v>0</v>
      </c>
      <c r="AD217" s="9">
        <f>IF('[1]Game Input'!$CK217&lt;&gt;"",'[1]Game Input'!$CK217,"")</f>
        <v>0</v>
      </c>
      <c r="AE217" s="8"/>
      <c r="AF217" s="8"/>
      <c r="AG217" s="8"/>
      <c r="AH217" s="8"/>
    </row>
    <row r="218" spans="1:34" x14ac:dyDescent="0.2">
      <c r="A218" s="6">
        <f>IF('[1]Game Input'!$A218&lt;&gt;"",'[1]Game Input'!$A218,"")</f>
        <v>43461</v>
      </c>
      <c r="B218" s="6" t="str">
        <f>IF(A218&gt;$B$1,VLOOKUP(MONTH($A218),DOTWMonth,2,FALSE),"")</f>
        <v>December</v>
      </c>
      <c r="C218" s="10" t="str">
        <f>IF(A218&gt;$B$1,VLOOKUP(WEEKDAY($A218),DOTWMonth,3,FALSE),"")</f>
        <v>Thursday</v>
      </c>
      <c r="D218" s="7">
        <f>IF('[1]Game Input'!$B218&lt;&gt;"",'[1]Game Input'!$B218,"")</f>
        <v>0.83680555555555547</v>
      </c>
      <c r="E218" s="7">
        <f>IF('[1]Game Input'!$C218&lt;&gt;"",'[1]Game Input'!$C218,"")</f>
        <v>0.79513888888888884</v>
      </c>
      <c r="F218" s="8" t="str">
        <f>IF('[1]Game Input'!$D218&lt;&gt;"",'[1]Game Input'!$D218,"")</f>
        <v>Standard</v>
      </c>
      <c r="G218" s="8" t="str">
        <f>IF('[1]Game Input'!$G218&lt;&gt;"",'[1]Game Input'!$G218,"")</f>
        <v>WAT @ SF</v>
      </c>
      <c r="H218" s="8" t="str">
        <f>IF('[1]Game Input'!$H218&lt;&gt;"",'[1]Game Input'!$H218,"")</f>
        <v>Vs. Conference</v>
      </c>
      <c r="I218" s="8" t="str">
        <f>IF('[1]Game Input'!$I218&lt;&gt;"",'[1]Game Input'!$I218,"")</f>
        <v>WATERLOO</v>
      </c>
      <c r="J218" s="9">
        <f>IF('[1]Game Input'!$AC218&lt;&gt;"",'[1]Game Input'!$AC218,"")</f>
        <v>20</v>
      </c>
      <c r="K218" s="9">
        <f>IF('[1]Game Input'!$AD218&lt;&gt;"",'[1]Game Input'!$AD218,"")</f>
        <v>10</v>
      </c>
      <c r="L218" s="9">
        <f>IF('[1]Game Input'!$AJ218&lt;&gt;"",'[1]Game Input'!$AJ218,"")</f>
        <v>0</v>
      </c>
      <c r="M218" s="9">
        <f>IF('[1]Game Input'!$AK218&lt;&gt;"",'[1]Game Input'!$AK218,"")</f>
        <v>0</v>
      </c>
      <c r="N218" s="9">
        <f>IF('[1]Game Input'!$AN218&lt;&gt;"",'[1]Game Input'!$AN218,"")</f>
        <v>10</v>
      </c>
      <c r="O218" s="9">
        <f>IF('[1]Game Input'!$AO218&lt;&gt;"",'[1]Game Input'!$AO218,"")</f>
        <v>0</v>
      </c>
      <c r="P218" s="9">
        <f>IF('[1]Game Input'!$AP218&lt;&gt;"",'[1]Game Input'!$AP218,"")</f>
        <v>0</v>
      </c>
      <c r="Q218" s="9">
        <f>IF('[1]Game Input'!$AQ218&lt;&gt;"",'[1]Game Input'!$AQ218,"")</f>
        <v>0</v>
      </c>
      <c r="R218" s="9">
        <f>IF('[1]Game Input'!$AR218&lt;&gt;"",'[1]Game Input'!$AR218,"")</f>
        <v>0</v>
      </c>
      <c r="S218" s="9">
        <f>IF('[1]Game Input'!$AS218&lt;&gt;"",'[1]Game Input'!$AS218,"")</f>
        <v>0</v>
      </c>
      <c r="T218" s="10" t="str">
        <f>IF('[1]Game Input'!$BA218&lt;&gt;"",'[1]Game Input'!$BA218,"")</f>
        <v>SIOUX FALLS</v>
      </c>
      <c r="U218" s="9">
        <f>IF('[1]Game Input'!$BU218&lt;&gt;"",'[1]Game Input'!$BU218,"")</f>
        <v>12</v>
      </c>
      <c r="V218" s="9">
        <f>IF('[1]Game Input'!$BV218&lt;&gt;"",'[1]Game Input'!$BV218,"")</f>
        <v>6</v>
      </c>
      <c r="W218" s="9">
        <f>IF('[1]Game Input'!$CB218&lt;&gt;"",'[1]Game Input'!$CB218,"")</f>
        <v>0</v>
      </c>
      <c r="X218" s="9">
        <f>IF('[1]Game Input'!$CC218&lt;&gt;"",'[1]Game Input'!$CC218,"")</f>
        <v>0</v>
      </c>
      <c r="Y218" s="9">
        <f>IF('[1]Game Input'!$CF218&lt;&gt;"",'[1]Game Input'!$CF218,"")</f>
        <v>6</v>
      </c>
      <c r="Z218" s="9">
        <f>IF('[1]Game Input'!$CG218&lt;&gt;"",'[1]Game Input'!$CG218,"")</f>
        <v>0</v>
      </c>
      <c r="AA218" s="9">
        <f>IF('[1]Game Input'!$CH218&lt;&gt;"",'[1]Game Input'!$CH218,"")</f>
        <v>0</v>
      </c>
      <c r="AB218" s="9">
        <f>IF('[1]Game Input'!$CI218&lt;&gt;"",'[1]Game Input'!$CI218,"")</f>
        <v>0</v>
      </c>
      <c r="AC218" s="9">
        <f>IF('[1]Game Input'!$CJ218&lt;&gt;"",'[1]Game Input'!$CJ218,"")</f>
        <v>0</v>
      </c>
      <c r="AD218" s="9">
        <f>IF('[1]Game Input'!$CK218&lt;&gt;"",'[1]Game Input'!$CK218,"")</f>
        <v>0</v>
      </c>
      <c r="AE218" s="8"/>
      <c r="AF218" s="8"/>
      <c r="AG218" s="8"/>
      <c r="AH218" s="8"/>
    </row>
    <row r="219" spans="1:34" x14ac:dyDescent="0.2">
      <c r="A219" s="6">
        <f>IF('[1]Game Input'!$A219&lt;&gt;"",'[1]Game Input'!$A219,"")</f>
        <v>43461</v>
      </c>
      <c r="B219" s="6" t="str">
        <f>IF(A219&gt;$B$1,VLOOKUP(MONTH($A219),DOTWMonth,2,FALSE),"")</f>
        <v>December</v>
      </c>
      <c r="C219" s="10" t="str">
        <f>IF(A219&gt;$B$1,VLOOKUP(WEEKDAY($A219),DOTWMonth,3,FALSE),"")</f>
        <v>Thursday</v>
      </c>
      <c r="D219" s="7">
        <f>IF('[1]Game Input'!$B219&lt;&gt;"",'[1]Game Input'!$B219,"")</f>
        <v>0.85763888888888884</v>
      </c>
      <c r="E219" s="7">
        <f>IF('[1]Game Input'!$C219&lt;&gt;"",'[1]Game Input'!$C219,"")</f>
        <v>0.81597222222222221</v>
      </c>
      <c r="F219" s="8" t="str">
        <f>IF('[1]Game Input'!$D219&lt;&gt;"",'[1]Game Input'!$D219,"")</f>
        <v>Standard</v>
      </c>
      <c r="G219" s="8" t="str">
        <f>IF('[1]Game Input'!$G219&lt;&gt;"",'[1]Game Input'!$G219,"")</f>
        <v>DM @ OMA</v>
      </c>
      <c r="H219" s="8" t="str">
        <f>IF('[1]Game Input'!$H219&lt;&gt;"",'[1]Game Input'!$H219,"")</f>
        <v>Vs. Conference</v>
      </c>
      <c r="I219" s="8" t="str">
        <f>IF('[1]Game Input'!$I219&lt;&gt;"",'[1]Game Input'!$I219,"")</f>
        <v>DES MOINES</v>
      </c>
      <c r="J219" s="9">
        <f>IF('[1]Game Input'!$AC219&lt;&gt;"",'[1]Game Input'!$AC219,"")</f>
        <v>19</v>
      </c>
      <c r="K219" s="9">
        <f>IF('[1]Game Input'!$AD219&lt;&gt;"",'[1]Game Input'!$AD219,"")</f>
        <v>4</v>
      </c>
      <c r="L219" s="9">
        <f>IF('[1]Game Input'!$AJ219&lt;&gt;"",'[1]Game Input'!$AJ219,"")</f>
        <v>0</v>
      </c>
      <c r="M219" s="9">
        <f>IF('[1]Game Input'!$AK219&lt;&gt;"",'[1]Game Input'!$AK219,"")</f>
        <v>0</v>
      </c>
      <c r="N219" s="9">
        <f>IF('[1]Game Input'!$AN219&lt;&gt;"",'[1]Game Input'!$AN219,"")</f>
        <v>2</v>
      </c>
      <c r="O219" s="9">
        <f>IF('[1]Game Input'!$AO219&lt;&gt;"",'[1]Game Input'!$AO219,"")</f>
        <v>1</v>
      </c>
      <c r="P219" s="9">
        <f>IF('[1]Game Input'!$AP219&lt;&gt;"",'[1]Game Input'!$AP219,"")</f>
        <v>1</v>
      </c>
      <c r="Q219" s="9">
        <f>IF('[1]Game Input'!$AQ219&lt;&gt;"",'[1]Game Input'!$AQ219,"")</f>
        <v>0</v>
      </c>
      <c r="R219" s="9">
        <f>IF('[1]Game Input'!$AR219&lt;&gt;"",'[1]Game Input'!$AR219,"")</f>
        <v>0</v>
      </c>
      <c r="S219" s="9">
        <f>IF('[1]Game Input'!$AS219&lt;&gt;"",'[1]Game Input'!$AS219,"")</f>
        <v>0</v>
      </c>
      <c r="T219" s="10" t="str">
        <f>IF('[1]Game Input'!$BA219&lt;&gt;"",'[1]Game Input'!$BA219,"")</f>
        <v>OMAHA</v>
      </c>
      <c r="U219" s="9">
        <f>IF('[1]Game Input'!$BU219&lt;&gt;"",'[1]Game Input'!$BU219,"")</f>
        <v>23</v>
      </c>
      <c r="V219" s="9">
        <f>IF('[1]Game Input'!$BV219&lt;&gt;"",'[1]Game Input'!$BV219,"")</f>
        <v>6</v>
      </c>
      <c r="W219" s="9">
        <f>IF('[1]Game Input'!$CB219&lt;&gt;"",'[1]Game Input'!$CB219,"")</f>
        <v>0</v>
      </c>
      <c r="X219" s="9">
        <f>IF('[1]Game Input'!$CC219&lt;&gt;"",'[1]Game Input'!$CC219,"")</f>
        <v>0</v>
      </c>
      <c r="Y219" s="9">
        <f>IF('[1]Game Input'!$CF219&lt;&gt;"",'[1]Game Input'!$CF219,"")</f>
        <v>4</v>
      </c>
      <c r="Z219" s="9">
        <f>IF('[1]Game Input'!$CG219&lt;&gt;"",'[1]Game Input'!$CG219,"")</f>
        <v>1</v>
      </c>
      <c r="AA219" s="9">
        <f>IF('[1]Game Input'!$CH219&lt;&gt;"",'[1]Game Input'!$CH219,"")</f>
        <v>1</v>
      </c>
      <c r="AB219" s="9">
        <f>IF('[1]Game Input'!$CI219&lt;&gt;"",'[1]Game Input'!$CI219,"")</f>
        <v>0</v>
      </c>
      <c r="AC219" s="9">
        <f>IF('[1]Game Input'!$CJ219&lt;&gt;"",'[1]Game Input'!$CJ219,"")</f>
        <v>0</v>
      </c>
      <c r="AD219" s="9">
        <f>IF('[1]Game Input'!$CK219&lt;&gt;"",'[1]Game Input'!$CK219,"")</f>
        <v>0</v>
      </c>
      <c r="AE219" s="8" t="s">
        <v>92</v>
      </c>
      <c r="AF219" s="8" t="s">
        <v>101</v>
      </c>
      <c r="AG219" s="8" t="s">
        <v>118</v>
      </c>
      <c r="AH219" s="8" t="s">
        <v>121</v>
      </c>
    </row>
    <row r="220" spans="1:34" x14ac:dyDescent="0.2">
      <c r="A220" s="6">
        <f>IF('[1]Game Input'!$A220&lt;&gt;"",'[1]Game Input'!$A220,"")</f>
        <v>43462</v>
      </c>
      <c r="B220" s="6" t="str">
        <f>IF(A220&gt;$B$1,VLOOKUP(MONTH($A220),DOTWMonth,2,FALSE),"")</f>
        <v>December</v>
      </c>
      <c r="C220" s="10" t="str">
        <f>IF(A220&gt;$B$1,VLOOKUP(WEEKDAY($A220),DOTWMonth,3,FALSE),"")</f>
        <v>Friday</v>
      </c>
      <c r="D220" s="7">
        <f>IF('[1]Game Input'!$B220&lt;&gt;"",'[1]Game Input'!$B220,"")</f>
        <v>0.80208333333333337</v>
      </c>
      <c r="E220" s="7">
        <f>IF('[1]Game Input'!$C220&lt;&gt;"",'[1]Game Input'!$C220,"")</f>
        <v>0.76041666666666674</v>
      </c>
      <c r="F220" s="8" t="str">
        <f>IF('[1]Game Input'!$D220&lt;&gt;"",'[1]Game Input'!$D220,"")</f>
        <v>Standard</v>
      </c>
      <c r="G220" s="8" t="str">
        <f>IF('[1]Game Input'!$G220&lt;&gt;"",'[1]Game Input'!$G220,"")</f>
        <v>MAD @ MUS</v>
      </c>
      <c r="H220" s="8" t="str">
        <f>IF('[1]Game Input'!$H220&lt;&gt;"",'[1]Game Input'!$H220,"")</f>
        <v>Vs. Conference</v>
      </c>
      <c r="I220" s="8" t="str">
        <f>IF('[1]Game Input'!$I220&lt;&gt;"",'[1]Game Input'!$I220,"")</f>
        <v>MADISON</v>
      </c>
      <c r="J220" s="9">
        <f>IF('[1]Game Input'!$AC220&lt;&gt;"",'[1]Game Input'!$AC220,"")</f>
        <v>14</v>
      </c>
      <c r="K220" s="9">
        <f>IF('[1]Game Input'!$AD220&lt;&gt;"",'[1]Game Input'!$AD220,"")</f>
        <v>8</v>
      </c>
      <c r="L220" s="9">
        <f>IF('[1]Game Input'!$AJ220&lt;&gt;"",'[1]Game Input'!$AJ220,"")</f>
        <v>0</v>
      </c>
      <c r="M220" s="9">
        <f>IF('[1]Game Input'!$AK220&lt;&gt;"",'[1]Game Input'!$AK220,"")</f>
        <v>0</v>
      </c>
      <c r="N220" s="9">
        <f>IF('[1]Game Input'!$AN220&lt;&gt;"",'[1]Game Input'!$AN220,"")</f>
        <v>7</v>
      </c>
      <c r="O220" s="9">
        <f>IF('[1]Game Input'!$AO220&lt;&gt;"",'[1]Game Input'!$AO220,"")</f>
        <v>0</v>
      </c>
      <c r="P220" s="9">
        <f>IF('[1]Game Input'!$AP220&lt;&gt;"",'[1]Game Input'!$AP220,"")</f>
        <v>0</v>
      </c>
      <c r="Q220" s="9">
        <f>IF('[1]Game Input'!$AQ220&lt;&gt;"",'[1]Game Input'!$AQ220,"")</f>
        <v>0</v>
      </c>
      <c r="R220" s="9">
        <f>IF('[1]Game Input'!$AR220&lt;&gt;"",'[1]Game Input'!$AR220,"")</f>
        <v>0</v>
      </c>
      <c r="S220" s="9">
        <f>IF('[1]Game Input'!$AS220&lt;&gt;"",'[1]Game Input'!$AS220,"")</f>
        <v>0</v>
      </c>
      <c r="T220" s="10" t="str">
        <f>IF('[1]Game Input'!$BA220&lt;&gt;"",'[1]Game Input'!$BA220,"")</f>
        <v>MUSKEGON</v>
      </c>
      <c r="U220" s="9">
        <f>IF('[1]Game Input'!$BU220&lt;&gt;"",'[1]Game Input'!$BU220,"")</f>
        <v>10</v>
      </c>
      <c r="V220" s="9">
        <f>IF('[1]Game Input'!$BV220&lt;&gt;"",'[1]Game Input'!$BV220,"")</f>
        <v>5</v>
      </c>
      <c r="W220" s="9">
        <f>IF('[1]Game Input'!$CB220&lt;&gt;"",'[1]Game Input'!$CB220,"")</f>
        <v>0</v>
      </c>
      <c r="X220" s="9">
        <f>IF('[1]Game Input'!$CC220&lt;&gt;"",'[1]Game Input'!$CC220,"")</f>
        <v>1</v>
      </c>
      <c r="Y220" s="9">
        <f>IF('[1]Game Input'!$CF220&lt;&gt;"",'[1]Game Input'!$CF220,"")</f>
        <v>5</v>
      </c>
      <c r="Z220" s="9">
        <f>IF('[1]Game Input'!$CG220&lt;&gt;"",'[1]Game Input'!$CG220,"")</f>
        <v>0</v>
      </c>
      <c r="AA220" s="9">
        <f>IF('[1]Game Input'!$CH220&lt;&gt;"",'[1]Game Input'!$CH220,"")</f>
        <v>0</v>
      </c>
      <c r="AB220" s="9">
        <f>IF('[1]Game Input'!$CI220&lt;&gt;"",'[1]Game Input'!$CI220,"")</f>
        <v>0</v>
      </c>
      <c r="AC220" s="9">
        <f>IF('[1]Game Input'!$CJ220&lt;&gt;"",'[1]Game Input'!$CJ220,"")</f>
        <v>0</v>
      </c>
      <c r="AD220" s="9">
        <f>IF('[1]Game Input'!$CK220&lt;&gt;"",'[1]Game Input'!$CK220,"")</f>
        <v>1</v>
      </c>
      <c r="AE220" s="8"/>
      <c r="AF220" s="8"/>
      <c r="AG220" s="8"/>
      <c r="AH220" s="8"/>
    </row>
    <row r="221" spans="1:34" x14ac:dyDescent="0.2">
      <c r="A221" s="6">
        <f>IF('[1]Game Input'!$A221&lt;&gt;"",'[1]Game Input'!$A221,"")</f>
        <v>43462</v>
      </c>
      <c r="B221" s="6" t="str">
        <f>IF(A221&gt;$B$1,VLOOKUP(MONTH($A221),DOTWMonth,2,FALSE),"")</f>
        <v>December</v>
      </c>
      <c r="C221" s="10" t="str">
        <f>IF(A221&gt;$B$1,VLOOKUP(WEEKDAY($A221),DOTWMonth,3,FALSE),"")</f>
        <v>Friday</v>
      </c>
      <c r="D221" s="7">
        <f>IF('[1]Game Input'!$B221&lt;&gt;"",'[1]Game Input'!$B221,"")</f>
        <v>0.83680555555555547</v>
      </c>
      <c r="E221" s="7">
        <f>IF('[1]Game Input'!$C221&lt;&gt;"",'[1]Game Input'!$C221,"")</f>
        <v>0.79513888888888884</v>
      </c>
      <c r="F221" s="8" t="str">
        <f>IF('[1]Game Input'!$D221&lt;&gt;"",'[1]Game Input'!$D221,"")</f>
        <v>Standard</v>
      </c>
      <c r="G221" s="8" t="str">
        <f>IF('[1]Game Input'!$G221&lt;&gt;"",'[1]Game Input'!$G221,"")</f>
        <v>YNG @ CR</v>
      </c>
      <c r="H221" s="8" t="str">
        <f>IF('[1]Game Input'!$H221&lt;&gt;"",'[1]Game Input'!$H221,"")</f>
        <v>Vs. Conference</v>
      </c>
      <c r="I221" s="8" t="str">
        <f>IF('[1]Game Input'!$I221&lt;&gt;"",'[1]Game Input'!$I221,"")</f>
        <v>YOUNGSTOWN</v>
      </c>
      <c r="J221" s="9">
        <f>IF('[1]Game Input'!$AC221&lt;&gt;"",'[1]Game Input'!$AC221,"")</f>
        <v>8</v>
      </c>
      <c r="K221" s="9">
        <f>IF('[1]Game Input'!$AD221&lt;&gt;"",'[1]Game Input'!$AD221,"")</f>
        <v>4</v>
      </c>
      <c r="L221" s="9">
        <f>IF('[1]Game Input'!$AJ221&lt;&gt;"",'[1]Game Input'!$AJ221,"")</f>
        <v>0</v>
      </c>
      <c r="M221" s="9">
        <f>IF('[1]Game Input'!$AK221&lt;&gt;"",'[1]Game Input'!$AK221,"")</f>
        <v>0</v>
      </c>
      <c r="N221" s="9">
        <f>IF('[1]Game Input'!$AN221&lt;&gt;"",'[1]Game Input'!$AN221,"")</f>
        <v>4</v>
      </c>
      <c r="O221" s="9">
        <f>IF('[1]Game Input'!$AO221&lt;&gt;"",'[1]Game Input'!$AO221,"")</f>
        <v>0</v>
      </c>
      <c r="P221" s="9">
        <f>IF('[1]Game Input'!$AP221&lt;&gt;"",'[1]Game Input'!$AP221,"")</f>
        <v>0</v>
      </c>
      <c r="Q221" s="9">
        <f>IF('[1]Game Input'!$AQ221&lt;&gt;"",'[1]Game Input'!$AQ221,"")</f>
        <v>0</v>
      </c>
      <c r="R221" s="9">
        <f>IF('[1]Game Input'!$AR221&lt;&gt;"",'[1]Game Input'!$AR221,"")</f>
        <v>0</v>
      </c>
      <c r="S221" s="9">
        <f>IF('[1]Game Input'!$AS221&lt;&gt;"",'[1]Game Input'!$AS221,"")</f>
        <v>0</v>
      </c>
      <c r="T221" s="10" t="str">
        <f>IF('[1]Game Input'!$BA221&lt;&gt;"",'[1]Game Input'!$BA221,"")</f>
        <v>CEDAR RAPIDS</v>
      </c>
      <c r="U221" s="9">
        <f>IF('[1]Game Input'!$BU221&lt;&gt;"",'[1]Game Input'!$BU221,"")</f>
        <v>4</v>
      </c>
      <c r="V221" s="9">
        <f>IF('[1]Game Input'!$BV221&lt;&gt;"",'[1]Game Input'!$BV221,"")</f>
        <v>2</v>
      </c>
      <c r="W221" s="9">
        <f>IF('[1]Game Input'!$CB221&lt;&gt;"",'[1]Game Input'!$CB221,"")</f>
        <v>0</v>
      </c>
      <c r="X221" s="9">
        <f>IF('[1]Game Input'!$CC221&lt;&gt;"",'[1]Game Input'!$CC221,"")</f>
        <v>0</v>
      </c>
      <c r="Y221" s="9">
        <f>IF('[1]Game Input'!$CF221&lt;&gt;"",'[1]Game Input'!$CF221,"")</f>
        <v>2</v>
      </c>
      <c r="Z221" s="9">
        <f>IF('[1]Game Input'!$CG221&lt;&gt;"",'[1]Game Input'!$CG221,"")</f>
        <v>0</v>
      </c>
      <c r="AA221" s="9">
        <f>IF('[1]Game Input'!$CH221&lt;&gt;"",'[1]Game Input'!$CH221,"")</f>
        <v>0</v>
      </c>
      <c r="AB221" s="9">
        <f>IF('[1]Game Input'!$CI221&lt;&gt;"",'[1]Game Input'!$CI221,"")</f>
        <v>0</v>
      </c>
      <c r="AC221" s="9">
        <f>IF('[1]Game Input'!$CJ221&lt;&gt;"",'[1]Game Input'!$CJ221,"")</f>
        <v>0</v>
      </c>
      <c r="AD221" s="9">
        <f>IF('[1]Game Input'!$CK221&lt;&gt;"",'[1]Game Input'!$CK221,"")</f>
        <v>0</v>
      </c>
      <c r="AE221" s="8" t="s">
        <v>102</v>
      </c>
      <c r="AF221" s="8" t="s">
        <v>95</v>
      </c>
      <c r="AG221" s="8" t="s">
        <v>111</v>
      </c>
      <c r="AH221" s="8" t="s">
        <v>117</v>
      </c>
    </row>
    <row r="222" spans="1:34" x14ac:dyDescent="0.2">
      <c r="A222" s="6">
        <f>IF('[1]Game Input'!$A222&lt;&gt;"",'[1]Game Input'!$A222,"")</f>
        <v>43462</v>
      </c>
      <c r="B222" s="6" t="str">
        <f>IF(A222&gt;$B$1,VLOOKUP(MONTH($A222),DOTWMonth,2,FALSE),"")</f>
        <v>December</v>
      </c>
      <c r="C222" s="10" t="str">
        <f>IF(A222&gt;$B$1,VLOOKUP(WEEKDAY($A222),DOTWMonth,3,FALSE),"")</f>
        <v>Friday</v>
      </c>
      <c r="D222" s="7">
        <f>IF('[1]Game Input'!$B222&lt;&gt;"",'[1]Game Input'!$B222,"")</f>
        <v>0.83680555555555547</v>
      </c>
      <c r="E222" s="7">
        <f>IF('[1]Game Input'!$C222&lt;&gt;"",'[1]Game Input'!$C222,"")</f>
        <v>0.79513888888888884</v>
      </c>
      <c r="F222" s="8" t="str">
        <f>IF('[1]Game Input'!$D222&lt;&gt;"",'[1]Game Input'!$D222,"")</f>
        <v>Standard</v>
      </c>
      <c r="G222" s="8" t="str">
        <f>IF('[1]Game Input'!$G222&lt;&gt;"",'[1]Game Input'!$G222,"")</f>
        <v>LIN @ TC</v>
      </c>
      <c r="H222" s="8" t="str">
        <f>IF('[1]Game Input'!$H222&lt;&gt;"",'[1]Game Input'!$H222,"")</f>
        <v>Vs. Conference</v>
      </c>
      <c r="I222" s="8" t="str">
        <f>IF('[1]Game Input'!$I222&lt;&gt;"",'[1]Game Input'!$I222,"")</f>
        <v>LINCOLN</v>
      </c>
      <c r="J222" s="9">
        <f>IF('[1]Game Input'!$AC222&lt;&gt;"",'[1]Game Input'!$AC222,"")</f>
        <v>16</v>
      </c>
      <c r="K222" s="9">
        <f>IF('[1]Game Input'!$AD222&lt;&gt;"",'[1]Game Input'!$AD222,"")</f>
        <v>8</v>
      </c>
      <c r="L222" s="9">
        <f>IF('[1]Game Input'!$AJ222&lt;&gt;"",'[1]Game Input'!$AJ222,"")</f>
        <v>0</v>
      </c>
      <c r="M222" s="9">
        <f>IF('[1]Game Input'!$AK222&lt;&gt;"",'[1]Game Input'!$AK222,"")</f>
        <v>0</v>
      </c>
      <c r="N222" s="9">
        <f>IF('[1]Game Input'!$AN222&lt;&gt;"",'[1]Game Input'!$AN222,"")</f>
        <v>8</v>
      </c>
      <c r="O222" s="9">
        <f>IF('[1]Game Input'!$AO222&lt;&gt;"",'[1]Game Input'!$AO222,"")</f>
        <v>0</v>
      </c>
      <c r="P222" s="9">
        <f>IF('[1]Game Input'!$AP222&lt;&gt;"",'[1]Game Input'!$AP222,"")</f>
        <v>0</v>
      </c>
      <c r="Q222" s="9">
        <f>IF('[1]Game Input'!$AQ222&lt;&gt;"",'[1]Game Input'!$AQ222,"")</f>
        <v>0</v>
      </c>
      <c r="R222" s="9">
        <f>IF('[1]Game Input'!$AR222&lt;&gt;"",'[1]Game Input'!$AR222,"")</f>
        <v>0</v>
      </c>
      <c r="S222" s="9">
        <f>IF('[1]Game Input'!$AS222&lt;&gt;"",'[1]Game Input'!$AS222,"")</f>
        <v>0</v>
      </c>
      <c r="T222" s="10" t="str">
        <f>IF('[1]Game Input'!$BA222&lt;&gt;"",'[1]Game Input'!$BA222,"")</f>
        <v>TRI-CITY</v>
      </c>
      <c r="U222" s="9">
        <f>IF('[1]Game Input'!$BU222&lt;&gt;"",'[1]Game Input'!$BU222,"")</f>
        <v>14</v>
      </c>
      <c r="V222" s="9">
        <f>IF('[1]Game Input'!$BV222&lt;&gt;"",'[1]Game Input'!$BV222,"")</f>
        <v>7</v>
      </c>
      <c r="W222" s="9">
        <f>IF('[1]Game Input'!$CB222&lt;&gt;"",'[1]Game Input'!$CB222,"")</f>
        <v>0</v>
      </c>
      <c r="X222" s="9">
        <f>IF('[1]Game Input'!$CC222&lt;&gt;"",'[1]Game Input'!$CC222,"")</f>
        <v>0</v>
      </c>
      <c r="Y222" s="9">
        <f>IF('[1]Game Input'!$CF222&lt;&gt;"",'[1]Game Input'!$CF222,"")</f>
        <v>7</v>
      </c>
      <c r="Z222" s="9">
        <f>IF('[1]Game Input'!$CG222&lt;&gt;"",'[1]Game Input'!$CG222,"")</f>
        <v>0</v>
      </c>
      <c r="AA222" s="9">
        <f>IF('[1]Game Input'!$CH222&lt;&gt;"",'[1]Game Input'!$CH222,"")</f>
        <v>0</v>
      </c>
      <c r="AB222" s="9">
        <f>IF('[1]Game Input'!$CI222&lt;&gt;"",'[1]Game Input'!$CI222,"")</f>
        <v>0</v>
      </c>
      <c r="AC222" s="9">
        <f>IF('[1]Game Input'!$CJ222&lt;&gt;"",'[1]Game Input'!$CJ222,"")</f>
        <v>0</v>
      </c>
      <c r="AD222" s="9">
        <f>IF('[1]Game Input'!$CK222&lt;&gt;"",'[1]Game Input'!$CK222,"")</f>
        <v>0</v>
      </c>
      <c r="AE222" s="8"/>
      <c r="AF222" s="8"/>
      <c r="AG222" s="8"/>
      <c r="AH222" s="8"/>
    </row>
    <row r="223" spans="1:34" x14ac:dyDescent="0.2">
      <c r="A223" s="6">
        <f>IF('[1]Game Input'!$A223&lt;&gt;"",'[1]Game Input'!$A223,"")</f>
        <v>43462</v>
      </c>
      <c r="B223" s="6" t="str">
        <f>IF(A223&gt;$B$1,VLOOKUP(MONTH($A223),DOTWMonth,2,FALSE),"")</f>
        <v>December</v>
      </c>
      <c r="C223" s="10" t="str">
        <f>IF(A223&gt;$B$1,VLOOKUP(WEEKDAY($A223),DOTWMonth,3,FALSE),"")</f>
        <v>Friday</v>
      </c>
      <c r="D223" s="7">
        <f>IF('[1]Game Input'!$B223&lt;&gt;"",'[1]Game Input'!$B223,"")</f>
        <v>0.83819444444444446</v>
      </c>
      <c r="E223" s="7">
        <f>IF('[1]Game Input'!$C223&lt;&gt;"",'[1]Game Input'!$C223,"")</f>
        <v>0.79652777777777783</v>
      </c>
      <c r="F223" s="8" t="str">
        <f>IF('[1]Game Input'!$D223&lt;&gt;"",'[1]Game Input'!$D223,"")</f>
        <v>Standard</v>
      </c>
      <c r="G223" s="8" t="str">
        <f>IF('[1]Game Input'!$G223&lt;&gt;"",'[1]Game Input'!$G223,"")</f>
        <v>CHI @ CIL</v>
      </c>
      <c r="H223" s="8" t="str">
        <f>IF('[1]Game Input'!$H223&lt;&gt;"",'[1]Game Input'!$H223,"")</f>
        <v>Vs. Conference</v>
      </c>
      <c r="I223" s="8" t="str">
        <f>IF('[1]Game Input'!$I223&lt;&gt;"",'[1]Game Input'!$I223,"")</f>
        <v>CHICAGO</v>
      </c>
      <c r="J223" s="9">
        <f>IF('[1]Game Input'!$AC223&lt;&gt;"",'[1]Game Input'!$AC223,"")</f>
        <v>6</v>
      </c>
      <c r="K223" s="9">
        <f>IF('[1]Game Input'!$AD223&lt;&gt;"",'[1]Game Input'!$AD223,"")</f>
        <v>3</v>
      </c>
      <c r="L223" s="9">
        <f>IF('[1]Game Input'!$AJ223&lt;&gt;"",'[1]Game Input'!$AJ223,"")</f>
        <v>0</v>
      </c>
      <c r="M223" s="9">
        <f>IF('[1]Game Input'!$AK223&lt;&gt;"",'[1]Game Input'!$AK223,"")</f>
        <v>0</v>
      </c>
      <c r="N223" s="9">
        <f>IF('[1]Game Input'!$AN223&lt;&gt;"",'[1]Game Input'!$AN223,"")</f>
        <v>3</v>
      </c>
      <c r="O223" s="9">
        <f>IF('[1]Game Input'!$AO223&lt;&gt;"",'[1]Game Input'!$AO223,"")</f>
        <v>0</v>
      </c>
      <c r="P223" s="9">
        <f>IF('[1]Game Input'!$AP223&lt;&gt;"",'[1]Game Input'!$AP223,"")</f>
        <v>0</v>
      </c>
      <c r="Q223" s="9">
        <f>IF('[1]Game Input'!$AQ223&lt;&gt;"",'[1]Game Input'!$AQ223,"")</f>
        <v>0</v>
      </c>
      <c r="R223" s="9">
        <f>IF('[1]Game Input'!$AR223&lt;&gt;"",'[1]Game Input'!$AR223,"")</f>
        <v>0</v>
      </c>
      <c r="S223" s="9">
        <f>IF('[1]Game Input'!$AS223&lt;&gt;"",'[1]Game Input'!$AS223,"")</f>
        <v>0</v>
      </c>
      <c r="T223" s="10" t="str">
        <f>IF('[1]Game Input'!$BA223&lt;&gt;"",'[1]Game Input'!$BA223,"")</f>
        <v>CENTRAL ILLINOIS</v>
      </c>
      <c r="U223" s="9">
        <f>IF('[1]Game Input'!$BU223&lt;&gt;"",'[1]Game Input'!$BU223,"")</f>
        <v>10</v>
      </c>
      <c r="V223" s="9">
        <f>IF('[1]Game Input'!$BV223&lt;&gt;"",'[1]Game Input'!$BV223,"")</f>
        <v>5</v>
      </c>
      <c r="W223" s="9">
        <f>IF('[1]Game Input'!$CB223&lt;&gt;"",'[1]Game Input'!$CB223,"")</f>
        <v>0</v>
      </c>
      <c r="X223" s="9">
        <f>IF('[1]Game Input'!$CC223&lt;&gt;"",'[1]Game Input'!$CC223,"")</f>
        <v>0</v>
      </c>
      <c r="Y223" s="9">
        <f>IF('[1]Game Input'!$CF223&lt;&gt;"",'[1]Game Input'!$CF223,"")</f>
        <v>5</v>
      </c>
      <c r="Z223" s="9">
        <f>IF('[1]Game Input'!$CG223&lt;&gt;"",'[1]Game Input'!$CG223,"")</f>
        <v>0</v>
      </c>
      <c r="AA223" s="9">
        <f>IF('[1]Game Input'!$CH223&lt;&gt;"",'[1]Game Input'!$CH223,"")</f>
        <v>0</v>
      </c>
      <c r="AB223" s="9">
        <f>IF('[1]Game Input'!$CI223&lt;&gt;"",'[1]Game Input'!$CI223,"")</f>
        <v>0</v>
      </c>
      <c r="AC223" s="9">
        <f>IF('[1]Game Input'!$CJ223&lt;&gt;"",'[1]Game Input'!$CJ223,"")</f>
        <v>0</v>
      </c>
      <c r="AD223" s="9">
        <f>IF('[1]Game Input'!$CK223&lt;&gt;"",'[1]Game Input'!$CK223,"")</f>
        <v>0</v>
      </c>
      <c r="AE223" s="8" t="s">
        <v>97</v>
      </c>
      <c r="AF223" s="8"/>
      <c r="AG223" s="8" t="s">
        <v>122</v>
      </c>
      <c r="AH223" s="8" t="s">
        <v>113</v>
      </c>
    </row>
    <row r="224" spans="1:34" x14ac:dyDescent="0.2">
      <c r="A224" s="6">
        <f>IF('[1]Game Input'!$A224&lt;&gt;"",'[1]Game Input'!$A224,"")</f>
        <v>43463</v>
      </c>
      <c r="B224" s="6" t="str">
        <f>IF(A224&gt;$B$1,VLOOKUP(MONTH($A224),DOTWMonth,2,FALSE),"")</f>
        <v>December</v>
      </c>
      <c r="C224" s="10" t="str">
        <f>IF(A224&gt;$B$1,VLOOKUP(WEEKDAY($A224),DOTWMonth,3,FALSE),"")</f>
        <v>Saturday</v>
      </c>
      <c r="D224" s="7">
        <f>IF('[1]Game Input'!$B224&lt;&gt;"",'[1]Game Input'!$B224,"")</f>
        <v>0.80208333333333337</v>
      </c>
      <c r="E224" s="7">
        <f>IF('[1]Game Input'!$C224&lt;&gt;"",'[1]Game Input'!$C224,"")</f>
        <v>0.76041666666666674</v>
      </c>
      <c r="F224" s="8" t="str">
        <f>IF('[1]Game Input'!$D224&lt;&gt;"",'[1]Game Input'!$D224,"")</f>
        <v>Standard</v>
      </c>
      <c r="G224" s="8" t="str">
        <f>IF('[1]Game Input'!$G224&lt;&gt;"",'[1]Game Input'!$G224,"")</f>
        <v>MAD @ MUS</v>
      </c>
      <c r="H224" s="8" t="str">
        <f>IF('[1]Game Input'!$H224&lt;&gt;"",'[1]Game Input'!$H224,"")</f>
        <v>Vs. Conference</v>
      </c>
      <c r="I224" s="8" t="str">
        <f>IF('[1]Game Input'!$I224&lt;&gt;"",'[1]Game Input'!$I224,"")</f>
        <v>MADISON</v>
      </c>
      <c r="J224" s="9">
        <f>IF('[1]Game Input'!$AC224&lt;&gt;"",'[1]Game Input'!$AC224,"")</f>
        <v>16</v>
      </c>
      <c r="K224" s="9">
        <f>IF('[1]Game Input'!$AD224&lt;&gt;"",'[1]Game Input'!$AD224,"")</f>
        <v>8</v>
      </c>
      <c r="L224" s="9">
        <f>IF('[1]Game Input'!$AJ224&lt;&gt;"",'[1]Game Input'!$AJ224,"")</f>
        <v>0</v>
      </c>
      <c r="M224" s="9">
        <f>IF('[1]Game Input'!$AK224&lt;&gt;"",'[1]Game Input'!$AK224,"")</f>
        <v>0</v>
      </c>
      <c r="N224" s="9">
        <f>IF('[1]Game Input'!$AN224&lt;&gt;"",'[1]Game Input'!$AN224,"")</f>
        <v>8</v>
      </c>
      <c r="O224" s="9">
        <f>IF('[1]Game Input'!$AO224&lt;&gt;"",'[1]Game Input'!$AO224,"")</f>
        <v>0</v>
      </c>
      <c r="P224" s="9">
        <f>IF('[1]Game Input'!$AP224&lt;&gt;"",'[1]Game Input'!$AP224,"")</f>
        <v>0</v>
      </c>
      <c r="Q224" s="9">
        <f>IF('[1]Game Input'!$AQ224&lt;&gt;"",'[1]Game Input'!$AQ224,"")</f>
        <v>0</v>
      </c>
      <c r="R224" s="9">
        <f>IF('[1]Game Input'!$AR224&lt;&gt;"",'[1]Game Input'!$AR224,"")</f>
        <v>0</v>
      </c>
      <c r="S224" s="9">
        <f>IF('[1]Game Input'!$AS224&lt;&gt;"",'[1]Game Input'!$AS224,"")</f>
        <v>0</v>
      </c>
      <c r="T224" s="10" t="str">
        <f>IF('[1]Game Input'!$BA224&lt;&gt;"",'[1]Game Input'!$BA224,"")</f>
        <v>MUSKEGON</v>
      </c>
      <c r="U224" s="9">
        <f>IF('[1]Game Input'!$BU224&lt;&gt;"",'[1]Game Input'!$BU224,"")</f>
        <v>8</v>
      </c>
      <c r="V224" s="9">
        <f>IF('[1]Game Input'!$BV224&lt;&gt;"",'[1]Game Input'!$BV224,"")</f>
        <v>4</v>
      </c>
      <c r="W224" s="9">
        <f>IF('[1]Game Input'!$CB224&lt;&gt;"",'[1]Game Input'!$CB224,"")</f>
        <v>0</v>
      </c>
      <c r="X224" s="9">
        <f>IF('[1]Game Input'!$CC224&lt;&gt;"",'[1]Game Input'!$CC224,"")</f>
        <v>0</v>
      </c>
      <c r="Y224" s="9">
        <f>IF('[1]Game Input'!$CF224&lt;&gt;"",'[1]Game Input'!$CF224,"")</f>
        <v>4</v>
      </c>
      <c r="Z224" s="9">
        <f>IF('[1]Game Input'!$CG224&lt;&gt;"",'[1]Game Input'!$CG224,"")</f>
        <v>0</v>
      </c>
      <c r="AA224" s="9">
        <f>IF('[1]Game Input'!$CH224&lt;&gt;"",'[1]Game Input'!$CH224,"")</f>
        <v>0</v>
      </c>
      <c r="AB224" s="9">
        <f>IF('[1]Game Input'!$CI224&lt;&gt;"",'[1]Game Input'!$CI224,"")</f>
        <v>0</v>
      </c>
      <c r="AC224" s="9">
        <f>IF('[1]Game Input'!$CJ224&lt;&gt;"",'[1]Game Input'!$CJ224,"")</f>
        <v>0</v>
      </c>
      <c r="AD224" s="9">
        <f>IF('[1]Game Input'!$CK224&lt;&gt;"",'[1]Game Input'!$CK224,"")</f>
        <v>0</v>
      </c>
      <c r="AE224" s="8"/>
      <c r="AF224" s="8"/>
      <c r="AG224" s="8"/>
      <c r="AH224" s="8"/>
    </row>
    <row r="225" spans="1:34" x14ac:dyDescent="0.2">
      <c r="A225" s="6">
        <f>IF('[1]Game Input'!$A225&lt;&gt;"",'[1]Game Input'!$A225,"")</f>
        <v>43463</v>
      </c>
      <c r="B225" s="6" t="str">
        <f>IF(A225&gt;$B$1,VLOOKUP(MONTH($A225),DOTWMonth,2,FALSE),"")</f>
        <v>December</v>
      </c>
      <c r="C225" s="10" t="str">
        <f>IF(A225&gt;$B$1,VLOOKUP(WEEKDAY($A225),DOTWMonth,3,FALSE),"")</f>
        <v>Saturday</v>
      </c>
      <c r="D225" s="7">
        <f>IF('[1]Game Input'!$B225&lt;&gt;"",'[1]Game Input'!$B225,"")</f>
        <v>0.83680555555555547</v>
      </c>
      <c r="E225" s="7">
        <f>IF('[1]Game Input'!$C225&lt;&gt;"",'[1]Game Input'!$C225,"")</f>
        <v>0.79513888888888884</v>
      </c>
      <c r="F225" s="8" t="str">
        <f>IF('[1]Game Input'!$D225&lt;&gt;"",'[1]Game Input'!$D225,"")</f>
        <v>Standard</v>
      </c>
      <c r="G225" s="8" t="str">
        <f>IF('[1]Game Input'!$G225&lt;&gt;"",'[1]Game Input'!$G225,"")</f>
        <v>USA @ CHI</v>
      </c>
      <c r="H225" s="8" t="str">
        <f>IF('[1]Game Input'!$H225&lt;&gt;"",'[1]Game Input'!$H225,"")</f>
        <v>Vs. Conference</v>
      </c>
      <c r="I225" s="8" t="str">
        <f>IF('[1]Game Input'!$I225&lt;&gt;"",'[1]Game Input'!$I225,"")</f>
        <v>TEAM USA</v>
      </c>
      <c r="J225" s="9">
        <f>IF('[1]Game Input'!$AC225&lt;&gt;"",'[1]Game Input'!$AC225,"")</f>
        <v>12</v>
      </c>
      <c r="K225" s="9">
        <f>IF('[1]Game Input'!$AD225&lt;&gt;"",'[1]Game Input'!$AD225,"")</f>
        <v>6</v>
      </c>
      <c r="L225" s="9">
        <f>IF('[1]Game Input'!$AJ225&lt;&gt;"",'[1]Game Input'!$AJ225,"")</f>
        <v>0</v>
      </c>
      <c r="M225" s="9">
        <f>IF('[1]Game Input'!$AK225&lt;&gt;"",'[1]Game Input'!$AK225,"")</f>
        <v>0</v>
      </c>
      <c r="N225" s="9">
        <f>IF('[1]Game Input'!$AN225&lt;&gt;"",'[1]Game Input'!$AN225,"")</f>
        <v>6</v>
      </c>
      <c r="O225" s="9">
        <f>IF('[1]Game Input'!$AO225&lt;&gt;"",'[1]Game Input'!$AO225,"")</f>
        <v>0</v>
      </c>
      <c r="P225" s="9">
        <f>IF('[1]Game Input'!$AP225&lt;&gt;"",'[1]Game Input'!$AP225,"")</f>
        <v>0</v>
      </c>
      <c r="Q225" s="9">
        <f>IF('[1]Game Input'!$AQ225&lt;&gt;"",'[1]Game Input'!$AQ225,"")</f>
        <v>0</v>
      </c>
      <c r="R225" s="9">
        <f>IF('[1]Game Input'!$AR225&lt;&gt;"",'[1]Game Input'!$AR225,"")</f>
        <v>0</v>
      </c>
      <c r="S225" s="9">
        <f>IF('[1]Game Input'!$AS225&lt;&gt;"",'[1]Game Input'!$AS225,"")</f>
        <v>0</v>
      </c>
      <c r="T225" s="10" t="str">
        <f>IF('[1]Game Input'!$BA225&lt;&gt;"",'[1]Game Input'!$BA225,"")</f>
        <v>CHICAGO</v>
      </c>
      <c r="U225" s="9">
        <f>IF('[1]Game Input'!$BU225&lt;&gt;"",'[1]Game Input'!$BU225,"")</f>
        <v>10</v>
      </c>
      <c r="V225" s="9">
        <f>IF('[1]Game Input'!$BV225&lt;&gt;"",'[1]Game Input'!$BV225,"")</f>
        <v>5</v>
      </c>
      <c r="W225" s="9">
        <f>IF('[1]Game Input'!$CB225&lt;&gt;"",'[1]Game Input'!$CB225,"")</f>
        <v>0</v>
      </c>
      <c r="X225" s="9">
        <f>IF('[1]Game Input'!$CC225&lt;&gt;"",'[1]Game Input'!$CC225,"")</f>
        <v>0</v>
      </c>
      <c r="Y225" s="9">
        <f>IF('[1]Game Input'!$CF225&lt;&gt;"",'[1]Game Input'!$CF225,"")</f>
        <v>5</v>
      </c>
      <c r="Z225" s="9">
        <f>IF('[1]Game Input'!$CG225&lt;&gt;"",'[1]Game Input'!$CG225,"")</f>
        <v>0</v>
      </c>
      <c r="AA225" s="9">
        <f>IF('[1]Game Input'!$CH225&lt;&gt;"",'[1]Game Input'!$CH225,"")</f>
        <v>0</v>
      </c>
      <c r="AB225" s="9">
        <f>IF('[1]Game Input'!$CI225&lt;&gt;"",'[1]Game Input'!$CI225,"")</f>
        <v>0</v>
      </c>
      <c r="AC225" s="9">
        <f>IF('[1]Game Input'!$CJ225&lt;&gt;"",'[1]Game Input'!$CJ225,"")</f>
        <v>0</v>
      </c>
      <c r="AD225" s="9">
        <f>IF('[1]Game Input'!$CK225&lt;&gt;"",'[1]Game Input'!$CK225,"")</f>
        <v>0</v>
      </c>
      <c r="AE225" s="8"/>
      <c r="AF225" s="8"/>
      <c r="AG225" s="8"/>
      <c r="AH225" s="8"/>
    </row>
    <row r="226" spans="1:34" x14ac:dyDescent="0.2">
      <c r="A226" s="6">
        <f>IF('[1]Game Input'!$A226&lt;&gt;"",'[1]Game Input'!$A226,"")</f>
        <v>43463</v>
      </c>
      <c r="B226" s="6" t="str">
        <f>IF(A226&gt;$B$1,VLOOKUP(MONTH($A226),DOTWMonth,2,FALSE),"")</f>
        <v>December</v>
      </c>
      <c r="C226" s="10" t="str">
        <f>IF(A226&gt;$B$1,VLOOKUP(WEEKDAY($A226),DOTWMonth,3,FALSE),"")</f>
        <v>Saturday</v>
      </c>
      <c r="D226" s="7">
        <f>IF('[1]Game Input'!$B226&lt;&gt;"",'[1]Game Input'!$B226,"")</f>
        <v>0.83680555555555547</v>
      </c>
      <c r="E226" s="7">
        <f>IF('[1]Game Input'!$C226&lt;&gt;"",'[1]Game Input'!$C226,"")</f>
        <v>0.79513888888888884</v>
      </c>
      <c r="F226" s="8" t="str">
        <f>IF('[1]Game Input'!$D226&lt;&gt;"",'[1]Game Input'!$D226,"")</f>
        <v>Standard</v>
      </c>
      <c r="G226" s="8" t="str">
        <f>IF('[1]Game Input'!$G226&lt;&gt;"",'[1]Game Input'!$G226,"")</f>
        <v>GB @ DUB</v>
      </c>
      <c r="H226" s="8" t="str">
        <f>IF('[1]Game Input'!$H226&lt;&gt;"",'[1]Game Input'!$H226,"")</f>
        <v>Vs. Conference</v>
      </c>
      <c r="I226" s="8" t="str">
        <f>IF('[1]Game Input'!$I226&lt;&gt;"",'[1]Game Input'!$I226,"")</f>
        <v>GREEN BAY</v>
      </c>
      <c r="J226" s="9">
        <f>IF('[1]Game Input'!$AC226&lt;&gt;"",'[1]Game Input'!$AC226,"")</f>
        <v>10</v>
      </c>
      <c r="K226" s="9">
        <f>IF('[1]Game Input'!$AD226&lt;&gt;"",'[1]Game Input'!$AD226,"")</f>
        <v>6</v>
      </c>
      <c r="L226" s="9">
        <f>IF('[1]Game Input'!$AJ226&lt;&gt;"",'[1]Game Input'!$AJ226,"")</f>
        <v>0</v>
      </c>
      <c r="M226" s="9">
        <f>IF('[1]Game Input'!$AK226&lt;&gt;"",'[1]Game Input'!$AK226,"")</f>
        <v>0</v>
      </c>
      <c r="N226" s="9">
        <f>IF('[1]Game Input'!$AN226&lt;&gt;"",'[1]Game Input'!$AN226,"")</f>
        <v>5</v>
      </c>
      <c r="O226" s="9">
        <f>IF('[1]Game Input'!$AO226&lt;&gt;"",'[1]Game Input'!$AO226,"")</f>
        <v>0</v>
      </c>
      <c r="P226" s="9">
        <f>IF('[1]Game Input'!$AP226&lt;&gt;"",'[1]Game Input'!$AP226,"")</f>
        <v>0</v>
      </c>
      <c r="Q226" s="9">
        <f>IF('[1]Game Input'!$AQ226&lt;&gt;"",'[1]Game Input'!$AQ226,"")</f>
        <v>0</v>
      </c>
      <c r="R226" s="9">
        <f>IF('[1]Game Input'!$AR226&lt;&gt;"",'[1]Game Input'!$AR226,"")</f>
        <v>0</v>
      </c>
      <c r="S226" s="9">
        <f>IF('[1]Game Input'!$AS226&lt;&gt;"",'[1]Game Input'!$AS226,"")</f>
        <v>0</v>
      </c>
      <c r="T226" s="10" t="str">
        <f>IF('[1]Game Input'!$BA226&lt;&gt;"",'[1]Game Input'!$BA226,"")</f>
        <v>DUBUQUE</v>
      </c>
      <c r="U226" s="9">
        <f>IF('[1]Game Input'!$BU226&lt;&gt;"",'[1]Game Input'!$BU226,"")</f>
        <v>4</v>
      </c>
      <c r="V226" s="9">
        <f>IF('[1]Game Input'!$BV226&lt;&gt;"",'[1]Game Input'!$BV226,"")</f>
        <v>2</v>
      </c>
      <c r="W226" s="9">
        <f>IF('[1]Game Input'!$CB226&lt;&gt;"",'[1]Game Input'!$CB226,"")</f>
        <v>0</v>
      </c>
      <c r="X226" s="9">
        <f>IF('[1]Game Input'!$CC226&lt;&gt;"",'[1]Game Input'!$CC226,"")</f>
        <v>1</v>
      </c>
      <c r="Y226" s="9">
        <f>IF('[1]Game Input'!$CF226&lt;&gt;"",'[1]Game Input'!$CF226,"")</f>
        <v>2</v>
      </c>
      <c r="Z226" s="9">
        <f>IF('[1]Game Input'!$CG226&lt;&gt;"",'[1]Game Input'!$CG226,"")</f>
        <v>0</v>
      </c>
      <c r="AA226" s="9">
        <f>IF('[1]Game Input'!$CH226&lt;&gt;"",'[1]Game Input'!$CH226,"")</f>
        <v>0</v>
      </c>
      <c r="AB226" s="9">
        <f>IF('[1]Game Input'!$CI226&lt;&gt;"",'[1]Game Input'!$CI226,"")</f>
        <v>0</v>
      </c>
      <c r="AC226" s="9">
        <f>IF('[1]Game Input'!$CJ226&lt;&gt;"",'[1]Game Input'!$CJ226,"")</f>
        <v>0</v>
      </c>
      <c r="AD226" s="9">
        <f>IF('[1]Game Input'!$CK226&lt;&gt;"",'[1]Game Input'!$CK226,"")</f>
        <v>1</v>
      </c>
      <c r="AE226" s="8"/>
      <c r="AF226" s="8"/>
      <c r="AG226" s="8"/>
      <c r="AH226" s="8"/>
    </row>
    <row r="227" spans="1:34" x14ac:dyDescent="0.2">
      <c r="A227" s="6">
        <f>IF('[1]Game Input'!$A227&lt;&gt;"",'[1]Game Input'!$A227,"")</f>
        <v>43463</v>
      </c>
      <c r="B227" s="6" t="str">
        <f>IF(A227&gt;$B$1,VLOOKUP(MONTH($A227),DOTWMonth,2,FALSE),"")</f>
        <v>December</v>
      </c>
      <c r="C227" s="10" t="str">
        <f>IF(A227&gt;$B$1,VLOOKUP(WEEKDAY($A227),DOTWMonth,3,FALSE),"")</f>
        <v>Saturday</v>
      </c>
      <c r="D227" s="7">
        <f>IF('[1]Game Input'!$B227&lt;&gt;"",'[1]Game Input'!$B227,"")</f>
        <v>0.83680555555555547</v>
      </c>
      <c r="E227" s="7">
        <f>IF('[1]Game Input'!$C227&lt;&gt;"",'[1]Game Input'!$C227,"")</f>
        <v>0.79513888888888884</v>
      </c>
      <c r="F227" s="8" t="str">
        <f>IF('[1]Game Input'!$D227&lt;&gt;"",'[1]Game Input'!$D227,"")</f>
        <v>Standard</v>
      </c>
      <c r="G227" s="8" t="str">
        <f>IF('[1]Game Input'!$G227&lt;&gt;"",'[1]Game Input'!$G227,"")</f>
        <v>SF @ FGO</v>
      </c>
      <c r="H227" s="8" t="str">
        <f>IF('[1]Game Input'!$H227&lt;&gt;"",'[1]Game Input'!$H227,"")</f>
        <v>Vs. Conference</v>
      </c>
      <c r="I227" s="8" t="str">
        <f>IF('[1]Game Input'!$I227&lt;&gt;"",'[1]Game Input'!$I227,"")</f>
        <v>SIOUX FALLS</v>
      </c>
      <c r="J227" s="9">
        <f>IF('[1]Game Input'!$AC227&lt;&gt;"",'[1]Game Input'!$AC227,"")</f>
        <v>10</v>
      </c>
      <c r="K227" s="9">
        <f>IF('[1]Game Input'!$AD227&lt;&gt;"",'[1]Game Input'!$AD227,"")</f>
        <v>5</v>
      </c>
      <c r="L227" s="9">
        <f>IF('[1]Game Input'!$AJ227&lt;&gt;"",'[1]Game Input'!$AJ227,"")</f>
        <v>0</v>
      </c>
      <c r="M227" s="9">
        <f>IF('[1]Game Input'!$AK227&lt;&gt;"",'[1]Game Input'!$AK227,"")</f>
        <v>0</v>
      </c>
      <c r="N227" s="9">
        <f>IF('[1]Game Input'!$AN227&lt;&gt;"",'[1]Game Input'!$AN227,"")</f>
        <v>5</v>
      </c>
      <c r="O227" s="9">
        <f>IF('[1]Game Input'!$AO227&lt;&gt;"",'[1]Game Input'!$AO227,"")</f>
        <v>0</v>
      </c>
      <c r="P227" s="9">
        <f>IF('[1]Game Input'!$AP227&lt;&gt;"",'[1]Game Input'!$AP227,"")</f>
        <v>0</v>
      </c>
      <c r="Q227" s="9">
        <f>IF('[1]Game Input'!$AQ227&lt;&gt;"",'[1]Game Input'!$AQ227,"")</f>
        <v>0</v>
      </c>
      <c r="R227" s="9">
        <f>IF('[1]Game Input'!$AR227&lt;&gt;"",'[1]Game Input'!$AR227,"")</f>
        <v>0</v>
      </c>
      <c r="S227" s="9">
        <f>IF('[1]Game Input'!$AS227&lt;&gt;"",'[1]Game Input'!$AS227,"")</f>
        <v>0</v>
      </c>
      <c r="T227" s="10" t="str">
        <f>IF('[1]Game Input'!$BA227&lt;&gt;"",'[1]Game Input'!$BA227,"")</f>
        <v>FARGO</v>
      </c>
      <c r="U227" s="9">
        <f>IF('[1]Game Input'!$BU227&lt;&gt;"",'[1]Game Input'!$BU227,"")</f>
        <v>10</v>
      </c>
      <c r="V227" s="9">
        <f>IF('[1]Game Input'!$BV227&lt;&gt;"",'[1]Game Input'!$BV227,"")</f>
        <v>5</v>
      </c>
      <c r="W227" s="9">
        <f>IF('[1]Game Input'!$CB227&lt;&gt;"",'[1]Game Input'!$CB227,"")</f>
        <v>0</v>
      </c>
      <c r="X227" s="9">
        <f>IF('[1]Game Input'!$CC227&lt;&gt;"",'[1]Game Input'!$CC227,"")</f>
        <v>0</v>
      </c>
      <c r="Y227" s="9">
        <f>IF('[1]Game Input'!$CF227&lt;&gt;"",'[1]Game Input'!$CF227,"")</f>
        <v>5</v>
      </c>
      <c r="Z227" s="9">
        <f>IF('[1]Game Input'!$CG227&lt;&gt;"",'[1]Game Input'!$CG227,"")</f>
        <v>0</v>
      </c>
      <c r="AA227" s="9">
        <f>IF('[1]Game Input'!$CH227&lt;&gt;"",'[1]Game Input'!$CH227,"")</f>
        <v>0</v>
      </c>
      <c r="AB227" s="9">
        <f>IF('[1]Game Input'!$CI227&lt;&gt;"",'[1]Game Input'!$CI227,"")</f>
        <v>0</v>
      </c>
      <c r="AC227" s="9">
        <f>IF('[1]Game Input'!$CJ227&lt;&gt;"",'[1]Game Input'!$CJ227,"")</f>
        <v>0</v>
      </c>
      <c r="AD227" s="9">
        <f>IF('[1]Game Input'!$CK227&lt;&gt;"",'[1]Game Input'!$CK227,"")</f>
        <v>0</v>
      </c>
      <c r="AE227" s="8"/>
      <c r="AF227" s="8"/>
      <c r="AG227" s="8"/>
      <c r="AH227" s="8"/>
    </row>
    <row r="228" spans="1:34" x14ac:dyDescent="0.2">
      <c r="A228" s="6">
        <f>IF('[1]Game Input'!$A228&lt;&gt;"",'[1]Game Input'!$A228,"")</f>
        <v>43463</v>
      </c>
      <c r="B228" s="6" t="str">
        <f>IF(A228&gt;$B$1,VLOOKUP(MONTH($A228),DOTWMonth,2,FALSE),"")</f>
        <v>December</v>
      </c>
      <c r="C228" s="10" t="str">
        <f>IF(A228&gt;$B$1,VLOOKUP(WEEKDAY($A228),DOTWMonth,3,FALSE),"")</f>
        <v>Saturday</v>
      </c>
      <c r="D228" s="7">
        <f>IF('[1]Game Input'!$B228&lt;&gt;"",'[1]Game Input'!$B228,"")</f>
        <v>0.83680555555555547</v>
      </c>
      <c r="E228" s="7">
        <f>IF('[1]Game Input'!$C228&lt;&gt;"",'[1]Game Input'!$C228,"")</f>
        <v>0.79513888888888884</v>
      </c>
      <c r="F228" s="8" t="str">
        <f>IF('[1]Game Input'!$D228&lt;&gt;"",'[1]Game Input'!$D228,"")</f>
        <v>Standard</v>
      </c>
      <c r="G228" s="8" t="str">
        <f>IF('[1]Game Input'!$G228&lt;&gt;"",'[1]Game Input'!$G228,"")</f>
        <v>LIN @ SC</v>
      </c>
      <c r="H228" s="8" t="str">
        <f>IF('[1]Game Input'!$H228&lt;&gt;"",'[1]Game Input'!$H228,"")</f>
        <v>Vs. Conference</v>
      </c>
      <c r="I228" s="8" t="str">
        <f>IF('[1]Game Input'!$I228&lt;&gt;"",'[1]Game Input'!$I228,"")</f>
        <v>LINCOLN</v>
      </c>
      <c r="J228" s="9">
        <f>IF('[1]Game Input'!$AC228&lt;&gt;"",'[1]Game Input'!$AC228,"")</f>
        <v>23</v>
      </c>
      <c r="K228" s="9">
        <f>IF('[1]Game Input'!$AD228&lt;&gt;"",'[1]Game Input'!$AD228,"")</f>
        <v>6</v>
      </c>
      <c r="L228" s="9">
        <f>IF('[1]Game Input'!$AJ228&lt;&gt;"",'[1]Game Input'!$AJ228,"")</f>
        <v>0</v>
      </c>
      <c r="M228" s="9">
        <f>IF('[1]Game Input'!$AK228&lt;&gt;"",'[1]Game Input'!$AK228,"")</f>
        <v>0</v>
      </c>
      <c r="N228" s="9">
        <f>IF('[1]Game Input'!$AN228&lt;&gt;"",'[1]Game Input'!$AN228,"")</f>
        <v>4</v>
      </c>
      <c r="O228" s="9">
        <f>IF('[1]Game Input'!$AO228&lt;&gt;"",'[1]Game Input'!$AO228,"")</f>
        <v>1</v>
      </c>
      <c r="P228" s="9">
        <f>IF('[1]Game Input'!$AP228&lt;&gt;"",'[1]Game Input'!$AP228,"")</f>
        <v>1</v>
      </c>
      <c r="Q228" s="9">
        <f>IF('[1]Game Input'!$AQ228&lt;&gt;"",'[1]Game Input'!$AQ228,"")</f>
        <v>0</v>
      </c>
      <c r="R228" s="9">
        <f>IF('[1]Game Input'!$AR228&lt;&gt;"",'[1]Game Input'!$AR228,"")</f>
        <v>0</v>
      </c>
      <c r="S228" s="9">
        <f>IF('[1]Game Input'!$AS228&lt;&gt;"",'[1]Game Input'!$AS228,"")</f>
        <v>0</v>
      </c>
      <c r="T228" s="10" t="str">
        <f>IF('[1]Game Input'!$BA228&lt;&gt;"",'[1]Game Input'!$BA228,"")</f>
        <v>SIOUX CITY</v>
      </c>
      <c r="U228" s="9">
        <f>IF('[1]Game Input'!$BU228&lt;&gt;"",'[1]Game Input'!$BU228,"")</f>
        <v>29</v>
      </c>
      <c r="V228" s="9">
        <f>IF('[1]Game Input'!$BV228&lt;&gt;"",'[1]Game Input'!$BV228,"")</f>
        <v>9</v>
      </c>
      <c r="W228" s="9">
        <f>IF('[1]Game Input'!$CB228&lt;&gt;"",'[1]Game Input'!$CB228,"")</f>
        <v>0</v>
      </c>
      <c r="X228" s="9">
        <f>IF('[1]Game Input'!$CC228&lt;&gt;"",'[1]Game Input'!$CC228,"")</f>
        <v>0</v>
      </c>
      <c r="Y228" s="9">
        <f>IF('[1]Game Input'!$CF228&lt;&gt;"",'[1]Game Input'!$CF228,"")</f>
        <v>7</v>
      </c>
      <c r="Z228" s="9">
        <f>IF('[1]Game Input'!$CG228&lt;&gt;"",'[1]Game Input'!$CG228,"")</f>
        <v>1</v>
      </c>
      <c r="AA228" s="9">
        <f>IF('[1]Game Input'!$CH228&lt;&gt;"",'[1]Game Input'!$CH228,"")</f>
        <v>1</v>
      </c>
      <c r="AB228" s="9">
        <f>IF('[1]Game Input'!$CI228&lt;&gt;"",'[1]Game Input'!$CI228,"")</f>
        <v>0</v>
      </c>
      <c r="AC228" s="9">
        <f>IF('[1]Game Input'!$CJ228&lt;&gt;"",'[1]Game Input'!$CJ228,"")</f>
        <v>0</v>
      </c>
      <c r="AD228" s="9">
        <f>IF('[1]Game Input'!$CK228&lt;&gt;"",'[1]Game Input'!$CK228,"")</f>
        <v>0</v>
      </c>
      <c r="AE228" s="8"/>
      <c r="AF228" s="8"/>
      <c r="AG228" s="8"/>
      <c r="AH228" s="8"/>
    </row>
    <row r="229" spans="1:34" x14ac:dyDescent="0.2">
      <c r="A229" s="6">
        <f>IF('[1]Game Input'!$A229&lt;&gt;"",'[1]Game Input'!$A229,"")</f>
        <v>43463</v>
      </c>
      <c r="B229" s="6" t="str">
        <f>IF(A229&gt;$B$1,VLOOKUP(MONTH($A229),DOTWMonth,2,FALSE),"")</f>
        <v>December</v>
      </c>
      <c r="C229" s="10" t="str">
        <f>IF(A229&gt;$B$1,VLOOKUP(WEEKDAY($A229),DOTWMonth,3,FALSE),"")</f>
        <v>Saturday</v>
      </c>
      <c r="D229" s="7">
        <f>IF('[1]Game Input'!$B229&lt;&gt;"",'[1]Game Input'!$B229,"")</f>
        <v>0.83680555555555547</v>
      </c>
      <c r="E229" s="7">
        <f>IF('[1]Game Input'!$C229&lt;&gt;"",'[1]Game Input'!$C229,"")</f>
        <v>0.79513888888888884</v>
      </c>
      <c r="F229" s="8" t="str">
        <f>IF('[1]Game Input'!$D229&lt;&gt;"",'[1]Game Input'!$D229,"")</f>
        <v>Standard</v>
      </c>
      <c r="G229" s="8" t="str">
        <f>IF('[1]Game Input'!$G229&lt;&gt;"",'[1]Game Input'!$G229,"")</f>
        <v>OMA @ TC</v>
      </c>
      <c r="H229" s="8" t="str">
        <f>IF('[1]Game Input'!$H229&lt;&gt;"",'[1]Game Input'!$H229,"")</f>
        <v>Vs. Conference</v>
      </c>
      <c r="I229" s="8" t="str">
        <f>IF('[1]Game Input'!$I229&lt;&gt;"",'[1]Game Input'!$I229,"")</f>
        <v>OMAHA</v>
      </c>
      <c r="J229" s="9">
        <f>IF('[1]Game Input'!$AC229&lt;&gt;"",'[1]Game Input'!$AC229,"")</f>
        <v>8</v>
      </c>
      <c r="K229" s="9">
        <f>IF('[1]Game Input'!$AD229&lt;&gt;"",'[1]Game Input'!$AD229,"")</f>
        <v>4</v>
      </c>
      <c r="L229" s="9">
        <f>IF('[1]Game Input'!$AJ229&lt;&gt;"",'[1]Game Input'!$AJ229,"")</f>
        <v>0</v>
      </c>
      <c r="M229" s="9">
        <f>IF('[1]Game Input'!$AK229&lt;&gt;"",'[1]Game Input'!$AK229,"")</f>
        <v>0</v>
      </c>
      <c r="N229" s="9">
        <f>IF('[1]Game Input'!$AN229&lt;&gt;"",'[1]Game Input'!$AN229,"")</f>
        <v>4</v>
      </c>
      <c r="O229" s="9">
        <f>IF('[1]Game Input'!$AO229&lt;&gt;"",'[1]Game Input'!$AO229,"")</f>
        <v>0</v>
      </c>
      <c r="P229" s="9">
        <f>IF('[1]Game Input'!$AP229&lt;&gt;"",'[1]Game Input'!$AP229,"")</f>
        <v>0</v>
      </c>
      <c r="Q229" s="9">
        <f>IF('[1]Game Input'!$AQ229&lt;&gt;"",'[1]Game Input'!$AQ229,"")</f>
        <v>0</v>
      </c>
      <c r="R229" s="9">
        <f>IF('[1]Game Input'!$AR229&lt;&gt;"",'[1]Game Input'!$AR229,"")</f>
        <v>0</v>
      </c>
      <c r="S229" s="9">
        <f>IF('[1]Game Input'!$AS229&lt;&gt;"",'[1]Game Input'!$AS229,"")</f>
        <v>0</v>
      </c>
      <c r="T229" s="10" t="str">
        <f>IF('[1]Game Input'!$BA229&lt;&gt;"",'[1]Game Input'!$BA229,"")</f>
        <v>TRI-CITY</v>
      </c>
      <c r="U229" s="9">
        <f>IF('[1]Game Input'!$BU229&lt;&gt;"",'[1]Game Input'!$BU229,"")</f>
        <v>6</v>
      </c>
      <c r="V229" s="9">
        <f>IF('[1]Game Input'!$BV229&lt;&gt;"",'[1]Game Input'!$BV229,"")</f>
        <v>3</v>
      </c>
      <c r="W229" s="9">
        <f>IF('[1]Game Input'!$CB229&lt;&gt;"",'[1]Game Input'!$CB229,"")</f>
        <v>0</v>
      </c>
      <c r="X229" s="9">
        <f>IF('[1]Game Input'!$CC229&lt;&gt;"",'[1]Game Input'!$CC229,"")</f>
        <v>0</v>
      </c>
      <c r="Y229" s="9">
        <f>IF('[1]Game Input'!$CF229&lt;&gt;"",'[1]Game Input'!$CF229,"")</f>
        <v>3</v>
      </c>
      <c r="Z229" s="9">
        <f>IF('[1]Game Input'!$CG229&lt;&gt;"",'[1]Game Input'!$CG229,"")</f>
        <v>0</v>
      </c>
      <c r="AA229" s="9">
        <f>IF('[1]Game Input'!$CH229&lt;&gt;"",'[1]Game Input'!$CH229,"")</f>
        <v>0</v>
      </c>
      <c r="AB229" s="9">
        <f>IF('[1]Game Input'!$CI229&lt;&gt;"",'[1]Game Input'!$CI229,"")</f>
        <v>0</v>
      </c>
      <c r="AC229" s="9">
        <f>IF('[1]Game Input'!$CJ229&lt;&gt;"",'[1]Game Input'!$CJ229,"")</f>
        <v>0</v>
      </c>
      <c r="AD229" s="9">
        <f>IF('[1]Game Input'!$CK229&lt;&gt;"",'[1]Game Input'!$CK229,"")</f>
        <v>0</v>
      </c>
      <c r="AE229" s="8"/>
      <c r="AF229" s="8"/>
      <c r="AG229" s="8"/>
      <c r="AH229" s="8"/>
    </row>
    <row r="230" spans="1:34" x14ac:dyDescent="0.2">
      <c r="A230" s="6">
        <f>IF('[1]Game Input'!$A230&lt;&gt;"",'[1]Game Input'!$A230,"")</f>
        <v>43463</v>
      </c>
      <c r="B230" s="6" t="str">
        <f>IF(A230&gt;$B$1,VLOOKUP(MONTH($A230),DOTWMonth,2,FALSE),"")</f>
        <v>December</v>
      </c>
      <c r="C230" s="10" t="str">
        <f>IF(A230&gt;$B$1,VLOOKUP(WEEKDAY($A230),DOTWMonth,3,FALSE),"")</f>
        <v>Saturday</v>
      </c>
      <c r="D230" s="7">
        <f>IF('[1]Game Input'!$B230&lt;&gt;"",'[1]Game Input'!$B230,"")</f>
        <v>0.83680555555555547</v>
      </c>
      <c r="E230" s="7">
        <f>IF('[1]Game Input'!$C230&lt;&gt;"",'[1]Game Input'!$C230,"")</f>
        <v>0.79513888888888884</v>
      </c>
      <c r="F230" s="8" t="str">
        <f>IF('[1]Game Input'!$D230&lt;&gt;"",'[1]Game Input'!$D230,"")</f>
        <v>Standard</v>
      </c>
      <c r="G230" s="8" t="str">
        <f>IF('[1]Game Input'!$G230&lt;&gt;"",'[1]Game Input'!$G230,"")</f>
        <v>DM @ CR</v>
      </c>
      <c r="H230" s="8" t="str">
        <f>IF('[1]Game Input'!$H230&lt;&gt;"",'[1]Game Input'!$H230,"")</f>
        <v>Vs. Non-Conference</v>
      </c>
      <c r="I230" s="8" t="str">
        <f>IF('[1]Game Input'!$I230&lt;&gt;"",'[1]Game Input'!$I230,"")</f>
        <v>DES MOINES</v>
      </c>
      <c r="J230" s="9">
        <f>IF('[1]Game Input'!$AC230&lt;&gt;"",'[1]Game Input'!$AC230,"")</f>
        <v>2</v>
      </c>
      <c r="K230" s="9">
        <f>IF('[1]Game Input'!$AD230&lt;&gt;"",'[1]Game Input'!$AD230,"")</f>
        <v>1</v>
      </c>
      <c r="L230" s="9">
        <f>IF('[1]Game Input'!$AJ230&lt;&gt;"",'[1]Game Input'!$AJ230,"")</f>
        <v>0</v>
      </c>
      <c r="M230" s="9">
        <f>IF('[1]Game Input'!$AK230&lt;&gt;"",'[1]Game Input'!$AK230,"")</f>
        <v>0</v>
      </c>
      <c r="N230" s="9">
        <f>IF('[1]Game Input'!$AN230&lt;&gt;"",'[1]Game Input'!$AN230,"")</f>
        <v>1</v>
      </c>
      <c r="O230" s="9">
        <f>IF('[1]Game Input'!$AO230&lt;&gt;"",'[1]Game Input'!$AO230,"")</f>
        <v>0</v>
      </c>
      <c r="P230" s="9">
        <f>IF('[1]Game Input'!$AP230&lt;&gt;"",'[1]Game Input'!$AP230,"")</f>
        <v>0</v>
      </c>
      <c r="Q230" s="9">
        <f>IF('[1]Game Input'!$AQ230&lt;&gt;"",'[1]Game Input'!$AQ230,"")</f>
        <v>0</v>
      </c>
      <c r="R230" s="9">
        <f>IF('[1]Game Input'!$AR230&lt;&gt;"",'[1]Game Input'!$AR230,"")</f>
        <v>0</v>
      </c>
      <c r="S230" s="9">
        <f>IF('[1]Game Input'!$AS230&lt;&gt;"",'[1]Game Input'!$AS230,"")</f>
        <v>0</v>
      </c>
      <c r="T230" s="10" t="str">
        <f>IF('[1]Game Input'!$BA230&lt;&gt;"",'[1]Game Input'!$BA230,"")</f>
        <v>CEDAR RAPIDS</v>
      </c>
      <c r="U230" s="9">
        <f>IF('[1]Game Input'!$BU230&lt;&gt;"",'[1]Game Input'!$BU230,"")</f>
        <v>4</v>
      </c>
      <c r="V230" s="9">
        <f>IF('[1]Game Input'!$BV230&lt;&gt;"",'[1]Game Input'!$BV230,"")</f>
        <v>2</v>
      </c>
      <c r="W230" s="9">
        <f>IF('[1]Game Input'!$CB230&lt;&gt;"",'[1]Game Input'!$CB230,"")</f>
        <v>0</v>
      </c>
      <c r="X230" s="9">
        <f>IF('[1]Game Input'!$CC230&lt;&gt;"",'[1]Game Input'!$CC230,"")</f>
        <v>0</v>
      </c>
      <c r="Y230" s="9">
        <f>IF('[1]Game Input'!$CF230&lt;&gt;"",'[1]Game Input'!$CF230,"")</f>
        <v>2</v>
      </c>
      <c r="Z230" s="9">
        <f>IF('[1]Game Input'!$CG230&lt;&gt;"",'[1]Game Input'!$CG230,"")</f>
        <v>0</v>
      </c>
      <c r="AA230" s="9">
        <f>IF('[1]Game Input'!$CH230&lt;&gt;"",'[1]Game Input'!$CH230,"")</f>
        <v>0</v>
      </c>
      <c r="AB230" s="9">
        <f>IF('[1]Game Input'!$CI230&lt;&gt;"",'[1]Game Input'!$CI230,"")</f>
        <v>0</v>
      </c>
      <c r="AC230" s="9">
        <f>IF('[1]Game Input'!$CJ230&lt;&gt;"",'[1]Game Input'!$CJ230,"")</f>
        <v>0</v>
      </c>
      <c r="AD230" s="9">
        <f>IF('[1]Game Input'!$CK230&lt;&gt;"",'[1]Game Input'!$CK230,"")</f>
        <v>0</v>
      </c>
      <c r="AE230" s="8" t="s">
        <v>97</v>
      </c>
      <c r="AF230" s="8"/>
      <c r="AG230" s="8" t="s">
        <v>128</v>
      </c>
      <c r="AH230" s="8" t="s">
        <v>129</v>
      </c>
    </row>
    <row r="231" spans="1:34" x14ac:dyDescent="0.2">
      <c r="A231" s="6">
        <f>IF('[1]Game Input'!$A231&lt;&gt;"",'[1]Game Input'!$A231,"")</f>
        <v>43463</v>
      </c>
      <c r="B231" s="6" t="str">
        <f>IF(A231&gt;$B$1,VLOOKUP(MONTH($A231),DOTWMonth,2,FALSE),"")</f>
        <v>December</v>
      </c>
      <c r="C231" s="10" t="str">
        <f>IF(A231&gt;$B$1,VLOOKUP(WEEKDAY($A231),DOTWMonth,3,FALSE),"")</f>
        <v>Saturday</v>
      </c>
      <c r="D231" s="7">
        <f>IF('[1]Game Input'!$B231&lt;&gt;"",'[1]Game Input'!$B231,"")</f>
        <v>0.83680555555555547</v>
      </c>
      <c r="E231" s="7">
        <f>IF('[1]Game Input'!$C231&lt;&gt;"",'[1]Game Input'!$C231,"")</f>
        <v>0.79513888888888884</v>
      </c>
      <c r="F231" s="8" t="str">
        <f>IF('[1]Game Input'!$D231&lt;&gt;"",'[1]Game Input'!$D231,"")</f>
        <v>Standard</v>
      </c>
      <c r="G231" s="8" t="str">
        <f>IF('[1]Game Input'!$G231&lt;&gt;"",'[1]Game Input'!$G231,"")</f>
        <v>YNG @ WAT</v>
      </c>
      <c r="H231" s="8" t="str">
        <f>IF('[1]Game Input'!$H231&lt;&gt;"",'[1]Game Input'!$H231,"")</f>
        <v>Vs. Non-Conference</v>
      </c>
      <c r="I231" s="8" t="str">
        <f>IF('[1]Game Input'!$I231&lt;&gt;"",'[1]Game Input'!$I231,"")</f>
        <v>YOUNGSTOWN</v>
      </c>
      <c r="J231" s="9">
        <f>IF('[1]Game Input'!$AC231&lt;&gt;"",'[1]Game Input'!$AC231,"")</f>
        <v>42</v>
      </c>
      <c r="K231" s="9">
        <f>IF('[1]Game Input'!$AD231&lt;&gt;"",'[1]Game Input'!$AD231,"")</f>
        <v>10</v>
      </c>
      <c r="L231" s="9">
        <f>IF('[1]Game Input'!$AJ231&lt;&gt;"",'[1]Game Input'!$AJ231,"")</f>
        <v>0</v>
      </c>
      <c r="M231" s="9">
        <f>IF('[1]Game Input'!$AK231&lt;&gt;"",'[1]Game Input'!$AK231,"")</f>
        <v>0</v>
      </c>
      <c r="N231" s="9">
        <f>IF('[1]Game Input'!$AN231&lt;&gt;"",'[1]Game Input'!$AN231,"")</f>
        <v>6</v>
      </c>
      <c r="O231" s="9">
        <f>IF('[1]Game Input'!$AO231&lt;&gt;"",'[1]Game Input'!$AO231,"")</f>
        <v>2</v>
      </c>
      <c r="P231" s="9">
        <f>IF('[1]Game Input'!$AP231&lt;&gt;"",'[1]Game Input'!$AP231,"")</f>
        <v>2</v>
      </c>
      <c r="Q231" s="9">
        <f>IF('[1]Game Input'!$AQ231&lt;&gt;"",'[1]Game Input'!$AQ231,"")</f>
        <v>0</v>
      </c>
      <c r="R231" s="9">
        <f>IF('[1]Game Input'!$AR231&lt;&gt;"",'[1]Game Input'!$AR231,"")</f>
        <v>0</v>
      </c>
      <c r="S231" s="9">
        <f>IF('[1]Game Input'!$AS231&lt;&gt;"",'[1]Game Input'!$AS231,"")</f>
        <v>0</v>
      </c>
      <c r="T231" s="10" t="str">
        <f>IF('[1]Game Input'!$BA231&lt;&gt;"",'[1]Game Input'!$BA231,"")</f>
        <v>WATERLOO</v>
      </c>
      <c r="U231" s="9">
        <f>IF('[1]Game Input'!$BU231&lt;&gt;"",'[1]Game Input'!$BU231,"")</f>
        <v>44</v>
      </c>
      <c r="V231" s="9">
        <f>IF('[1]Game Input'!$BV231&lt;&gt;"",'[1]Game Input'!$BV231,"")</f>
        <v>11</v>
      </c>
      <c r="W231" s="9">
        <f>IF('[1]Game Input'!$CB231&lt;&gt;"",'[1]Game Input'!$CB231,"")</f>
        <v>0</v>
      </c>
      <c r="X231" s="9">
        <f>IF('[1]Game Input'!$CC231&lt;&gt;"",'[1]Game Input'!$CC231,"")</f>
        <v>0</v>
      </c>
      <c r="Y231" s="9">
        <f>IF('[1]Game Input'!$CF231&lt;&gt;"",'[1]Game Input'!$CF231,"")</f>
        <v>7</v>
      </c>
      <c r="Z231" s="9">
        <f>IF('[1]Game Input'!$CG231&lt;&gt;"",'[1]Game Input'!$CG231,"")</f>
        <v>2</v>
      </c>
      <c r="AA231" s="9">
        <f>IF('[1]Game Input'!$CH231&lt;&gt;"",'[1]Game Input'!$CH231,"")</f>
        <v>2</v>
      </c>
      <c r="AB231" s="9">
        <f>IF('[1]Game Input'!$CI231&lt;&gt;"",'[1]Game Input'!$CI231,"")</f>
        <v>0</v>
      </c>
      <c r="AC231" s="9">
        <f>IF('[1]Game Input'!$CJ231&lt;&gt;"",'[1]Game Input'!$CJ231,"")</f>
        <v>0</v>
      </c>
      <c r="AD231" s="9">
        <f>IF('[1]Game Input'!$CK231&lt;&gt;"",'[1]Game Input'!$CK231,"")</f>
        <v>0</v>
      </c>
      <c r="AE231" s="8"/>
      <c r="AF231" s="8"/>
      <c r="AG231" s="8"/>
      <c r="AH231" s="8"/>
    </row>
    <row r="232" spans="1:34" x14ac:dyDescent="0.2">
      <c r="A232" s="6">
        <f>IF('[1]Game Input'!$A232&lt;&gt;"",'[1]Game Input'!$A232,"")</f>
        <v>43464</v>
      </c>
      <c r="B232" s="6" t="str">
        <f>IF(A232&gt;$B$1,VLOOKUP(MONTH($A232),DOTWMonth,2,FALSE),"")</f>
        <v>December</v>
      </c>
      <c r="C232" s="10" t="str">
        <f>IF(A232&gt;$B$1,VLOOKUP(WEEKDAY($A232),DOTWMonth,3,FALSE),"")</f>
        <v>Sunday</v>
      </c>
      <c r="D232" s="7">
        <f>IF('[1]Game Input'!$B232&lt;&gt;"",'[1]Game Input'!$B232,"")</f>
        <v>0.67013888888888884</v>
      </c>
      <c r="E232" s="7">
        <f>IF('[1]Game Input'!$C232&lt;&gt;"",'[1]Game Input'!$C232,"")</f>
        <v>0.62847222222222221</v>
      </c>
      <c r="F232" s="8" t="str">
        <f>IF('[1]Game Input'!$D232&lt;&gt;"",'[1]Game Input'!$D232,"")</f>
        <v>Standard</v>
      </c>
      <c r="G232" s="8" t="str">
        <f>IF('[1]Game Input'!$G232&lt;&gt;"",'[1]Game Input'!$G232,"")</f>
        <v>YNG @ DUB</v>
      </c>
      <c r="H232" s="8" t="str">
        <f>IF('[1]Game Input'!$H232&lt;&gt;"",'[1]Game Input'!$H232,"")</f>
        <v>Vs. Conference</v>
      </c>
      <c r="I232" s="8" t="str">
        <f>IF('[1]Game Input'!$I232&lt;&gt;"",'[1]Game Input'!$I232,"")</f>
        <v>YOUNGSTOWN</v>
      </c>
      <c r="J232" s="9">
        <f>IF('[1]Game Input'!$AC232&lt;&gt;"",'[1]Game Input'!$AC232,"")</f>
        <v>2</v>
      </c>
      <c r="K232" s="9">
        <f>IF('[1]Game Input'!$AD232&lt;&gt;"",'[1]Game Input'!$AD232,"")</f>
        <v>1</v>
      </c>
      <c r="L232" s="9">
        <f>IF('[1]Game Input'!$AJ232&lt;&gt;"",'[1]Game Input'!$AJ232,"")</f>
        <v>0</v>
      </c>
      <c r="M232" s="9">
        <f>IF('[1]Game Input'!$AK232&lt;&gt;"",'[1]Game Input'!$AK232,"")</f>
        <v>0</v>
      </c>
      <c r="N232" s="9">
        <f>IF('[1]Game Input'!$AN232&lt;&gt;"",'[1]Game Input'!$AN232,"")</f>
        <v>1</v>
      </c>
      <c r="O232" s="9">
        <f>IF('[1]Game Input'!$AO232&lt;&gt;"",'[1]Game Input'!$AO232,"")</f>
        <v>0</v>
      </c>
      <c r="P232" s="9">
        <f>IF('[1]Game Input'!$AP232&lt;&gt;"",'[1]Game Input'!$AP232,"")</f>
        <v>0</v>
      </c>
      <c r="Q232" s="9">
        <f>IF('[1]Game Input'!$AQ232&lt;&gt;"",'[1]Game Input'!$AQ232,"")</f>
        <v>0</v>
      </c>
      <c r="R232" s="9">
        <f>IF('[1]Game Input'!$AR232&lt;&gt;"",'[1]Game Input'!$AR232,"")</f>
        <v>0</v>
      </c>
      <c r="S232" s="9">
        <f>IF('[1]Game Input'!$AS232&lt;&gt;"",'[1]Game Input'!$AS232,"")</f>
        <v>0</v>
      </c>
      <c r="T232" s="10" t="str">
        <f>IF('[1]Game Input'!$BA232&lt;&gt;"",'[1]Game Input'!$BA232,"")</f>
        <v>DUBUQUE</v>
      </c>
      <c r="U232" s="9">
        <f>IF('[1]Game Input'!$BU232&lt;&gt;"",'[1]Game Input'!$BU232,"")</f>
        <v>6</v>
      </c>
      <c r="V232" s="9">
        <f>IF('[1]Game Input'!$BV232&lt;&gt;"",'[1]Game Input'!$BV232,"")</f>
        <v>3</v>
      </c>
      <c r="W232" s="9">
        <f>IF('[1]Game Input'!$CB232&lt;&gt;"",'[1]Game Input'!$CB232,"")</f>
        <v>0</v>
      </c>
      <c r="X232" s="9">
        <f>IF('[1]Game Input'!$CC232&lt;&gt;"",'[1]Game Input'!$CC232,"")</f>
        <v>0</v>
      </c>
      <c r="Y232" s="9">
        <f>IF('[1]Game Input'!$CF232&lt;&gt;"",'[1]Game Input'!$CF232,"")</f>
        <v>3</v>
      </c>
      <c r="Z232" s="9">
        <f>IF('[1]Game Input'!$CG232&lt;&gt;"",'[1]Game Input'!$CG232,"")</f>
        <v>0</v>
      </c>
      <c r="AA232" s="9">
        <f>IF('[1]Game Input'!$CH232&lt;&gt;"",'[1]Game Input'!$CH232,"")</f>
        <v>0</v>
      </c>
      <c r="AB232" s="9">
        <f>IF('[1]Game Input'!$CI232&lt;&gt;"",'[1]Game Input'!$CI232,"")</f>
        <v>0</v>
      </c>
      <c r="AC232" s="9">
        <f>IF('[1]Game Input'!$CJ232&lt;&gt;"",'[1]Game Input'!$CJ232,"")</f>
        <v>0</v>
      </c>
      <c r="AD232" s="9">
        <f>IF('[1]Game Input'!$CK232&lt;&gt;"",'[1]Game Input'!$CK232,"")</f>
        <v>0</v>
      </c>
      <c r="AE232" s="8"/>
      <c r="AF232" s="8"/>
      <c r="AG232" s="8"/>
      <c r="AH232" s="8"/>
    </row>
    <row r="233" spans="1:34" x14ac:dyDescent="0.2">
      <c r="A233" s="6">
        <f>IF('[1]Game Input'!$A233&lt;&gt;"",'[1]Game Input'!$A233,"")</f>
        <v>43465</v>
      </c>
      <c r="B233" s="6" t="str">
        <f>IF(A233&gt;$B$1,VLOOKUP(MONTH($A233),DOTWMonth,2,FALSE),"")</f>
        <v>December</v>
      </c>
      <c r="C233" s="10" t="str">
        <f>IF(A233&gt;$B$1,VLOOKUP(WEEKDAY($A233),DOTWMonth,3,FALSE),"")</f>
        <v>Monday</v>
      </c>
      <c r="D233" s="7">
        <f>IF('[1]Game Input'!$B233&lt;&gt;"",'[1]Game Input'!$B233,"")</f>
        <v>0.79513888888888884</v>
      </c>
      <c r="E233" s="7">
        <f>IF('[1]Game Input'!$C233&lt;&gt;"",'[1]Game Input'!$C233,"")</f>
        <v>0.75347222222222221</v>
      </c>
      <c r="F233" s="8" t="str">
        <f>IF('[1]Game Input'!$D233&lt;&gt;"",'[1]Game Input'!$D233,"")</f>
        <v>Standard</v>
      </c>
      <c r="G233" s="8" t="str">
        <f>IF('[1]Game Input'!$G233&lt;&gt;"",'[1]Game Input'!$G233,"")</f>
        <v>LIN @ SF</v>
      </c>
      <c r="H233" s="8" t="str">
        <f>IF('[1]Game Input'!$H233&lt;&gt;"",'[1]Game Input'!$H233,"")</f>
        <v>Vs. Conference</v>
      </c>
      <c r="I233" s="8" t="str">
        <f>IF('[1]Game Input'!$I233&lt;&gt;"",'[1]Game Input'!$I233,"")</f>
        <v>LINCOLN</v>
      </c>
      <c r="J233" s="9">
        <f>IF('[1]Game Input'!$AC233&lt;&gt;"",'[1]Game Input'!$AC233,"")</f>
        <v>10</v>
      </c>
      <c r="K233" s="9">
        <f>IF('[1]Game Input'!$AD233&lt;&gt;"",'[1]Game Input'!$AD233,"")</f>
        <v>6</v>
      </c>
      <c r="L233" s="9">
        <f>IF('[1]Game Input'!$AJ233&lt;&gt;"",'[1]Game Input'!$AJ233,"")</f>
        <v>0</v>
      </c>
      <c r="M233" s="9">
        <f>IF('[1]Game Input'!$AK233&lt;&gt;"",'[1]Game Input'!$AK233,"")</f>
        <v>0</v>
      </c>
      <c r="N233" s="9">
        <f>IF('[1]Game Input'!$AN233&lt;&gt;"",'[1]Game Input'!$AN233,"")</f>
        <v>5</v>
      </c>
      <c r="O233" s="9">
        <f>IF('[1]Game Input'!$AO233&lt;&gt;"",'[1]Game Input'!$AO233,"")</f>
        <v>0</v>
      </c>
      <c r="P233" s="9">
        <f>IF('[1]Game Input'!$AP233&lt;&gt;"",'[1]Game Input'!$AP233,"")</f>
        <v>0</v>
      </c>
      <c r="Q233" s="9">
        <f>IF('[1]Game Input'!$AQ233&lt;&gt;"",'[1]Game Input'!$AQ233,"")</f>
        <v>0</v>
      </c>
      <c r="R233" s="9">
        <f>IF('[1]Game Input'!$AR233&lt;&gt;"",'[1]Game Input'!$AR233,"")</f>
        <v>0</v>
      </c>
      <c r="S233" s="9">
        <f>IF('[1]Game Input'!$AS233&lt;&gt;"",'[1]Game Input'!$AS233,"")</f>
        <v>0</v>
      </c>
      <c r="T233" s="10" t="str">
        <f>IF('[1]Game Input'!$BA233&lt;&gt;"",'[1]Game Input'!$BA233,"")</f>
        <v>SIOUX FALLS</v>
      </c>
      <c r="U233" s="9">
        <f>IF('[1]Game Input'!$BU233&lt;&gt;"",'[1]Game Input'!$BU233,"")</f>
        <v>8</v>
      </c>
      <c r="V233" s="9">
        <f>IF('[1]Game Input'!$BV233&lt;&gt;"",'[1]Game Input'!$BV233,"")</f>
        <v>4</v>
      </c>
      <c r="W233" s="9">
        <f>IF('[1]Game Input'!$CB233&lt;&gt;"",'[1]Game Input'!$CB233,"")</f>
        <v>1</v>
      </c>
      <c r="X233" s="9">
        <f>IF('[1]Game Input'!$CC233&lt;&gt;"",'[1]Game Input'!$CC233,"")</f>
        <v>1</v>
      </c>
      <c r="Y233" s="9">
        <f>IF('[1]Game Input'!$CF233&lt;&gt;"",'[1]Game Input'!$CF233,"")</f>
        <v>4</v>
      </c>
      <c r="Z233" s="9">
        <f>IF('[1]Game Input'!$CG233&lt;&gt;"",'[1]Game Input'!$CG233,"")</f>
        <v>0</v>
      </c>
      <c r="AA233" s="9">
        <f>IF('[1]Game Input'!$CH233&lt;&gt;"",'[1]Game Input'!$CH233,"")</f>
        <v>0</v>
      </c>
      <c r="AB233" s="9">
        <f>IF('[1]Game Input'!$CI233&lt;&gt;"",'[1]Game Input'!$CI233,"")</f>
        <v>0</v>
      </c>
      <c r="AC233" s="9">
        <f>IF('[1]Game Input'!$CJ233&lt;&gt;"",'[1]Game Input'!$CJ233,"")</f>
        <v>0</v>
      </c>
      <c r="AD233" s="9">
        <f>IF('[1]Game Input'!$CK233&lt;&gt;"",'[1]Game Input'!$CK233,"")</f>
        <v>1</v>
      </c>
      <c r="AE233" s="8"/>
      <c r="AF233" s="8"/>
      <c r="AG233" s="8"/>
      <c r="AH233" s="8"/>
    </row>
    <row r="234" spans="1:34" x14ac:dyDescent="0.2">
      <c r="A234" s="6">
        <f>IF('[1]Game Input'!$A234&lt;&gt;"",'[1]Game Input'!$A234,"")</f>
        <v>43465</v>
      </c>
      <c r="B234" s="6" t="str">
        <f>IF(A234&gt;$B$1,VLOOKUP(MONTH($A234),DOTWMonth,2,FALSE),"")</f>
        <v>December</v>
      </c>
      <c r="C234" s="10" t="str">
        <f>IF(A234&gt;$B$1,VLOOKUP(WEEKDAY($A234),DOTWMonth,3,FALSE),"")</f>
        <v>Monday</v>
      </c>
      <c r="D234" s="7">
        <f>IF('[1]Game Input'!$B234&lt;&gt;"",'[1]Game Input'!$B234,"")</f>
        <v>0.79513888888888884</v>
      </c>
      <c r="E234" s="7">
        <f>IF('[1]Game Input'!$C234&lt;&gt;"",'[1]Game Input'!$C234,"")</f>
        <v>0.75347222222222221</v>
      </c>
      <c r="F234" s="8" t="str">
        <f>IF('[1]Game Input'!$D234&lt;&gt;"",'[1]Game Input'!$D234,"")</f>
        <v>Standard</v>
      </c>
      <c r="G234" s="8" t="str">
        <f>IF('[1]Game Input'!$G234&lt;&gt;"",'[1]Game Input'!$G234,"")</f>
        <v>DM @ GB</v>
      </c>
      <c r="H234" s="8" t="str">
        <f>IF('[1]Game Input'!$H234&lt;&gt;"",'[1]Game Input'!$H234,"")</f>
        <v>Vs. Non-Conference</v>
      </c>
      <c r="I234" s="8" t="str">
        <f>IF('[1]Game Input'!$I234&lt;&gt;"",'[1]Game Input'!$I234,"")</f>
        <v>DES MOINES</v>
      </c>
      <c r="J234" s="9">
        <f>IF('[1]Game Input'!$AC234&lt;&gt;"",'[1]Game Input'!$AC234,"")</f>
        <v>2</v>
      </c>
      <c r="K234" s="9">
        <f>IF('[1]Game Input'!$AD234&lt;&gt;"",'[1]Game Input'!$AD234,"")</f>
        <v>1</v>
      </c>
      <c r="L234" s="9">
        <f>IF('[1]Game Input'!$AJ234&lt;&gt;"",'[1]Game Input'!$AJ234,"")</f>
        <v>0</v>
      </c>
      <c r="M234" s="9">
        <f>IF('[1]Game Input'!$AK234&lt;&gt;"",'[1]Game Input'!$AK234,"")</f>
        <v>0</v>
      </c>
      <c r="N234" s="9">
        <f>IF('[1]Game Input'!$AN234&lt;&gt;"",'[1]Game Input'!$AN234,"")</f>
        <v>1</v>
      </c>
      <c r="O234" s="9">
        <f>IF('[1]Game Input'!$AO234&lt;&gt;"",'[1]Game Input'!$AO234,"")</f>
        <v>0</v>
      </c>
      <c r="P234" s="9">
        <f>IF('[1]Game Input'!$AP234&lt;&gt;"",'[1]Game Input'!$AP234,"")</f>
        <v>0</v>
      </c>
      <c r="Q234" s="9">
        <f>IF('[1]Game Input'!$AQ234&lt;&gt;"",'[1]Game Input'!$AQ234,"")</f>
        <v>0</v>
      </c>
      <c r="R234" s="9">
        <f>IF('[1]Game Input'!$AR234&lt;&gt;"",'[1]Game Input'!$AR234,"")</f>
        <v>0</v>
      </c>
      <c r="S234" s="9">
        <f>IF('[1]Game Input'!$AS234&lt;&gt;"",'[1]Game Input'!$AS234,"")</f>
        <v>0</v>
      </c>
      <c r="T234" s="10" t="str">
        <f>IF('[1]Game Input'!$BA234&lt;&gt;"",'[1]Game Input'!$BA234,"")</f>
        <v>GREEN BAY</v>
      </c>
      <c r="U234" s="9">
        <f>IF('[1]Game Input'!$BU234&lt;&gt;"",'[1]Game Input'!$BU234,"")</f>
        <v>8</v>
      </c>
      <c r="V234" s="9">
        <f>IF('[1]Game Input'!$BV234&lt;&gt;"",'[1]Game Input'!$BV234,"")</f>
        <v>4</v>
      </c>
      <c r="W234" s="9">
        <f>IF('[1]Game Input'!$CB234&lt;&gt;"",'[1]Game Input'!$CB234,"")</f>
        <v>0</v>
      </c>
      <c r="X234" s="9">
        <f>IF('[1]Game Input'!$CC234&lt;&gt;"",'[1]Game Input'!$CC234,"")</f>
        <v>0</v>
      </c>
      <c r="Y234" s="9">
        <f>IF('[1]Game Input'!$CF234&lt;&gt;"",'[1]Game Input'!$CF234,"")</f>
        <v>4</v>
      </c>
      <c r="Z234" s="9">
        <f>IF('[1]Game Input'!$CG234&lt;&gt;"",'[1]Game Input'!$CG234,"")</f>
        <v>0</v>
      </c>
      <c r="AA234" s="9">
        <f>IF('[1]Game Input'!$CH234&lt;&gt;"",'[1]Game Input'!$CH234,"")</f>
        <v>0</v>
      </c>
      <c r="AB234" s="9">
        <f>IF('[1]Game Input'!$CI234&lt;&gt;"",'[1]Game Input'!$CI234,"")</f>
        <v>0</v>
      </c>
      <c r="AC234" s="9">
        <f>IF('[1]Game Input'!$CJ234&lt;&gt;"",'[1]Game Input'!$CJ234,"")</f>
        <v>0</v>
      </c>
      <c r="AD234" s="9">
        <f>IF('[1]Game Input'!$CK234&lt;&gt;"",'[1]Game Input'!$CK234,"")</f>
        <v>0</v>
      </c>
      <c r="AE234" s="8" t="s">
        <v>90</v>
      </c>
      <c r="AF234" s="8"/>
      <c r="AG234" s="8" t="s">
        <v>122</v>
      </c>
      <c r="AH234" s="8" t="s">
        <v>113</v>
      </c>
    </row>
    <row r="235" spans="1:34" x14ac:dyDescent="0.2">
      <c r="A235" s="6">
        <f>IF('[1]Game Input'!$A235&lt;&gt;"",'[1]Game Input'!$A235,"")</f>
        <v>43465</v>
      </c>
      <c r="B235" s="6" t="str">
        <f>IF(A235&gt;$B$1,VLOOKUP(MONTH($A235),DOTWMonth,2,FALSE),"")</f>
        <v>December</v>
      </c>
      <c r="C235" s="10" t="str">
        <f>IF(A235&gt;$B$1,VLOOKUP(WEEKDAY($A235),DOTWMonth,3,FALSE),"")</f>
        <v>Monday</v>
      </c>
      <c r="D235" s="7">
        <f>IF('[1]Game Input'!$B235&lt;&gt;"",'[1]Game Input'!$B235,"")</f>
        <v>0.79513888888888884</v>
      </c>
      <c r="E235" s="7">
        <f>IF('[1]Game Input'!$C235&lt;&gt;"",'[1]Game Input'!$C235,"")</f>
        <v>0.75347222222222221</v>
      </c>
      <c r="F235" s="8" t="str">
        <f>IF('[1]Game Input'!$D235&lt;&gt;"",'[1]Game Input'!$D235,"")</f>
        <v>Standard</v>
      </c>
      <c r="G235" s="8" t="str">
        <f>IF('[1]Game Input'!$G235&lt;&gt;"",'[1]Game Input'!$G235,"")</f>
        <v>MAD @ WAT</v>
      </c>
      <c r="H235" s="8" t="str">
        <f>IF('[1]Game Input'!$H235&lt;&gt;"",'[1]Game Input'!$H235,"")</f>
        <v>Vs. Non-Conference</v>
      </c>
      <c r="I235" s="8" t="str">
        <f>IF('[1]Game Input'!$I235&lt;&gt;"",'[1]Game Input'!$I235,"")</f>
        <v>MADISON</v>
      </c>
      <c r="J235" s="9">
        <f>IF('[1]Game Input'!$AC235&lt;&gt;"",'[1]Game Input'!$AC235,"")</f>
        <v>14</v>
      </c>
      <c r="K235" s="9">
        <f>IF('[1]Game Input'!$AD235&lt;&gt;"",'[1]Game Input'!$AD235,"")</f>
        <v>7</v>
      </c>
      <c r="L235" s="9">
        <f>IF('[1]Game Input'!$AJ235&lt;&gt;"",'[1]Game Input'!$AJ235,"")</f>
        <v>0</v>
      </c>
      <c r="M235" s="9">
        <f>IF('[1]Game Input'!$AK235&lt;&gt;"",'[1]Game Input'!$AK235,"")</f>
        <v>0</v>
      </c>
      <c r="N235" s="9">
        <f>IF('[1]Game Input'!$AN235&lt;&gt;"",'[1]Game Input'!$AN235,"")</f>
        <v>7</v>
      </c>
      <c r="O235" s="9">
        <f>IF('[1]Game Input'!$AO235&lt;&gt;"",'[1]Game Input'!$AO235,"")</f>
        <v>0</v>
      </c>
      <c r="P235" s="9">
        <f>IF('[1]Game Input'!$AP235&lt;&gt;"",'[1]Game Input'!$AP235,"")</f>
        <v>0</v>
      </c>
      <c r="Q235" s="9">
        <f>IF('[1]Game Input'!$AQ235&lt;&gt;"",'[1]Game Input'!$AQ235,"")</f>
        <v>0</v>
      </c>
      <c r="R235" s="9">
        <f>IF('[1]Game Input'!$AR235&lt;&gt;"",'[1]Game Input'!$AR235,"")</f>
        <v>0</v>
      </c>
      <c r="S235" s="9">
        <f>IF('[1]Game Input'!$AS235&lt;&gt;"",'[1]Game Input'!$AS235,"")</f>
        <v>0</v>
      </c>
      <c r="T235" s="10" t="str">
        <f>IF('[1]Game Input'!$BA235&lt;&gt;"",'[1]Game Input'!$BA235,"")</f>
        <v>WATERLOO</v>
      </c>
      <c r="U235" s="9">
        <f>IF('[1]Game Input'!$BU235&lt;&gt;"",'[1]Game Input'!$BU235,"")</f>
        <v>8</v>
      </c>
      <c r="V235" s="9">
        <f>IF('[1]Game Input'!$BV235&lt;&gt;"",'[1]Game Input'!$BV235,"")</f>
        <v>4</v>
      </c>
      <c r="W235" s="9">
        <f>IF('[1]Game Input'!$CB235&lt;&gt;"",'[1]Game Input'!$CB235,"")</f>
        <v>0</v>
      </c>
      <c r="X235" s="9">
        <f>IF('[1]Game Input'!$CC235&lt;&gt;"",'[1]Game Input'!$CC235,"")</f>
        <v>0</v>
      </c>
      <c r="Y235" s="9">
        <f>IF('[1]Game Input'!$CF235&lt;&gt;"",'[1]Game Input'!$CF235,"")</f>
        <v>4</v>
      </c>
      <c r="Z235" s="9">
        <f>IF('[1]Game Input'!$CG235&lt;&gt;"",'[1]Game Input'!$CG235,"")</f>
        <v>0</v>
      </c>
      <c r="AA235" s="9">
        <f>IF('[1]Game Input'!$CH235&lt;&gt;"",'[1]Game Input'!$CH235,"")</f>
        <v>0</v>
      </c>
      <c r="AB235" s="9">
        <f>IF('[1]Game Input'!$CI235&lt;&gt;"",'[1]Game Input'!$CI235,"")</f>
        <v>0</v>
      </c>
      <c r="AC235" s="9">
        <f>IF('[1]Game Input'!$CJ235&lt;&gt;"",'[1]Game Input'!$CJ235,"")</f>
        <v>0</v>
      </c>
      <c r="AD235" s="9">
        <f>IF('[1]Game Input'!$CK235&lt;&gt;"",'[1]Game Input'!$CK235,"")</f>
        <v>0</v>
      </c>
      <c r="AE235" s="8"/>
      <c r="AF235" s="8"/>
      <c r="AG235" s="8"/>
      <c r="AH235" s="8"/>
    </row>
    <row r="236" spans="1:34" x14ac:dyDescent="0.2">
      <c r="A236" s="6">
        <f>IF('[1]Game Input'!$A236&lt;&gt;"",'[1]Game Input'!$A236,"")</f>
        <v>43465</v>
      </c>
      <c r="B236" s="6" t="str">
        <f>IF(A236&gt;$B$1,VLOOKUP(MONTH($A236),DOTWMonth,2,FALSE),"")</f>
        <v>December</v>
      </c>
      <c r="C236" s="10" t="str">
        <f>IF(A236&gt;$B$1,VLOOKUP(WEEKDAY($A236),DOTWMonth,3,FALSE),"")</f>
        <v>Monday</v>
      </c>
      <c r="D236" s="7">
        <f>IF('[1]Game Input'!$B236&lt;&gt;"",'[1]Game Input'!$B236,"")</f>
        <v>0.83680555555555547</v>
      </c>
      <c r="E236" s="7">
        <f>IF('[1]Game Input'!$C236&lt;&gt;"",'[1]Game Input'!$C236,"")</f>
        <v>0.79513888888888884</v>
      </c>
      <c r="F236" s="8" t="str">
        <f>IF('[1]Game Input'!$D236&lt;&gt;"",'[1]Game Input'!$D236,"")</f>
        <v>Standard</v>
      </c>
      <c r="G236" s="8" t="str">
        <f>IF('[1]Game Input'!$G236&lt;&gt;"",'[1]Game Input'!$G236,"")</f>
        <v>OMA @ SC</v>
      </c>
      <c r="H236" s="8" t="str">
        <f>IF('[1]Game Input'!$H236&lt;&gt;"",'[1]Game Input'!$H236,"")</f>
        <v>Vs. Conference</v>
      </c>
      <c r="I236" s="8" t="str">
        <f>IF('[1]Game Input'!$I236&lt;&gt;"",'[1]Game Input'!$I236,"")</f>
        <v>OMAHA</v>
      </c>
      <c r="J236" s="9">
        <f>IF('[1]Game Input'!$AC236&lt;&gt;"",'[1]Game Input'!$AC236,"")</f>
        <v>6</v>
      </c>
      <c r="K236" s="9">
        <f>IF('[1]Game Input'!$AD236&lt;&gt;"",'[1]Game Input'!$AD236,"")</f>
        <v>3</v>
      </c>
      <c r="L236" s="9">
        <f>IF('[1]Game Input'!$AJ236&lt;&gt;"",'[1]Game Input'!$AJ236,"")</f>
        <v>1</v>
      </c>
      <c r="M236" s="9">
        <f>IF('[1]Game Input'!$AK236&lt;&gt;"",'[1]Game Input'!$AK236,"")</f>
        <v>1</v>
      </c>
      <c r="N236" s="9">
        <f>IF('[1]Game Input'!$AN236&lt;&gt;"",'[1]Game Input'!$AN236,"")</f>
        <v>3</v>
      </c>
      <c r="O236" s="9">
        <f>IF('[1]Game Input'!$AO236&lt;&gt;"",'[1]Game Input'!$AO236,"")</f>
        <v>0</v>
      </c>
      <c r="P236" s="9">
        <f>IF('[1]Game Input'!$AP236&lt;&gt;"",'[1]Game Input'!$AP236,"")</f>
        <v>0</v>
      </c>
      <c r="Q236" s="9">
        <f>IF('[1]Game Input'!$AQ236&lt;&gt;"",'[1]Game Input'!$AQ236,"")</f>
        <v>0</v>
      </c>
      <c r="R236" s="9">
        <f>IF('[1]Game Input'!$AR236&lt;&gt;"",'[1]Game Input'!$AR236,"")</f>
        <v>0</v>
      </c>
      <c r="S236" s="9">
        <f>IF('[1]Game Input'!$AS236&lt;&gt;"",'[1]Game Input'!$AS236,"")</f>
        <v>1</v>
      </c>
      <c r="T236" s="10" t="str">
        <f>IF('[1]Game Input'!$BA236&lt;&gt;"",'[1]Game Input'!$BA236,"")</f>
        <v>SIOUX CITY</v>
      </c>
      <c r="U236" s="9">
        <f>IF('[1]Game Input'!$BU236&lt;&gt;"",'[1]Game Input'!$BU236,"")</f>
        <v>13</v>
      </c>
      <c r="V236" s="9">
        <f>IF('[1]Game Input'!$BV236&lt;&gt;"",'[1]Game Input'!$BV236,"")</f>
        <v>6</v>
      </c>
      <c r="W236" s="9">
        <f>IF('[1]Game Input'!$CB236&lt;&gt;"",'[1]Game Input'!$CB236,"")</f>
        <v>0</v>
      </c>
      <c r="X236" s="9">
        <f>IF('[1]Game Input'!$CC236&lt;&gt;"",'[1]Game Input'!$CC236,"")</f>
        <v>0</v>
      </c>
      <c r="Y236" s="9">
        <f>IF('[1]Game Input'!$CF236&lt;&gt;"",'[1]Game Input'!$CF236,"")</f>
        <v>4</v>
      </c>
      <c r="Z236" s="9">
        <f>IF('[1]Game Input'!$CG236&lt;&gt;"",'[1]Game Input'!$CG236,"")</f>
        <v>1</v>
      </c>
      <c r="AA236" s="9">
        <f>IF('[1]Game Input'!$CH236&lt;&gt;"",'[1]Game Input'!$CH236,"")</f>
        <v>0</v>
      </c>
      <c r="AB236" s="9">
        <f>IF('[1]Game Input'!$CI236&lt;&gt;"",'[1]Game Input'!$CI236,"")</f>
        <v>0</v>
      </c>
      <c r="AC236" s="9">
        <f>IF('[1]Game Input'!$CJ236&lt;&gt;"",'[1]Game Input'!$CJ236,"")</f>
        <v>0</v>
      </c>
      <c r="AD236" s="9">
        <f>IF('[1]Game Input'!$CK236&lt;&gt;"",'[1]Game Input'!$CK236,"")</f>
        <v>0</v>
      </c>
      <c r="AE236" s="8"/>
      <c r="AF236" s="8"/>
      <c r="AG236" s="8"/>
      <c r="AH236" s="8"/>
    </row>
    <row r="237" spans="1:34" x14ac:dyDescent="0.2">
      <c r="A237" s="6">
        <f>IF('[1]Game Input'!$A237&lt;&gt;"",'[1]Game Input'!$A237,"")</f>
        <v>43465</v>
      </c>
      <c r="B237" s="6" t="str">
        <f>IF(A237&gt;$B$1,VLOOKUP(MONTH($A237),DOTWMonth,2,FALSE),"")</f>
        <v>December</v>
      </c>
      <c r="C237" s="10" t="str">
        <f>IF(A237&gt;$B$1,VLOOKUP(WEEKDAY($A237),DOTWMonth,3,FALSE),"")</f>
        <v>Monday</v>
      </c>
      <c r="D237" s="7">
        <f>IF('[1]Game Input'!$B237&lt;&gt;"",'[1]Game Input'!$B237,"")</f>
        <v>0.84375</v>
      </c>
      <c r="E237" s="7">
        <f>IF('[1]Game Input'!$C237&lt;&gt;"",'[1]Game Input'!$C237,"")</f>
        <v>0.80208333333333337</v>
      </c>
      <c r="F237" s="8" t="str">
        <f>IF('[1]Game Input'!$D237&lt;&gt;"",'[1]Game Input'!$D237,"")</f>
        <v>Standard</v>
      </c>
      <c r="G237" s="8" t="str">
        <f>IF('[1]Game Input'!$G237&lt;&gt;"",'[1]Game Input'!$G237,"")</f>
        <v>CHI @ MUS</v>
      </c>
      <c r="H237" s="8" t="str">
        <f>IF('[1]Game Input'!$H237&lt;&gt;"",'[1]Game Input'!$H237,"")</f>
        <v>Vs. Conference</v>
      </c>
      <c r="I237" s="8" t="str">
        <f>IF('[1]Game Input'!$I237&lt;&gt;"",'[1]Game Input'!$I237,"")</f>
        <v>CHICAGO</v>
      </c>
      <c r="J237" s="9">
        <f>IF('[1]Game Input'!$AC237&lt;&gt;"",'[1]Game Input'!$AC237,"")</f>
        <v>2</v>
      </c>
      <c r="K237" s="9">
        <f>IF('[1]Game Input'!$AD237&lt;&gt;"",'[1]Game Input'!$AD237,"")</f>
        <v>1</v>
      </c>
      <c r="L237" s="9">
        <f>IF('[1]Game Input'!$AJ237&lt;&gt;"",'[1]Game Input'!$AJ237,"")</f>
        <v>0</v>
      </c>
      <c r="M237" s="9">
        <f>IF('[1]Game Input'!$AK237&lt;&gt;"",'[1]Game Input'!$AK237,"")</f>
        <v>0</v>
      </c>
      <c r="N237" s="9">
        <f>IF('[1]Game Input'!$AN237&lt;&gt;"",'[1]Game Input'!$AN237,"")</f>
        <v>1</v>
      </c>
      <c r="O237" s="9">
        <f>IF('[1]Game Input'!$AO237&lt;&gt;"",'[1]Game Input'!$AO237,"")</f>
        <v>0</v>
      </c>
      <c r="P237" s="9">
        <f>IF('[1]Game Input'!$AP237&lt;&gt;"",'[1]Game Input'!$AP237,"")</f>
        <v>0</v>
      </c>
      <c r="Q237" s="9">
        <f>IF('[1]Game Input'!$AQ237&lt;&gt;"",'[1]Game Input'!$AQ237,"")</f>
        <v>0</v>
      </c>
      <c r="R237" s="9">
        <f>IF('[1]Game Input'!$AR237&lt;&gt;"",'[1]Game Input'!$AR237,"")</f>
        <v>0</v>
      </c>
      <c r="S237" s="9">
        <f>IF('[1]Game Input'!$AS237&lt;&gt;"",'[1]Game Input'!$AS237,"")</f>
        <v>0</v>
      </c>
      <c r="T237" s="10" t="str">
        <f>IF('[1]Game Input'!$BA237&lt;&gt;"",'[1]Game Input'!$BA237,"")</f>
        <v>MUSKEGON</v>
      </c>
      <c r="U237" s="9">
        <f>IF('[1]Game Input'!$BU237&lt;&gt;"",'[1]Game Input'!$BU237,"")</f>
        <v>8</v>
      </c>
      <c r="V237" s="9">
        <f>IF('[1]Game Input'!$BV237&lt;&gt;"",'[1]Game Input'!$BV237,"")</f>
        <v>4</v>
      </c>
      <c r="W237" s="9">
        <f>IF('[1]Game Input'!$CB237&lt;&gt;"",'[1]Game Input'!$CB237,"")</f>
        <v>0</v>
      </c>
      <c r="X237" s="9">
        <f>IF('[1]Game Input'!$CC237&lt;&gt;"",'[1]Game Input'!$CC237,"")</f>
        <v>0</v>
      </c>
      <c r="Y237" s="9">
        <f>IF('[1]Game Input'!$CF237&lt;&gt;"",'[1]Game Input'!$CF237,"")</f>
        <v>4</v>
      </c>
      <c r="Z237" s="9">
        <f>IF('[1]Game Input'!$CG237&lt;&gt;"",'[1]Game Input'!$CG237,"")</f>
        <v>0</v>
      </c>
      <c r="AA237" s="9">
        <f>IF('[1]Game Input'!$CH237&lt;&gt;"",'[1]Game Input'!$CH237,"")</f>
        <v>0</v>
      </c>
      <c r="AB237" s="9">
        <f>IF('[1]Game Input'!$CI237&lt;&gt;"",'[1]Game Input'!$CI237,"")</f>
        <v>0</v>
      </c>
      <c r="AC237" s="9">
        <f>IF('[1]Game Input'!$CJ237&lt;&gt;"",'[1]Game Input'!$CJ237,"")</f>
        <v>0</v>
      </c>
      <c r="AD237" s="9">
        <f>IF('[1]Game Input'!$CK237&lt;&gt;"",'[1]Game Input'!$CK237,"")</f>
        <v>0</v>
      </c>
      <c r="AE237" s="8"/>
      <c r="AF237" s="8"/>
      <c r="AG237" s="8"/>
      <c r="AH237" s="8"/>
    </row>
    <row r="238" spans="1:34" x14ac:dyDescent="0.2">
      <c r="A238" s="6">
        <f>IF('[1]Game Input'!$A238&lt;&gt;"",'[1]Game Input'!$A238,"")</f>
        <v>43468</v>
      </c>
      <c r="B238" s="6" t="str">
        <f>IF(A238&gt;$B$1,VLOOKUP(MONTH($A238),DOTWMonth,2,FALSE),"")</f>
        <v>January</v>
      </c>
      <c r="C238" s="10" t="str">
        <f>IF(A238&gt;$B$1,VLOOKUP(WEEKDAY($A238),DOTWMonth,3,FALSE),"")</f>
        <v>Thursday</v>
      </c>
      <c r="D238" s="7">
        <f>IF('[1]Game Input'!$B238&lt;&gt;"",'[1]Game Input'!$B238,"")</f>
        <v>0.79166666666666663</v>
      </c>
      <c r="E238" s="7">
        <f>IF('[1]Game Input'!$C238&lt;&gt;"",'[1]Game Input'!$C238,"")</f>
        <v>0.75</v>
      </c>
      <c r="F238" s="8" t="str">
        <f>IF('[1]Game Input'!$D238&lt;&gt;"",'[1]Game Input'!$D238,"")</f>
        <v>Standard</v>
      </c>
      <c r="G238" s="8" t="str">
        <f>IF('[1]Game Input'!$G238&lt;&gt;"",'[1]Game Input'!$G238,"")</f>
        <v>TC @ USA</v>
      </c>
      <c r="H238" s="8" t="str">
        <f>IF('[1]Game Input'!$H238&lt;&gt;"",'[1]Game Input'!$H238,"")</f>
        <v>Vs. Non-Conference</v>
      </c>
      <c r="I238" s="8" t="str">
        <f>IF('[1]Game Input'!$I238&lt;&gt;"",'[1]Game Input'!$I238,"")</f>
        <v>TRI-CITY</v>
      </c>
      <c r="J238" s="9">
        <f>IF('[1]Game Input'!$AC238&lt;&gt;"",'[1]Game Input'!$AC238,"")</f>
        <v>4</v>
      </c>
      <c r="K238" s="9">
        <f>IF('[1]Game Input'!$AD238&lt;&gt;"",'[1]Game Input'!$AD238,"")</f>
        <v>2</v>
      </c>
      <c r="L238" s="9">
        <f>IF('[1]Game Input'!$AJ238&lt;&gt;"",'[1]Game Input'!$AJ238,"")</f>
        <v>0</v>
      </c>
      <c r="M238" s="9">
        <f>IF('[1]Game Input'!$AK238&lt;&gt;"",'[1]Game Input'!$AK238,"")</f>
        <v>0</v>
      </c>
      <c r="N238" s="9">
        <f>IF('[1]Game Input'!$AN238&lt;&gt;"",'[1]Game Input'!$AN238,"")</f>
        <v>2</v>
      </c>
      <c r="O238" s="9">
        <f>IF('[1]Game Input'!$AO238&lt;&gt;"",'[1]Game Input'!$AO238,"")</f>
        <v>0</v>
      </c>
      <c r="P238" s="9">
        <f>IF('[1]Game Input'!$AP238&lt;&gt;"",'[1]Game Input'!$AP238,"")</f>
        <v>0</v>
      </c>
      <c r="Q238" s="9">
        <f>IF('[1]Game Input'!$AQ238&lt;&gt;"",'[1]Game Input'!$AQ238,"")</f>
        <v>0</v>
      </c>
      <c r="R238" s="9">
        <f>IF('[1]Game Input'!$AR238&lt;&gt;"",'[1]Game Input'!$AR238,"")</f>
        <v>0</v>
      </c>
      <c r="S238" s="9">
        <f>IF('[1]Game Input'!$AS238&lt;&gt;"",'[1]Game Input'!$AS238,"")</f>
        <v>0</v>
      </c>
      <c r="T238" s="10" t="str">
        <f>IF('[1]Game Input'!$BA238&lt;&gt;"",'[1]Game Input'!$BA238,"")</f>
        <v>TEAM USA</v>
      </c>
      <c r="U238" s="9">
        <f>IF('[1]Game Input'!$BU238&lt;&gt;"",'[1]Game Input'!$BU238,"")</f>
        <v>2</v>
      </c>
      <c r="V238" s="9">
        <f>IF('[1]Game Input'!$BV238&lt;&gt;"",'[1]Game Input'!$BV238,"")</f>
        <v>1</v>
      </c>
      <c r="W238" s="9">
        <f>IF('[1]Game Input'!$CB238&lt;&gt;"",'[1]Game Input'!$CB238,"")</f>
        <v>0</v>
      </c>
      <c r="X238" s="9">
        <f>IF('[1]Game Input'!$CC238&lt;&gt;"",'[1]Game Input'!$CC238,"")</f>
        <v>0</v>
      </c>
      <c r="Y238" s="9">
        <f>IF('[1]Game Input'!$CF238&lt;&gt;"",'[1]Game Input'!$CF238,"")</f>
        <v>1</v>
      </c>
      <c r="Z238" s="9">
        <f>IF('[1]Game Input'!$CG238&lt;&gt;"",'[1]Game Input'!$CG238,"")</f>
        <v>0</v>
      </c>
      <c r="AA238" s="9">
        <f>IF('[1]Game Input'!$CH238&lt;&gt;"",'[1]Game Input'!$CH238,"")</f>
        <v>0</v>
      </c>
      <c r="AB238" s="9">
        <f>IF('[1]Game Input'!$CI238&lt;&gt;"",'[1]Game Input'!$CI238,"")</f>
        <v>0</v>
      </c>
      <c r="AC238" s="9">
        <f>IF('[1]Game Input'!$CJ238&lt;&gt;"",'[1]Game Input'!$CJ238,"")</f>
        <v>0</v>
      </c>
      <c r="AD238" s="9">
        <f>IF('[1]Game Input'!$CK238&lt;&gt;"",'[1]Game Input'!$CK238,"")</f>
        <v>0</v>
      </c>
      <c r="AE238" s="8"/>
      <c r="AF238" s="8"/>
      <c r="AG238" s="8"/>
      <c r="AH238" s="8"/>
    </row>
    <row r="239" spans="1:34" x14ac:dyDescent="0.2">
      <c r="A239" s="6">
        <f>IF('[1]Game Input'!$A239&lt;&gt;"",'[1]Game Input'!$A239,"")</f>
        <v>43469</v>
      </c>
      <c r="B239" s="6" t="str">
        <f>IF(A239&gt;$B$1,VLOOKUP(MONTH($A239),DOTWMonth,2,FALSE),"")</f>
        <v>January</v>
      </c>
      <c r="C239" s="10" t="str">
        <f>IF(A239&gt;$B$1,VLOOKUP(WEEKDAY($A239),DOTWMonth,3,FALSE),"")</f>
        <v>Friday</v>
      </c>
      <c r="D239" s="7">
        <f>IF('[1]Game Input'!$B239&lt;&gt;"",'[1]Game Input'!$B239,"")</f>
        <v>0.79166666666666663</v>
      </c>
      <c r="E239" s="7">
        <f>IF('[1]Game Input'!$C239&lt;&gt;"",'[1]Game Input'!$C239,"")</f>
        <v>0.75</v>
      </c>
      <c r="F239" s="8" t="str">
        <f>IF('[1]Game Input'!$D239&lt;&gt;"",'[1]Game Input'!$D239,"")</f>
        <v>Standard</v>
      </c>
      <c r="G239" s="8" t="str">
        <f>IF('[1]Game Input'!$G239&lt;&gt;"",'[1]Game Input'!$G239,"")</f>
        <v>TC @ USA</v>
      </c>
      <c r="H239" s="8" t="str">
        <f>IF('[1]Game Input'!$H239&lt;&gt;"",'[1]Game Input'!$H239,"")</f>
        <v>Vs. Non-Conference</v>
      </c>
      <c r="I239" s="8" t="str">
        <f>IF('[1]Game Input'!$I239&lt;&gt;"",'[1]Game Input'!$I239,"")</f>
        <v>TRI-CITY</v>
      </c>
      <c r="J239" s="9">
        <f>IF('[1]Game Input'!$AC239&lt;&gt;"",'[1]Game Input'!$AC239,"")</f>
        <v>8</v>
      </c>
      <c r="K239" s="9">
        <f>IF('[1]Game Input'!$AD239&lt;&gt;"",'[1]Game Input'!$AD239,"")</f>
        <v>4</v>
      </c>
      <c r="L239" s="9">
        <f>IF('[1]Game Input'!$AJ239&lt;&gt;"",'[1]Game Input'!$AJ239,"")</f>
        <v>0</v>
      </c>
      <c r="M239" s="9">
        <f>IF('[1]Game Input'!$AK239&lt;&gt;"",'[1]Game Input'!$AK239,"")</f>
        <v>0</v>
      </c>
      <c r="N239" s="9">
        <f>IF('[1]Game Input'!$AN239&lt;&gt;"",'[1]Game Input'!$AN239,"")</f>
        <v>4</v>
      </c>
      <c r="O239" s="9">
        <f>IF('[1]Game Input'!$AO239&lt;&gt;"",'[1]Game Input'!$AO239,"")</f>
        <v>0</v>
      </c>
      <c r="P239" s="9">
        <f>IF('[1]Game Input'!$AP239&lt;&gt;"",'[1]Game Input'!$AP239,"")</f>
        <v>0</v>
      </c>
      <c r="Q239" s="9">
        <f>IF('[1]Game Input'!$AQ239&lt;&gt;"",'[1]Game Input'!$AQ239,"")</f>
        <v>0</v>
      </c>
      <c r="R239" s="9">
        <f>IF('[1]Game Input'!$AR239&lt;&gt;"",'[1]Game Input'!$AR239,"")</f>
        <v>0</v>
      </c>
      <c r="S239" s="9">
        <f>IF('[1]Game Input'!$AS239&lt;&gt;"",'[1]Game Input'!$AS239,"")</f>
        <v>0</v>
      </c>
      <c r="T239" s="10" t="str">
        <f>IF('[1]Game Input'!$BA239&lt;&gt;"",'[1]Game Input'!$BA239,"")</f>
        <v>TEAM USA</v>
      </c>
      <c r="U239" s="9">
        <f>IF('[1]Game Input'!$BU239&lt;&gt;"",'[1]Game Input'!$BU239,"")</f>
        <v>14</v>
      </c>
      <c r="V239" s="9">
        <f>IF('[1]Game Input'!$BV239&lt;&gt;"",'[1]Game Input'!$BV239,"")</f>
        <v>7</v>
      </c>
      <c r="W239" s="9">
        <f>IF('[1]Game Input'!$CB239&lt;&gt;"",'[1]Game Input'!$CB239,"")</f>
        <v>0</v>
      </c>
      <c r="X239" s="9">
        <f>IF('[1]Game Input'!$CC239&lt;&gt;"",'[1]Game Input'!$CC239,"")</f>
        <v>0</v>
      </c>
      <c r="Y239" s="9">
        <f>IF('[1]Game Input'!$CF239&lt;&gt;"",'[1]Game Input'!$CF239,"")</f>
        <v>7</v>
      </c>
      <c r="Z239" s="9">
        <f>IF('[1]Game Input'!$CG239&lt;&gt;"",'[1]Game Input'!$CG239,"")</f>
        <v>0</v>
      </c>
      <c r="AA239" s="9">
        <f>IF('[1]Game Input'!$CH239&lt;&gt;"",'[1]Game Input'!$CH239,"")</f>
        <v>0</v>
      </c>
      <c r="AB239" s="9">
        <f>IF('[1]Game Input'!$CI239&lt;&gt;"",'[1]Game Input'!$CI239,"")</f>
        <v>0</v>
      </c>
      <c r="AC239" s="9">
        <f>IF('[1]Game Input'!$CJ239&lt;&gt;"",'[1]Game Input'!$CJ239,"")</f>
        <v>0</v>
      </c>
      <c r="AD239" s="9">
        <f>IF('[1]Game Input'!$CK239&lt;&gt;"",'[1]Game Input'!$CK239,"")</f>
        <v>0</v>
      </c>
      <c r="AE239" s="8"/>
      <c r="AF239" s="8"/>
      <c r="AG239" s="8"/>
      <c r="AH239" s="8"/>
    </row>
    <row r="240" spans="1:34" x14ac:dyDescent="0.2">
      <c r="A240" s="6">
        <f>IF('[1]Game Input'!$A240&lt;&gt;"",'[1]Game Input'!$A240,"")</f>
        <v>43469</v>
      </c>
      <c r="B240" s="6" t="str">
        <f>IF(A240&gt;$B$1,VLOOKUP(MONTH($A240),DOTWMonth,2,FALSE),"")</f>
        <v>January</v>
      </c>
      <c r="C240" s="10" t="str">
        <f>IF(A240&gt;$B$1,VLOOKUP(WEEKDAY($A240),DOTWMonth,3,FALSE),"")</f>
        <v>Friday</v>
      </c>
      <c r="D240" s="7">
        <f>IF('[1]Game Input'!$B240&lt;&gt;"",'[1]Game Input'!$B240,"")</f>
        <v>0.79513888888888884</v>
      </c>
      <c r="E240" s="7">
        <f>IF('[1]Game Input'!$C240&lt;&gt;"",'[1]Game Input'!$C240,"")</f>
        <v>0.75347222222222221</v>
      </c>
      <c r="F240" s="8" t="str">
        <f>IF('[1]Game Input'!$D240&lt;&gt;"",'[1]Game Input'!$D240,"")</f>
        <v>Standard</v>
      </c>
      <c r="G240" s="8" t="str">
        <f>IF('[1]Game Input'!$G240&lt;&gt;"",'[1]Game Input'!$G240,"")</f>
        <v>SC @ YNG</v>
      </c>
      <c r="H240" s="8" t="str">
        <f>IF('[1]Game Input'!$H240&lt;&gt;"",'[1]Game Input'!$H240,"")</f>
        <v>Vs. Non-Conference</v>
      </c>
      <c r="I240" s="8" t="str">
        <f>IF('[1]Game Input'!$I240&lt;&gt;"",'[1]Game Input'!$I240,"")</f>
        <v>SIOUX CITY</v>
      </c>
      <c r="J240" s="9">
        <f>IF('[1]Game Input'!$AC240&lt;&gt;"",'[1]Game Input'!$AC240,"")</f>
        <v>4</v>
      </c>
      <c r="K240" s="9">
        <f>IF('[1]Game Input'!$AD240&lt;&gt;"",'[1]Game Input'!$AD240,"")</f>
        <v>2</v>
      </c>
      <c r="L240" s="9">
        <f>IF('[1]Game Input'!$AJ240&lt;&gt;"",'[1]Game Input'!$AJ240,"")</f>
        <v>0</v>
      </c>
      <c r="M240" s="9">
        <f>IF('[1]Game Input'!$AK240&lt;&gt;"",'[1]Game Input'!$AK240,"")</f>
        <v>0</v>
      </c>
      <c r="N240" s="9">
        <f>IF('[1]Game Input'!$AN240&lt;&gt;"",'[1]Game Input'!$AN240,"")</f>
        <v>2</v>
      </c>
      <c r="O240" s="9">
        <f>IF('[1]Game Input'!$AO240&lt;&gt;"",'[1]Game Input'!$AO240,"")</f>
        <v>0</v>
      </c>
      <c r="P240" s="9">
        <f>IF('[1]Game Input'!$AP240&lt;&gt;"",'[1]Game Input'!$AP240,"")</f>
        <v>0</v>
      </c>
      <c r="Q240" s="9">
        <f>IF('[1]Game Input'!$AQ240&lt;&gt;"",'[1]Game Input'!$AQ240,"")</f>
        <v>0</v>
      </c>
      <c r="R240" s="9">
        <f>IF('[1]Game Input'!$AR240&lt;&gt;"",'[1]Game Input'!$AR240,"")</f>
        <v>0</v>
      </c>
      <c r="S240" s="9">
        <f>IF('[1]Game Input'!$AS240&lt;&gt;"",'[1]Game Input'!$AS240,"")</f>
        <v>0</v>
      </c>
      <c r="T240" s="10" t="str">
        <f>IF('[1]Game Input'!$BA240&lt;&gt;"",'[1]Game Input'!$BA240,"")</f>
        <v>YOUNGSTOWN</v>
      </c>
      <c r="U240" s="9">
        <f>IF('[1]Game Input'!$BU240&lt;&gt;"",'[1]Game Input'!$BU240,"")</f>
        <v>20</v>
      </c>
      <c r="V240" s="9">
        <f>IF('[1]Game Input'!$BV240&lt;&gt;"",'[1]Game Input'!$BV240,"")</f>
        <v>6</v>
      </c>
      <c r="W240" s="9">
        <f>IF('[1]Game Input'!$CB240&lt;&gt;"",'[1]Game Input'!$CB240,"")</f>
        <v>0</v>
      </c>
      <c r="X240" s="9">
        <f>IF('[1]Game Input'!$CC240&lt;&gt;"",'[1]Game Input'!$CC240,"")</f>
        <v>0</v>
      </c>
      <c r="Y240" s="9">
        <f>IF('[1]Game Input'!$CF240&lt;&gt;"",'[1]Game Input'!$CF240,"")</f>
        <v>5</v>
      </c>
      <c r="Z240" s="9">
        <f>IF('[1]Game Input'!$CG240&lt;&gt;"",'[1]Game Input'!$CG240,"")</f>
        <v>0</v>
      </c>
      <c r="AA240" s="9">
        <f>IF('[1]Game Input'!$CH240&lt;&gt;"",'[1]Game Input'!$CH240,"")</f>
        <v>1</v>
      </c>
      <c r="AB240" s="9">
        <f>IF('[1]Game Input'!$CI240&lt;&gt;"",'[1]Game Input'!$CI240,"")</f>
        <v>0</v>
      </c>
      <c r="AC240" s="9">
        <f>IF('[1]Game Input'!$CJ240&lt;&gt;"",'[1]Game Input'!$CJ240,"")</f>
        <v>0</v>
      </c>
      <c r="AD240" s="9">
        <f>IF('[1]Game Input'!$CK240&lt;&gt;"",'[1]Game Input'!$CK240,"")</f>
        <v>0</v>
      </c>
      <c r="AE240" s="8"/>
      <c r="AF240" s="8"/>
      <c r="AG240" s="8"/>
      <c r="AH240" s="8"/>
    </row>
    <row r="241" spans="1:34" x14ac:dyDescent="0.2">
      <c r="A241" s="6">
        <f>IF('[1]Game Input'!$A241&lt;&gt;"",'[1]Game Input'!$A241,"")</f>
        <v>43469</v>
      </c>
      <c r="B241" s="6" t="str">
        <f>IF(A241&gt;$B$1,VLOOKUP(MONTH($A241),DOTWMonth,2,FALSE),"")</f>
        <v>January</v>
      </c>
      <c r="C241" s="10" t="str">
        <f>IF(A241&gt;$B$1,VLOOKUP(WEEKDAY($A241),DOTWMonth,3,FALSE),"")</f>
        <v>Friday</v>
      </c>
      <c r="D241" s="7">
        <f>IF('[1]Game Input'!$B241&lt;&gt;"",'[1]Game Input'!$B241,"")</f>
        <v>0.83680555555555547</v>
      </c>
      <c r="E241" s="7">
        <f>IF('[1]Game Input'!$C241&lt;&gt;"",'[1]Game Input'!$C241,"")</f>
        <v>0.79513888888888884</v>
      </c>
      <c r="F241" s="8" t="str">
        <f>IF('[1]Game Input'!$D241&lt;&gt;"",'[1]Game Input'!$D241,"")</f>
        <v>Standard</v>
      </c>
      <c r="G241" s="8" t="str">
        <f>IF('[1]Game Input'!$G241&lt;&gt;"",'[1]Game Input'!$G241,"")</f>
        <v>MUS @ CR</v>
      </c>
      <c r="H241" s="8" t="str">
        <f>IF('[1]Game Input'!$H241&lt;&gt;"",'[1]Game Input'!$H241,"")</f>
        <v>Vs. Conference</v>
      </c>
      <c r="I241" s="8" t="str">
        <f>IF('[1]Game Input'!$I241&lt;&gt;"",'[1]Game Input'!$I241,"")</f>
        <v>MUSKEGON</v>
      </c>
      <c r="J241" s="9">
        <f>IF('[1]Game Input'!$AC241&lt;&gt;"",'[1]Game Input'!$AC241,"")</f>
        <v>32</v>
      </c>
      <c r="K241" s="9">
        <f>IF('[1]Game Input'!$AD241&lt;&gt;"",'[1]Game Input'!$AD241,"")</f>
        <v>12</v>
      </c>
      <c r="L241" s="9">
        <f>IF('[1]Game Input'!$AJ241&lt;&gt;"",'[1]Game Input'!$AJ241,"")</f>
        <v>0</v>
      </c>
      <c r="M241" s="9">
        <f>IF('[1]Game Input'!$AK241&lt;&gt;"",'[1]Game Input'!$AK241,"")</f>
        <v>0</v>
      </c>
      <c r="N241" s="9">
        <f>IF('[1]Game Input'!$AN241&lt;&gt;"",'[1]Game Input'!$AN241,"")</f>
        <v>11</v>
      </c>
      <c r="O241" s="9">
        <f>IF('[1]Game Input'!$AO241&lt;&gt;"",'[1]Game Input'!$AO241,"")</f>
        <v>0</v>
      </c>
      <c r="P241" s="9">
        <f>IF('[1]Game Input'!$AP241&lt;&gt;"",'[1]Game Input'!$AP241,"")</f>
        <v>1</v>
      </c>
      <c r="Q241" s="9">
        <f>IF('[1]Game Input'!$AQ241&lt;&gt;"",'[1]Game Input'!$AQ241,"")</f>
        <v>0</v>
      </c>
      <c r="R241" s="9">
        <f>IF('[1]Game Input'!$AR241&lt;&gt;"",'[1]Game Input'!$AR241,"")</f>
        <v>0</v>
      </c>
      <c r="S241" s="9">
        <f>IF('[1]Game Input'!$AS241&lt;&gt;"",'[1]Game Input'!$AS241,"")</f>
        <v>0</v>
      </c>
      <c r="T241" s="10" t="str">
        <f>IF('[1]Game Input'!$BA241&lt;&gt;"",'[1]Game Input'!$BA241,"")</f>
        <v>CEDAR RAPIDS</v>
      </c>
      <c r="U241" s="9">
        <f>IF('[1]Game Input'!$BU241&lt;&gt;"",'[1]Game Input'!$BU241,"")</f>
        <v>34</v>
      </c>
      <c r="V241" s="9">
        <f>IF('[1]Game Input'!$BV241&lt;&gt;"",'[1]Game Input'!$BV241,"")</f>
        <v>13</v>
      </c>
      <c r="W241" s="9">
        <f>IF('[1]Game Input'!$CB241&lt;&gt;"",'[1]Game Input'!$CB241,"")</f>
        <v>0</v>
      </c>
      <c r="X241" s="9">
        <f>IF('[1]Game Input'!$CC241&lt;&gt;"",'[1]Game Input'!$CC241,"")</f>
        <v>0</v>
      </c>
      <c r="Y241" s="9">
        <f>IF('[1]Game Input'!$CF241&lt;&gt;"",'[1]Game Input'!$CF241,"")</f>
        <v>12</v>
      </c>
      <c r="Z241" s="9">
        <f>IF('[1]Game Input'!$CG241&lt;&gt;"",'[1]Game Input'!$CG241,"")</f>
        <v>0</v>
      </c>
      <c r="AA241" s="9">
        <f>IF('[1]Game Input'!$CH241&lt;&gt;"",'[1]Game Input'!$CH241,"")</f>
        <v>1</v>
      </c>
      <c r="AB241" s="9">
        <f>IF('[1]Game Input'!$CI241&lt;&gt;"",'[1]Game Input'!$CI241,"")</f>
        <v>0</v>
      </c>
      <c r="AC241" s="9">
        <f>IF('[1]Game Input'!$CJ241&lt;&gt;"",'[1]Game Input'!$CJ241,"")</f>
        <v>0</v>
      </c>
      <c r="AD241" s="9">
        <f>IF('[1]Game Input'!$CK241&lt;&gt;"",'[1]Game Input'!$CK241,"")</f>
        <v>0</v>
      </c>
      <c r="AE241" s="8" t="s">
        <v>94</v>
      </c>
      <c r="AF241" s="8"/>
      <c r="AG241" s="8" t="s">
        <v>114</v>
      </c>
      <c r="AH241" s="8" t="s">
        <v>124</v>
      </c>
    </row>
    <row r="242" spans="1:34" x14ac:dyDescent="0.2">
      <c r="A242" s="6">
        <f>IF('[1]Game Input'!$A242&lt;&gt;"",'[1]Game Input'!$A242,"")</f>
        <v>43469</v>
      </c>
      <c r="B242" s="6" t="str">
        <f>IF(A242&gt;$B$1,VLOOKUP(MONTH($A242),DOTWMonth,2,FALSE),"")</f>
        <v>January</v>
      </c>
      <c r="C242" s="10" t="str">
        <f>IF(A242&gt;$B$1,VLOOKUP(WEEKDAY($A242),DOTWMonth,3,FALSE),"")</f>
        <v>Friday</v>
      </c>
      <c r="D242" s="7">
        <f>IF('[1]Game Input'!$B242&lt;&gt;"",'[1]Game Input'!$B242,"")</f>
        <v>0.83680555555555547</v>
      </c>
      <c r="E242" s="7">
        <f>IF('[1]Game Input'!$C242&lt;&gt;"",'[1]Game Input'!$C242,"")</f>
        <v>0.79513888888888884</v>
      </c>
      <c r="F242" s="8" t="str">
        <f>IF('[1]Game Input'!$D242&lt;&gt;"",'[1]Game Input'!$D242,"")</f>
        <v>Standard</v>
      </c>
      <c r="G242" s="8" t="str">
        <f>IF('[1]Game Input'!$G242&lt;&gt;"",'[1]Game Input'!$G242,"")</f>
        <v>MAD @ CHI</v>
      </c>
      <c r="H242" s="8" t="str">
        <f>IF('[1]Game Input'!$H242&lt;&gt;"",'[1]Game Input'!$H242,"")</f>
        <v>Vs. Conference</v>
      </c>
      <c r="I242" s="8" t="str">
        <f>IF('[1]Game Input'!$I242&lt;&gt;"",'[1]Game Input'!$I242,"")</f>
        <v>MADISON</v>
      </c>
      <c r="J242" s="9">
        <f>IF('[1]Game Input'!$AC242&lt;&gt;"",'[1]Game Input'!$AC242,"")</f>
        <v>6</v>
      </c>
      <c r="K242" s="9">
        <f>IF('[1]Game Input'!$AD242&lt;&gt;"",'[1]Game Input'!$AD242,"")</f>
        <v>3</v>
      </c>
      <c r="L242" s="9">
        <f>IF('[1]Game Input'!$AJ242&lt;&gt;"",'[1]Game Input'!$AJ242,"")</f>
        <v>0</v>
      </c>
      <c r="M242" s="9">
        <f>IF('[1]Game Input'!$AK242&lt;&gt;"",'[1]Game Input'!$AK242,"")</f>
        <v>0</v>
      </c>
      <c r="N242" s="9">
        <f>IF('[1]Game Input'!$AN242&lt;&gt;"",'[1]Game Input'!$AN242,"")</f>
        <v>3</v>
      </c>
      <c r="O242" s="9">
        <f>IF('[1]Game Input'!$AO242&lt;&gt;"",'[1]Game Input'!$AO242,"")</f>
        <v>0</v>
      </c>
      <c r="P242" s="9">
        <f>IF('[1]Game Input'!$AP242&lt;&gt;"",'[1]Game Input'!$AP242,"")</f>
        <v>0</v>
      </c>
      <c r="Q242" s="9">
        <f>IF('[1]Game Input'!$AQ242&lt;&gt;"",'[1]Game Input'!$AQ242,"")</f>
        <v>0</v>
      </c>
      <c r="R242" s="9">
        <f>IF('[1]Game Input'!$AR242&lt;&gt;"",'[1]Game Input'!$AR242,"")</f>
        <v>0</v>
      </c>
      <c r="S242" s="9">
        <f>IF('[1]Game Input'!$AS242&lt;&gt;"",'[1]Game Input'!$AS242,"")</f>
        <v>0</v>
      </c>
      <c r="T242" s="10" t="str">
        <f>IF('[1]Game Input'!$BA242&lt;&gt;"",'[1]Game Input'!$BA242,"")</f>
        <v>CHICAGO</v>
      </c>
      <c r="U242" s="9">
        <f>IF('[1]Game Input'!$BU242&lt;&gt;"",'[1]Game Input'!$BU242,"")</f>
        <v>2</v>
      </c>
      <c r="V242" s="9">
        <f>IF('[1]Game Input'!$BV242&lt;&gt;"",'[1]Game Input'!$BV242,"")</f>
        <v>1</v>
      </c>
      <c r="W242" s="9">
        <f>IF('[1]Game Input'!$CB242&lt;&gt;"",'[1]Game Input'!$CB242,"")</f>
        <v>0</v>
      </c>
      <c r="X242" s="9">
        <f>IF('[1]Game Input'!$CC242&lt;&gt;"",'[1]Game Input'!$CC242,"")</f>
        <v>0</v>
      </c>
      <c r="Y242" s="9">
        <f>IF('[1]Game Input'!$CF242&lt;&gt;"",'[1]Game Input'!$CF242,"")</f>
        <v>1</v>
      </c>
      <c r="Z242" s="9">
        <f>IF('[1]Game Input'!$CG242&lt;&gt;"",'[1]Game Input'!$CG242,"")</f>
        <v>0</v>
      </c>
      <c r="AA242" s="9">
        <f>IF('[1]Game Input'!$CH242&lt;&gt;"",'[1]Game Input'!$CH242,"")</f>
        <v>0</v>
      </c>
      <c r="AB242" s="9">
        <f>IF('[1]Game Input'!$CI242&lt;&gt;"",'[1]Game Input'!$CI242,"")</f>
        <v>0</v>
      </c>
      <c r="AC242" s="9">
        <f>IF('[1]Game Input'!$CJ242&lt;&gt;"",'[1]Game Input'!$CJ242,"")</f>
        <v>0</v>
      </c>
      <c r="AD242" s="9">
        <f>IF('[1]Game Input'!$CK242&lt;&gt;"",'[1]Game Input'!$CK242,"")</f>
        <v>0</v>
      </c>
      <c r="AE242" s="8"/>
      <c r="AF242" s="8"/>
      <c r="AG242" s="8"/>
      <c r="AH242" s="8"/>
    </row>
    <row r="243" spans="1:34" x14ac:dyDescent="0.2">
      <c r="A243" s="6">
        <f>IF('[1]Game Input'!$A243&lt;&gt;"",'[1]Game Input'!$A243,"")</f>
        <v>43469</v>
      </c>
      <c r="B243" s="6" t="str">
        <f>IF(A243&gt;$B$1,VLOOKUP(MONTH($A243),DOTWMonth,2,FALSE),"")</f>
        <v>January</v>
      </c>
      <c r="C243" s="10" t="str">
        <f>IF(A243&gt;$B$1,VLOOKUP(WEEKDAY($A243),DOTWMonth,3,FALSE),"")</f>
        <v>Friday</v>
      </c>
      <c r="D243" s="7">
        <f>IF('[1]Game Input'!$B243&lt;&gt;"",'[1]Game Input'!$B243,"")</f>
        <v>0.83680555555555547</v>
      </c>
      <c r="E243" s="7">
        <f>IF('[1]Game Input'!$C243&lt;&gt;"",'[1]Game Input'!$C243,"")</f>
        <v>0.79513888888888884</v>
      </c>
      <c r="F243" s="8" t="str">
        <f>IF('[1]Game Input'!$D243&lt;&gt;"",'[1]Game Input'!$D243,"")</f>
        <v>Standard</v>
      </c>
      <c r="G243" s="8" t="str">
        <f>IF('[1]Game Input'!$G243&lt;&gt;"",'[1]Game Input'!$G243,"")</f>
        <v>WAT @ SF</v>
      </c>
      <c r="H243" s="8" t="str">
        <f>IF('[1]Game Input'!$H243&lt;&gt;"",'[1]Game Input'!$H243,"")</f>
        <v>Vs. Conference</v>
      </c>
      <c r="I243" s="8" t="str">
        <f>IF('[1]Game Input'!$I243&lt;&gt;"",'[1]Game Input'!$I243,"")</f>
        <v>WATERLOO</v>
      </c>
      <c r="J243" s="9">
        <f>IF('[1]Game Input'!$AC243&lt;&gt;"",'[1]Game Input'!$AC243,"")</f>
        <v>12</v>
      </c>
      <c r="K243" s="9">
        <f>IF('[1]Game Input'!$AD243&lt;&gt;"",'[1]Game Input'!$AD243,"")</f>
        <v>6</v>
      </c>
      <c r="L243" s="9">
        <f>IF('[1]Game Input'!$AJ243&lt;&gt;"",'[1]Game Input'!$AJ243,"")</f>
        <v>0</v>
      </c>
      <c r="M243" s="9">
        <f>IF('[1]Game Input'!$AK243&lt;&gt;"",'[1]Game Input'!$AK243,"")</f>
        <v>0</v>
      </c>
      <c r="N243" s="9">
        <f>IF('[1]Game Input'!$AN243&lt;&gt;"",'[1]Game Input'!$AN243,"")</f>
        <v>6</v>
      </c>
      <c r="O243" s="9">
        <f>IF('[1]Game Input'!$AO243&lt;&gt;"",'[1]Game Input'!$AO243,"")</f>
        <v>0</v>
      </c>
      <c r="P243" s="9">
        <f>IF('[1]Game Input'!$AP243&lt;&gt;"",'[1]Game Input'!$AP243,"")</f>
        <v>0</v>
      </c>
      <c r="Q243" s="9">
        <f>IF('[1]Game Input'!$AQ243&lt;&gt;"",'[1]Game Input'!$AQ243,"")</f>
        <v>0</v>
      </c>
      <c r="R243" s="9">
        <f>IF('[1]Game Input'!$AR243&lt;&gt;"",'[1]Game Input'!$AR243,"")</f>
        <v>0</v>
      </c>
      <c r="S243" s="9">
        <f>IF('[1]Game Input'!$AS243&lt;&gt;"",'[1]Game Input'!$AS243,"")</f>
        <v>0</v>
      </c>
      <c r="T243" s="10" t="str">
        <f>IF('[1]Game Input'!$BA243&lt;&gt;"",'[1]Game Input'!$BA243,"")</f>
        <v>SIOUX FALLS</v>
      </c>
      <c r="U243" s="9">
        <f>IF('[1]Game Input'!$BU243&lt;&gt;"",'[1]Game Input'!$BU243,"")</f>
        <v>12</v>
      </c>
      <c r="V243" s="9">
        <f>IF('[1]Game Input'!$BV243&lt;&gt;"",'[1]Game Input'!$BV243,"")</f>
        <v>6</v>
      </c>
      <c r="W243" s="9">
        <f>IF('[1]Game Input'!$CB243&lt;&gt;"",'[1]Game Input'!$CB243,"")</f>
        <v>0</v>
      </c>
      <c r="X243" s="9">
        <f>IF('[1]Game Input'!$CC243&lt;&gt;"",'[1]Game Input'!$CC243,"")</f>
        <v>0</v>
      </c>
      <c r="Y243" s="9">
        <f>IF('[1]Game Input'!$CF243&lt;&gt;"",'[1]Game Input'!$CF243,"")</f>
        <v>6</v>
      </c>
      <c r="Z243" s="9">
        <f>IF('[1]Game Input'!$CG243&lt;&gt;"",'[1]Game Input'!$CG243,"")</f>
        <v>0</v>
      </c>
      <c r="AA243" s="9">
        <f>IF('[1]Game Input'!$CH243&lt;&gt;"",'[1]Game Input'!$CH243,"")</f>
        <v>0</v>
      </c>
      <c r="AB243" s="9">
        <f>IF('[1]Game Input'!$CI243&lt;&gt;"",'[1]Game Input'!$CI243,"")</f>
        <v>0</v>
      </c>
      <c r="AC243" s="9">
        <f>IF('[1]Game Input'!$CJ243&lt;&gt;"",'[1]Game Input'!$CJ243,"")</f>
        <v>0</v>
      </c>
      <c r="AD243" s="9">
        <f>IF('[1]Game Input'!$CK243&lt;&gt;"",'[1]Game Input'!$CK243,"")</f>
        <v>0</v>
      </c>
      <c r="AE243" s="8"/>
      <c r="AF243" s="8"/>
      <c r="AG243" s="8"/>
      <c r="AH243" s="8"/>
    </row>
    <row r="244" spans="1:34" x14ac:dyDescent="0.2">
      <c r="A244" s="6">
        <f>IF('[1]Game Input'!$A244&lt;&gt;"",'[1]Game Input'!$A244,"")</f>
        <v>43469</v>
      </c>
      <c r="B244" s="6" t="str">
        <f>IF(A244&gt;$B$1,VLOOKUP(MONTH($A244),DOTWMonth,2,FALSE),"")</f>
        <v>January</v>
      </c>
      <c r="C244" s="10" t="str">
        <f>IF(A244&gt;$B$1,VLOOKUP(WEEKDAY($A244),DOTWMonth,3,FALSE),"")</f>
        <v>Friday</v>
      </c>
      <c r="D244" s="7">
        <f>IF('[1]Game Input'!$B244&lt;&gt;"",'[1]Game Input'!$B244,"")</f>
        <v>0.83680555555555547</v>
      </c>
      <c r="E244" s="7">
        <f>IF('[1]Game Input'!$C244&lt;&gt;"",'[1]Game Input'!$C244,"")</f>
        <v>0.79513888888888884</v>
      </c>
      <c r="F244" s="8" t="str">
        <f>IF('[1]Game Input'!$D244&lt;&gt;"",'[1]Game Input'!$D244,"")</f>
        <v>Standard</v>
      </c>
      <c r="G244" s="8" t="str">
        <f>IF('[1]Game Input'!$G244&lt;&gt;"",'[1]Game Input'!$G244,"")</f>
        <v>DUB @ DM</v>
      </c>
      <c r="H244" s="8" t="str">
        <f>IF('[1]Game Input'!$H244&lt;&gt;"",'[1]Game Input'!$H244,"")</f>
        <v>Vs. Non-Conference</v>
      </c>
      <c r="I244" s="8" t="str">
        <f>IF('[1]Game Input'!$I244&lt;&gt;"",'[1]Game Input'!$I244,"")</f>
        <v>DUBUQUE</v>
      </c>
      <c r="J244" s="9">
        <f>IF('[1]Game Input'!$AC244&lt;&gt;"",'[1]Game Input'!$AC244,"")</f>
        <v>2</v>
      </c>
      <c r="K244" s="9">
        <f>IF('[1]Game Input'!$AD244&lt;&gt;"",'[1]Game Input'!$AD244,"")</f>
        <v>1</v>
      </c>
      <c r="L244" s="9">
        <f>IF('[1]Game Input'!$AJ244&lt;&gt;"",'[1]Game Input'!$AJ244,"")</f>
        <v>0</v>
      </c>
      <c r="M244" s="9">
        <f>IF('[1]Game Input'!$AK244&lt;&gt;"",'[1]Game Input'!$AK244,"")</f>
        <v>0</v>
      </c>
      <c r="N244" s="9">
        <f>IF('[1]Game Input'!$AN244&lt;&gt;"",'[1]Game Input'!$AN244,"")</f>
        <v>1</v>
      </c>
      <c r="O244" s="9">
        <f>IF('[1]Game Input'!$AO244&lt;&gt;"",'[1]Game Input'!$AO244,"")</f>
        <v>0</v>
      </c>
      <c r="P244" s="9">
        <f>IF('[1]Game Input'!$AP244&lt;&gt;"",'[1]Game Input'!$AP244,"")</f>
        <v>0</v>
      </c>
      <c r="Q244" s="9">
        <f>IF('[1]Game Input'!$AQ244&lt;&gt;"",'[1]Game Input'!$AQ244,"")</f>
        <v>0</v>
      </c>
      <c r="R244" s="9">
        <f>IF('[1]Game Input'!$AR244&lt;&gt;"",'[1]Game Input'!$AR244,"")</f>
        <v>0</v>
      </c>
      <c r="S244" s="9">
        <f>IF('[1]Game Input'!$AS244&lt;&gt;"",'[1]Game Input'!$AS244,"")</f>
        <v>0</v>
      </c>
      <c r="T244" s="10" t="str">
        <f>IF('[1]Game Input'!$BA244&lt;&gt;"",'[1]Game Input'!$BA244,"")</f>
        <v>DES MOINES</v>
      </c>
      <c r="U244" s="9">
        <f>IF('[1]Game Input'!$BU244&lt;&gt;"",'[1]Game Input'!$BU244,"")</f>
        <v>6</v>
      </c>
      <c r="V244" s="9">
        <f>IF('[1]Game Input'!$BV244&lt;&gt;"",'[1]Game Input'!$BV244,"")</f>
        <v>3</v>
      </c>
      <c r="W244" s="9">
        <f>IF('[1]Game Input'!$CB244&lt;&gt;"",'[1]Game Input'!$CB244,"")</f>
        <v>0</v>
      </c>
      <c r="X244" s="9">
        <f>IF('[1]Game Input'!$CC244&lt;&gt;"",'[1]Game Input'!$CC244,"")</f>
        <v>0</v>
      </c>
      <c r="Y244" s="9">
        <f>IF('[1]Game Input'!$CF244&lt;&gt;"",'[1]Game Input'!$CF244,"")</f>
        <v>3</v>
      </c>
      <c r="Z244" s="9">
        <f>IF('[1]Game Input'!$CG244&lt;&gt;"",'[1]Game Input'!$CG244,"")</f>
        <v>0</v>
      </c>
      <c r="AA244" s="9">
        <f>IF('[1]Game Input'!$CH244&lt;&gt;"",'[1]Game Input'!$CH244,"")</f>
        <v>0</v>
      </c>
      <c r="AB244" s="9">
        <f>IF('[1]Game Input'!$CI244&lt;&gt;"",'[1]Game Input'!$CI244,"")</f>
        <v>0</v>
      </c>
      <c r="AC244" s="9">
        <f>IF('[1]Game Input'!$CJ244&lt;&gt;"",'[1]Game Input'!$CJ244,"")</f>
        <v>0</v>
      </c>
      <c r="AD244" s="9">
        <f>IF('[1]Game Input'!$CK244&lt;&gt;"",'[1]Game Input'!$CK244,"")</f>
        <v>0</v>
      </c>
      <c r="AE244" s="8" t="s">
        <v>95</v>
      </c>
      <c r="AF244" s="8"/>
      <c r="AG244" s="8" t="s">
        <v>111</v>
      </c>
      <c r="AH244" s="8" t="s">
        <v>119</v>
      </c>
    </row>
    <row r="245" spans="1:34" x14ac:dyDescent="0.2">
      <c r="A245" s="6">
        <f>IF('[1]Game Input'!$A245&lt;&gt;"",'[1]Game Input'!$A245,"")</f>
        <v>43469</v>
      </c>
      <c r="B245" s="6" t="str">
        <f>IF(A245&gt;$B$1,VLOOKUP(MONTH($A245),DOTWMonth,2,FALSE),"")</f>
        <v>January</v>
      </c>
      <c r="C245" s="10" t="str">
        <f>IF(A245&gt;$B$1,VLOOKUP(WEEKDAY($A245),DOTWMonth,3,FALSE),"")</f>
        <v>Friday</v>
      </c>
      <c r="D245" s="7">
        <f>IF('[1]Game Input'!$B245&lt;&gt;"",'[1]Game Input'!$B245,"")</f>
        <v>0.83680555555555547</v>
      </c>
      <c r="E245" s="7">
        <f>IF('[1]Game Input'!$C245&lt;&gt;"",'[1]Game Input'!$C245,"")</f>
        <v>0.79513888888888884</v>
      </c>
      <c r="F245" s="8" t="str">
        <f>IF('[1]Game Input'!$D245&lt;&gt;"",'[1]Game Input'!$D245,"")</f>
        <v>Standard</v>
      </c>
      <c r="G245" s="8" t="str">
        <f>IF('[1]Game Input'!$G245&lt;&gt;"",'[1]Game Input'!$G245,"")</f>
        <v>GB @ FGO</v>
      </c>
      <c r="H245" s="8" t="str">
        <f>IF('[1]Game Input'!$H245&lt;&gt;"",'[1]Game Input'!$H245,"")</f>
        <v>Vs. Non-Conference</v>
      </c>
      <c r="I245" s="8" t="str">
        <f>IF('[1]Game Input'!$I245&lt;&gt;"",'[1]Game Input'!$I245,"")</f>
        <v>GREEN BAY</v>
      </c>
      <c r="J245" s="9">
        <f>IF('[1]Game Input'!$AC245&lt;&gt;"",'[1]Game Input'!$AC245,"")</f>
        <v>39</v>
      </c>
      <c r="K245" s="9">
        <f>IF('[1]Game Input'!$AD245&lt;&gt;"",'[1]Game Input'!$AD245,"")</f>
        <v>10</v>
      </c>
      <c r="L245" s="9">
        <f>IF('[1]Game Input'!$AJ245&lt;&gt;"",'[1]Game Input'!$AJ245,"")</f>
        <v>0</v>
      </c>
      <c r="M245" s="9">
        <f>IF('[1]Game Input'!$AK245&lt;&gt;"",'[1]Game Input'!$AK245,"")</f>
        <v>0</v>
      </c>
      <c r="N245" s="9">
        <f>IF('[1]Game Input'!$AN245&lt;&gt;"",'[1]Game Input'!$AN245,"")</f>
        <v>7</v>
      </c>
      <c r="O245" s="9">
        <f>IF('[1]Game Input'!$AO245&lt;&gt;"",'[1]Game Input'!$AO245,"")</f>
        <v>1</v>
      </c>
      <c r="P245" s="9">
        <f>IF('[1]Game Input'!$AP245&lt;&gt;"",'[1]Game Input'!$AP245,"")</f>
        <v>1</v>
      </c>
      <c r="Q245" s="9">
        <f>IF('[1]Game Input'!$AQ245&lt;&gt;"",'[1]Game Input'!$AQ245,"")</f>
        <v>1</v>
      </c>
      <c r="R245" s="9">
        <f>IF('[1]Game Input'!$AR245&lt;&gt;"",'[1]Game Input'!$AR245,"")</f>
        <v>0</v>
      </c>
      <c r="S245" s="9">
        <f>IF('[1]Game Input'!$AS245&lt;&gt;"",'[1]Game Input'!$AS245,"")</f>
        <v>0</v>
      </c>
      <c r="T245" s="10" t="str">
        <f>IF('[1]Game Input'!$BA245&lt;&gt;"",'[1]Game Input'!$BA245,"")</f>
        <v>FARGO</v>
      </c>
      <c r="U245" s="9">
        <f>IF('[1]Game Input'!$BU245&lt;&gt;"",'[1]Game Input'!$BU245,"")</f>
        <v>29</v>
      </c>
      <c r="V245" s="9">
        <f>IF('[1]Game Input'!$BV245&lt;&gt;"",'[1]Game Input'!$BV245,"")</f>
        <v>9</v>
      </c>
      <c r="W245" s="9">
        <f>IF('[1]Game Input'!$CB245&lt;&gt;"",'[1]Game Input'!$CB245,"")</f>
        <v>0</v>
      </c>
      <c r="X245" s="9">
        <f>IF('[1]Game Input'!$CC245&lt;&gt;"",'[1]Game Input'!$CC245,"")</f>
        <v>0</v>
      </c>
      <c r="Y245" s="9">
        <f>IF('[1]Game Input'!$CF245&lt;&gt;"",'[1]Game Input'!$CF245,"")</f>
        <v>7</v>
      </c>
      <c r="Z245" s="9">
        <f>IF('[1]Game Input'!$CG245&lt;&gt;"",'[1]Game Input'!$CG245,"")</f>
        <v>1</v>
      </c>
      <c r="AA245" s="9">
        <f>IF('[1]Game Input'!$CH245&lt;&gt;"",'[1]Game Input'!$CH245,"")</f>
        <v>0</v>
      </c>
      <c r="AB245" s="9">
        <f>IF('[1]Game Input'!$CI245&lt;&gt;"",'[1]Game Input'!$CI245,"")</f>
        <v>1</v>
      </c>
      <c r="AC245" s="9">
        <f>IF('[1]Game Input'!$CJ245&lt;&gt;"",'[1]Game Input'!$CJ245,"")</f>
        <v>0</v>
      </c>
      <c r="AD245" s="9">
        <f>IF('[1]Game Input'!$CK245&lt;&gt;"",'[1]Game Input'!$CK245,"")</f>
        <v>0</v>
      </c>
      <c r="AE245" s="8"/>
      <c r="AF245" s="8"/>
      <c r="AG245" s="8"/>
      <c r="AH245" s="8"/>
    </row>
    <row r="246" spans="1:34" x14ac:dyDescent="0.2">
      <c r="A246" s="6">
        <f>IF('[1]Game Input'!$A246&lt;&gt;"",'[1]Game Input'!$A246,"")</f>
        <v>43469</v>
      </c>
      <c r="B246" s="6" t="str">
        <f>IF(A246&gt;$B$1,VLOOKUP(MONTH($A246),DOTWMonth,2,FALSE),"")</f>
        <v>January</v>
      </c>
      <c r="C246" s="10" t="str">
        <f>IF(A246&gt;$B$1,VLOOKUP(WEEKDAY($A246),DOTWMonth,3,FALSE),"")</f>
        <v>Friday</v>
      </c>
      <c r="D246" s="7">
        <f>IF('[1]Game Input'!$B246&lt;&gt;"",'[1]Game Input'!$B246,"")</f>
        <v>0.83819444444444446</v>
      </c>
      <c r="E246" s="7">
        <f>IF('[1]Game Input'!$C246&lt;&gt;"",'[1]Game Input'!$C246,"")</f>
        <v>0.79652777777777783</v>
      </c>
      <c r="F246" s="8" t="str">
        <f>IF('[1]Game Input'!$D246&lt;&gt;"",'[1]Game Input'!$D246,"")</f>
        <v>Standard</v>
      </c>
      <c r="G246" s="8" t="str">
        <f>IF('[1]Game Input'!$G246&lt;&gt;"",'[1]Game Input'!$G246,"")</f>
        <v>OMA @ CIL</v>
      </c>
      <c r="H246" s="8" t="str">
        <f>IF('[1]Game Input'!$H246&lt;&gt;"",'[1]Game Input'!$H246,"")</f>
        <v>Vs. Non-Conference</v>
      </c>
      <c r="I246" s="8" t="str">
        <f>IF('[1]Game Input'!$I246&lt;&gt;"",'[1]Game Input'!$I246,"")</f>
        <v>OMAHA</v>
      </c>
      <c r="J246" s="9">
        <f>IF('[1]Game Input'!$AC246&lt;&gt;"",'[1]Game Input'!$AC246,"")</f>
        <v>4</v>
      </c>
      <c r="K246" s="9">
        <f>IF('[1]Game Input'!$AD246&lt;&gt;"",'[1]Game Input'!$AD246,"")</f>
        <v>2</v>
      </c>
      <c r="L246" s="9">
        <f>IF('[1]Game Input'!$AJ246&lt;&gt;"",'[1]Game Input'!$AJ246,"")</f>
        <v>0</v>
      </c>
      <c r="M246" s="9">
        <f>IF('[1]Game Input'!$AK246&lt;&gt;"",'[1]Game Input'!$AK246,"")</f>
        <v>0</v>
      </c>
      <c r="N246" s="9">
        <f>IF('[1]Game Input'!$AN246&lt;&gt;"",'[1]Game Input'!$AN246,"")</f>
        <v>2</v>
      </c>
      <c r="O246" s="9">
        <f>IF('[1]Game Input'!$AO246&lt;&gt;"",'[1]Game Input'!$AO246,"")</f>
        <v>0</v>
      </c>
      <c r="P246" s="9">
        <f>IF('[1]Game Input'!$AP246&lt;&gt;"",'[1]Game Input'!$AP246,"")</f>
        <v>0</v>
      </c>
      <c r="Q246" s="9">
        <f>IF('[1]Game Input'!$AQ246&lt;&gt;"",'[1]Game Input'!$AQ246,"")</f>
        <v>0</v>
      </c>
      <c r="R246" s="9">
        <f>IF('[1]Game Input'!$AR246&lt;&gt;"",'[1]Game Input'!$AR246,"")</f>
        <v>0</v>
      </c>
      <c r="S246" s="9">
        <f>IF('[1]Game Input'!$AS246&lt;&gt;"",'[1]Game Input'!$AS246,"")</f>
        <v>0</v>
      </c>
      <c r="T246" s="10" t="str">
        <f>IF('[1]Game Input'!$BA246&lt;&gt;"",'[1]Game Input'!$BA246,"")</f>
        <v>CENTRAL ILLINOIS</v>
      </c>
      <c r="U246" s="9">
        <f>IF('[1]Game Input'!$BU246&lt;&gt;"",'[1]Game Input'!$BU246,"")</f>
        <v>6</v>
      </c>
      <c r="V246" s="9">
        <f>IF('[1]Game Input'!$BV246&lt;&gt;"",'[1]Game Input'!$BV246,"")</f>
        <v>3</v>
      </c>
      <c r="W246" s="9">
        <f>IF('[1]Game Input'!$CB246&lt;&gt;"",'[1]Game Input'!$CB246,"")</f>
        <v>0</v>
      </c>
      <c r="X246" s="9">
        <f>IF('[1]Game Input'!$CC246&lt;&gt;"",'[1]Game Input'!$CC246,"")</f>
        <v>0</v>
      </c>
      <c r="Y246" s="9">
        <f>IF('[1]Game Input'!$CF246&lt;&gt;"",'[1]Game Input'!$CF246,"")</f>
        <v>3</v>
      </c>
      <c r="Z246" s="9">
        <f>IF('[1]Game Input'!$CG246&lt;&gt;"",'[1]Game Input'!$CG246,"")</f>
        <v>0</v>
      </c>
      <c r="AA246" s="9">
        <f>IF('[1]Game Input'!$CH246&lt;&gt;"",'[1]Game Input'!$CH246,"")</f>
        <v>0</v>
      </c>
      <c r="AB246" s="9">
        <f>IF('[1]Game Input'!$CI246&lt;&gt;"",'[1]Game Input'!$CI246,"")</f>
        <v>0</v>
      </c>
      <c r="AC246" s="9">
        <f>IF('[1]Game Input'!$CJ246&lt;&gt;"",'[1]Game Input'!$CJ246,"")</f>
        <v>0</v>
      </c>
      <c r="AD246" s="9">
        <f>IF('[1]Game Input'!$CK246&lt;&gt;"",'[1]Game Input'!$CK246,"")</f>
        <v>0</v>
      </c>
      <c r="AE246" s="8" t="s">
        <v>90</v>
      </c>
      <c r="AF246" s="8"/>
      <c r="AG246" s="8" t="s">
        <v>115</v>
      </c>
      <c r="AH246" s="8" t="s">
        <v>117</v>
      </c>
    </row>
    <row r="247" spans="1:34" x14ac:dyDescent="0.2">
      <c r="A247" s="6">
        <f>IF('[1]Game Input'!$A247&lt;&gt;"",'[1]Game Input'!$A247,"")</f>
        <v>43470</v>
      </c>
      <c r="B247" s="6" t="str">
        <f>IF(A247&gt;$B$1,VLOOKUP(MONTH($A247),DOTWMonth,2,FALSE),"")</f>
        <v>January</v>
      </c>
      <c r="C247" s="10" t="str">
        <f>IF(A247&gt;$B$1,VLOOKUP(WEEKDAY($A247),DOTWMonth,3,FALSE),"")</f>
        <v>Saturday</v>
      </c>
      <c r="D247" s="7">
        <f>IF('[1]Game Input'!$B247&lt;&gt;"",'[1]Game Input'!$B247,"")</f>
        <v>0.79513888888888884</v>
      </c>
      <c r="E247" s="7">
        <f>IF('[1]Game Input'!$C247&lt;&gt;"",'[1]Game Input'!$C247,"")</f>
        <v>0.75347222222222221</v>
      </c>
      <c r="F247" s="8" t="str">
        <f>IF('[1]Game Input'!$D247&lt;&gt;"",'[1]Game Input'!$D247,"")</f>
        <v>Standard</v>
      </c>
      <c r="G247" s="8" t="str">
        <f>IF('[1]Game Input'!$G247&lt;&gt;"",'[1]Game Input'!$G247,"")</f>
        <v>SC @ YNG</v>
      </c>
      <c r="H247" s="8" t="str">
        <f>IF('[1]Game Input'!$H247&lt;&gt;"",'[1]Game Input'!$H247,"")</f>
        <v>Vs. Non-Conference</v>
      </c>
      <c r="I247" s="8" t="str">
        <f>IF('[1]Game Input'!$I247&lt;&gt;"",'[1]Game Input'!$I247,"")</f>
        <v>SIOUX CITY</v>
      </c>
      <c r="J247" s="9">
        <f>IF('[1]Game Input'!$AC247&lt;&gt;"",'[1]Game Input'!$AC247,"")</f>
        <v>6</v>
      </c>
      <c r="K247" s="9">
        <f>IF('[1]Game Input'!$AD247&lt;&gt;"",'[1]Game Input'!$AD247,"")</f>
        <v>3</v>
      </c>
      <c r="L247" s="9">
        <f>IF('[1]Game Input'!$AJ247&lt;&gt;"",'[1]Game Input'!$AJ247,"")</f>
        <v>0</v>
      </c>
      <c r="M247" s="9">
        <f>IF('[1]Game Input'!$AK247&lt;&gt;"",'[1]Game Input'!$AK247,"")</f>
        <v>0</v>
      </c>
      <c r="N247" s="9">
        <f>IF('[1]Game Input'!$AN247&lt;&gt;"",'[1]Game Input'!$AN247,"")</f>
        <v>3</v>
      </c>
      <c r="O247" s="9">
        <f>IF('[1]Game Input'!$AO247&lt;&gt;"",'[1]Game Input'!$AO247,"")</f>
        <v>0</v>
      </c>
      <c r="P247" s="9">
        <f>IF('[1]Game Input'!$AP247&lt;&gt;"",'[1]Game Input'!$AP247,"")</f>
        <v>0</v>
      </c>
      <c r="Q247" s="9">
        <f>IF('[1]Game Input'!$AQ247&lt;&gt;"",'[1]Game Input'!$AQ247,"")</f>
        <v>0</v>
      </c>
      <c r="R247" s="9">
        <f>IF('[1]Game Input'!$AR247&lt;&gt;"",'[1]Game Input'!$AR247,"")</f>
        <v>0</v>
      </c>
      <c r="S247" s="9">
        <f>IF('[1]Game Input'!$AS247&lt;&gt;"",'[1]Game Input'!$AS247,"")</f>
        <v>0</v>
      </c>
      <c r="T247" s="10" t="str">
        <f>IF('[1]Game Input'!$BA247&lt;&gt;"",'[1]Game Input'!$BA247,"")</f>
        <v>YOUNGSTOWN</v>
      </c>
      <c r="U247" s="9">
        <f>IF('[1]Game Input'!$BU247&lt;&gt;"",'[1]Game Input'!$BU247,"")</f>
        <v>8</v>
      </c>
      <c r="V247" s="9">
        <f>IF('[1]Game Input'!$BV247&lt;&gt;"",'[1]Game Input'!$BV247,"")</f>
        <v>4</v>
      </c>
      <c r="W247" s="9">
        <f>IF('[1]Game Input'!$CB247&lt;&gt;"",'[1]Game Input'!$CB247,"")</f>
        <v>0</v>
      </c>
      <c r="X247" s="9">
        <f>IF('[1]Game Input'!$CC247&lt;&gt;"",'[1]Game Input'!$CC247,"")</f>
        <v>0</v>
      </c>
      <c r="Y247" s="9">
        <f>IF('[1]Game Input'!$CF247&lt;&gt;"",'[1]Game Input'!$CF247,"")</f>
        <v>4</v>
      </c>
      <c r="Z247" s="9">
        <f>IF('[1]Game Input'!$CG247&lt;&gt;"",'[1]Game Input'!$CG247,"")</f>
        <v>0</v>
      </c>
      <c r="AA247" s="9">
        <f>IF('[1]Game Input'!$CH247&lt;&gt;"",'[1]Game Input'!$CH247,"")</f>
        <v>0</v>
      </c>
      <c r="AB247" s="9">
        <f>IF('[1]Game Input'!$CI247&lt;&gt;"",'[1]Game Input'!$CI247,"")</f>
        <v>0</v>
      </c>
      <c r="AC247" s="9">
        <f>IF('[1]Game Input'!$CJ247&lt;&gt;"",'[1]Game Input'!$CJ247,"")</f>
        <v>0</v>
      </c>
      <c r="AD247" s="9">
        <f>IF('[1]Game Input'!$CK247&lt;&gt;"",'[1]Game Input'!$CK247,"")</f>
        <v>0</v>
      </c>
      <c r="AE247" s="8"/>
      <c r="AF247" s="8"/>
      <c r="AG247" s="8"/>
      <c r="AH247" s="8"/>
    </row>
    <row r="248" spans="1:34" x14ac:dyDescent="0.2">
      <c r="A248" s="6">
        <f>IF('[1]Game Input'!$A248&lt;&gt;"",'[1]Game Input'!$A248,"")</f>
        <v>43470</v>
      </c>
      <c r="B248" s="6" t="str">
        <f>IF(A248&gt;$B$1,VLOOKUP(MONTH($A248),DOTWMonth,2,FALSE),"")</f>
        <v>January</v>
      </c>
      <c r="C248" s="10" t="str">
        <f>IF(A248&gt;$B$1,VLOOKUP(WEEKDAY($A248),DOTWMonth,3,FALSE),"")</f>
        <v>Saturday</v>
      </c>
      <c r="D248" s="7">
        <f>IF('[1]Game Input'!$B248&lt;&gt;"",'[1]Game Input'!$B248,"")</f>
        <v>0.83680555555555547</v>
      </c>
      <c r="E248" s="7">
        <f>IF('[1]Game Input'!$C248&lt;&gt;"",'[1]Game Input'!$C248,"")</f>
        <v>0.79513888888888884</v>
      </c>
      <c r="F248" s="8" t="str">
        <f>IF('[1]Game Input'!$D248&lt;&gt;"",'[1]Game Input'!$D248,"")</f>
        <v>Standard</v>
      </c>
      <c r="G248" s="8" t="str">
        <f>IF('[1]Game Input'!$G248&lt;&gt;"",'[1]Game Input'!$G248,"")</f>
        <v>MUS @ CR</v>
      </c>
      <c r="H248" s="8" t="str">
        <f>IF('[1]Game Input'!$H248&lt;&gt;"",'[1]Game Input'!$H248,"")</f>
        <v>Vs. Conference</v>
      </c>
      <c r="I248" s="8" t="str">
        <f>IF('[1]Game Input'!$I248&lt;&gt;"",'[1]Game Input'!$I248,"")</f>
        <v>MUSKEGON</v>
      </c>
      <c r="J248" s="9">
        <f>IF('[1]Game Input'!$AC248&lt;&gt;"",'[1]Game Input'!$AC248,"")</f>
        <v>34</v>
      </c>
      <c r="K248" s="9">
        <f>IF('[1]Game Input'!$AD248&lt;&gt;"",'[1]Game Input'!$AD248,"")</f>
        <v>13</v>
      </c>
      <c r="L248" s="9">
        <f>IF('[1]Game Input'!$AJ248&lt;&gt;"",'[1]Game Input'!$AJ248,"")</f>
        <v>0</v>
      </c>
      <c r="M248" s="9">
        <f>IF('[1]Game Input'!$AK248&lt;&gt;"",'[1]Game Input'!$AK248,"")</f>
        <v>0</v>
      </c>
      <c r="N248" s="9">
        <f>IF('[1]Game Input'!$AN248&lt;&gt;"",'[1]Game Input'!$AN248,"")</f>
        <v>12</v>
      </c>
      <c r="O248" s="9">
        <f>IF('[1]Game Input'!$AO248&lt;&gt;"",'[1]Game Input'!$AO248,"")</f>
        <v>0</v>
      </c>
      <c r="P248" s="9">
        <f>IF('[1]Game Input'!$AP248&lt;&gt;"",'[1]Game Input'!$AP248,"")</f>
        <v>1</v>
      </c>
      <c r="Q248" s="9">
        <f>IF('[1]Game Input'!$AQ248&lt;&gt;"",'[1]Game Input'!$AQ248,"")</f>
        <v>0</v>
      </c>
      <c r="R248" s="9">
        <f>IF('[1]Game Input'!$AR248&lt;&gt;"",'[1]Game Input'!$AR248,"")</f>
        <v>0</v>
      </c>
      <c r="S248" s="9">
        <f>IF('[1]Game Input'!$AS248&lt;&gt;"",'[1]Game Input'!$AS248,"")</f>
        <v>0</v>
      </c>
      <c r="T248" s="10" t="str">
        <f>IF('[1]Game Input'!$BA248&lt;&gt;"",'[1]Game Input'!$BA248,"")</f>
        <v>CEDAR RAPIDS</v>
      </c>
      <c r="U248" s="9">
        <f>IF('[1]Game Input'!$BU248&lt;&gt;"",'[1]Game Input'!$BU248,"")</f>
        <v>32</v>
      </c>
      <c r="V248" s="9">
        <f>IF('[1]Game Input'!$BV248&lt;&gt;"",'[1]Game Input'!$BV248,"")</f>
        <v>12</v>
      </c>
      <c r="W248" s="9">
        <f>IF('[1]Game Input'!$CB248&lt;&gt;"",'[1]Game Input'!$CB248,"")</f>
        <v>0</v>
      </c>
      <c r="X248" s="9">
        <f>IF('[1]Game Input'!$CC248&lt;&gt;"",'[1]Game Input'!$CC248,"")</f>
        <v>0</v>
      </c>
      <c r="Y248" s="9">
        <f>IF('[1]Game Input'!$CF248&lt;&gt;"",'[1]Game Input'!$CF248,"")</f>
        <v>11</v>
      </c>
      <c r="Z248" s="9">
        <f>IF('[1]Game Input'!$CG248&lt;&gt;"",'[1]Game Input'!$CG248,"")</f>
        <v>0</v>
      </c>
      <c r="AA248" s="9">
        <f>IF('[1]Game Input'!$CH248&lt;&gt;"",'[1]Game Input'!$CH248,"")</f>
        <v>1</v>
      </c>
      <c r="AB248" s="9">
        <f>IF('[1]Game Input'!$CI248&lt;&gt;"",'[1]Game Input'!$CI248,"")</f>
        <v>0</v>
      </c>
      <c r="AC248" s="9">
        <f>IF('[1]Game Input'!$CJ248&lt;&gt;"",'[1]Game Input'!$CJ248,"")</f>
        <v>0</v>
      </c>
      <c r="AD248" s="9">
        <f>IF('[1]Game Input'!$CK248&lt;&gt;"",'[1]Game Input'!$CK248,"")</f>
        <v>0</v>
      </c>
      <c r="AE248" s="8" t="s">
        <v>106</v>
      </c>
      <c r="AF248" s="8"/>
      <c r="AG248" s="8" t="s">
        <v>114</v>
      </c>
      <c r="AH248" s="8" t="s">
        <v>124</v>
      </c>
    </row>
    <row r="249" spans="1:34" x14ac:dyDescent="0.2">
      <c r="A249" s="6">
        <f>IF('[1]Game Input'!$A249&lt;&gt;"",'[1]Game Input'!$A249,"")</f>
        <v>43470</v>
      </c>
      <c r="B249" s="6" t="str">
        <f>IF(A249&gt;$B$1,VLOOKUP(MONTH($A249),DOTWMonth,2,FALSE),"")</f>
        <v>January</v>
      </c>
      <c r="C249" s="10" t="str">
        <f>IF(A249&gt;$B$1,VLOOKUP(WEEKDAY($A249),DOTWMonth,3,FALSE),"")</f>
        <v>Saturday</v>
      </c>
      <c r="D249" s="7">
        <f>IF('[1]Game Input'!$B249&lt;&gt;"",'[1]Game Input'!$B249,"")</f>
        <v>0.83680555555555547</v>
      </c>
      <c r="E249" s="7">
        <f>IF('[1]Game Input'!$C249&lt;&gt;"",'[1]Game Input'!$C249,"")</f>
        <v>0.79513888888888884</v>
      </c>
      <c r="F249" s="8" t="str">
        <f>IF('[1]Game Input'!$D249&lt;&gt;"",'[1]Game Input'!$D249,"")</f>
        <v>Standard</v>
      </c>
      <c r="G249" s="8" t="str">
        <f>IF('[1]Game Input'!$G249&lt;&gt;"",'[1]Game Input'!$G249,"")</f>
        <v>DM @ SF</v>
      </c>
      <c r="H249" s="8" t="str">
        <f>IF('[1]Game Input'!$H249&lt;&gt;"",'[1]Game Input'!$H249,"")</f>
        <v>Vs. Conference</v>
      </c>
      <c r="I249" s="8" t="str">
        <f>IF('[1]Game Input'!$I249&lt;&gt;"",'[1]Game Input'!$I249,"")</f>
        <v>DES MOINES</v>
      </c>
      <c r="J249" s="9">
        <f>IF('[1]Game Input'!$AC249&lt;&gt;"",'[1]Game Input'!$AC249,"")</f>
        <v>8</v>
      </c>
      <c r="K249" s="9">
        <f>IF('[1]Game Input'!$AD249&lt;&gt;"",'[1]Game Input'!$AD249,"")</f>
        <v>4</v>
      </c>
      <c r="L249" s="9">
        <f>IF('[1]Game Input'!$AJ249&lt;&gt;"",'[1]Game Input'!$AJ249,"")</f>
        <v>0</v>
      </c>
      <c r="M249" s="9">
        <f>IF('[1]Game Input'!$AK249&lt;&gt;"",'[1]Game Input'!$AK249,"")</f>
        <v>0</v>
      </c>
      <c r="N249" s="9">
        <f>IF('[1]Game Input'!$AN249&lt;&gt;"",'[1]Game Input'!$AN249,"")</f>
        <v>4</v>
      </c>
      <c r="O249" s="9">
        <f>IF('[1]Game Input'!$AO249&lt;&gt;"",'[1]Game Input'!$AO249,"")</f>
        <v>0</v>
      </c>
      <c r="P249" s="9">
        <f>IF('[1]Game Input'!$AP249&lt;&gt;"",'[1]Game Input'!$AP249,"")</f>
        <v>0</v>
      </c>
      <c r="Q249" s="9">
        <f>IF('[1]Game Input'!$AQ249&lt;&gt;"",'[1]Game Input'!$AQ249,"")</f>
        <v>0</v>
      </c>
      <c r="R249" s="9">
        <f>IF('[1]Game Input'!$AR249&lt;&gt;"",'[1]Game Input'!$AR249,"")</f>
        <v>0</v>
      </c>
      <c r="S249" s="9">
        <f>IF('[1]Game Input'!$AS249&lt;&gt;"",'[1]Game Input'!$AS249,"")</f>
        <v>0</v>
      </c>
      <c r="T249" s="10" t="str">
        <f>IF('[1]Game Input'!$BA249&lt;&gt;"",'[1]Game Input'!$BA249,"")</f>
        <v>SIOUX FALLS</v>
      </c>
      <c r="U249" s="9">
        <f>IF('[1]Game Input'!$BU249&lt;&gt;"",'[1]Game Input'!$BU249,"")</f>
        <v>10</v>
      </c>
      <c r="V249" s="9">
        <f>IF('[1]Game Input'!$BV249&lt;&gt;"",'[1]Game Input'!$BV249,"")</f>
        <v>5</v>
      </c>
      <c r="W249" s="9">
        <f>IF('[1]Game Input'!$CB249&lt;&gt;"",'[1]Game Input'!$CB249,"")</f>
        <v>0</v>
      </c>
      <c r="X249" s="9">
        <f>IF('[1]Game Input'!$CC249&lt;&gt;"",'[1]Game Input'!$CC249,"")</f>
        <v>0</v>
      </c>
      <c r="Y249" s="9">
        <f>IF('[1]Game Input'!$CF249&lt;&gt;"",'[1]Game Input'!$CF249,"")</f>
        <v>5</v>
      </c>
      <c r="Z249" s="9">
        <f>IF('[1]Game Input'!$CG249&lt;&gt;"",'[1]Game Input'!$CG249,"")</f>
        <v>0</v>
      </c>
      <c r="AA249" s="9">
        <f>IF('[1]Game Input'!$CH249&lt;&gt;"",'[1]Game Input'!$CH249,"")</f>
        <v>0</v>
      </c>
      <c r="AB249" s="9">
        <f>IF('[1]Game Input'!$CI249&lt;&gt;"",'[1]Game Input'!$CI249,"")</f>
        <v>0</v>
      </c>
      <c r="AC249" s="9">
        <f>IF('[1]Game Input'!$CJ249&lt;&gt;"",'[1]Game Input'!$CJ249,"")</f>
        <v>0</v>
      </c>
      <c r="AD249" s="9">
        <f>IF('[1]Game Input'!$CK249&lt;&gt;"",'[1]Game Input'!$CK249,"")</f>
        <v>0</v>
      </c>
      <c r="AE249" s="8" t="s">
        <v>138</v>
      </c>
      <c r="AF249" s="8"/>
      <c r="AG249" s="8" t="s">
        <v>108</v>
      </c>
      <c r="AH249" s="8" t="s">
        <v>113</v>
      </c>
    </row>
    <row r="250" spans="1:34" x14ac:dyDescent="0.2">
      <c r="A250" s="6">
        <f>IF('[1]Game Input'!$A250&lt;&gt;"",'[1]Game Input'!$A250,"")</f>
        <v>43470</v>
      </c>
      <c r="B250" s="6" t="str">
        <f>IF(A250&gt;$B$1,VLOOKUP(MONTH($A250),DOTWMonth,2,FALSE),"")</f>
        <v>January</v>
      </c>
      <c r="C250" s="10" t="str">
        <f>IF(A250&gt;$B$1,VLOOKUP(WEEKDAY($A250),DOTWMonth,3,FALSE),"")</f>
        <v>Saturday</v>
      </c>
      <c r="D250" s="7">
        <f>IF('[1]Game Input'!$B250&lt;&gt;"",'[1]Game Input'!$B250,"")</f>
        <v>0.83680555555555547</v>
      </c>
      <c r="E250" s="7">
        <f>IF('[1]Game Input'!$C250&lt;&gt;"",'[1]Game Input'!$C250,"")</f>
        <v>0.79513888888888884</v>
      </c>
      <c r="F250" s="8" t="str">
        <f>IF('[1]Game Input'!$D250&lt;&gt;"",'[1]Game Input'!$D250,"")</f>
        <v>Standard</v>
      </c>
      <c r="G250" s="8" t="str">
        <f>IF('[1]Game Input'!$G250&lt;&gt;"",'[1]Game Input'!$G250,"")</f>
        <v>LIN @ WAT</v>
      </c>
      <c r="H250" s="8" t="str">
        <f>IF('[1]Game Input'!$H250&lt;&gt;"",'[1]Game Input'!$H250,"")</f>
        <v>Vs. Conference</v>
      </c>
      <c r="I250" s="8" t="str">
        <f>IF('[1]Game Input'!$I250&lt;&gt;"",'[1]Game Input'!$I250,"")</f>
        <v>LINCOLN</v>
      </c>
      <c r="J250" s="9">
        <f>IF('[1]Game Input'!$AC250&lt;&gt;"",'[1]Game Input'!$AC250,"")</f>
        <v>10</v>
      </c>
      <c r="K250" s="9">
        <f>IF('[1]Game Input'!$AD250&lt;&gt;"",'[1]Game Input'!$AD250,"")</f>
        <v>5</v>
      </c>
      <c r="L250" s="9">
        <f>IF('[1]Game Input'!$AJ250&lt;&gt;"",'[1]Game Input'!$AJ250,"")</f>
        <v>0</v>
      </c>
      <c r="M250" s="9">
        <f>IF('[1]Game Input'!$AK250&lt;&gt;"",'[1]Game Input'!$AK250,"")</f>
        <v>0</v>
      </c>
      <c r="N250" s="9">
        <f>IF('[1]Game Input'!$AN250&lt;&gt;"",'[1]Game Input'!$AN250,"")</f>
        <v>5</v>
      </c>
      <c r="O250" s="9">
        <f>IF('[1]Game Input'!$AO250&lt;&gt;"",'[1]Game Input'!$AO250,"")</f>
        <v>0</v>
      </c>
      <c r="P250" s="9">
        <f>IF('[1]Game Input'!$AP250&lt;&gt;"",'[1]Game Input'!$AP250,"")</f>
        <v>0</v>
      </c>
      <c r="Q250" s="9">
        <f>IF('[1]Game Input'!$AQ250&lt;&gt;"",'[1]Game Input'!$AQ250,"")</f>
        <v>0</v>
      </c>
      <c r="R250" s="9">
        <f>IF('[1]Game Input'!$AR250&lt;&gt;"",'[1]Game Input'!$AR250,"")</f>
        <v>0</v>
      </c>
      <c r="S250" s="9">
        <f>IF('[1]Game Input'!$AS250&lt;&gt;"",'[1]Game Input'!$AS250,"")</f>
        <v>0</v>
      </c>
      <c r="T250" s="10" t="str">
        <f>IF('[1]Game Input'!$BA250&lt;&gt;"",'[1]Game Input'!$BA250,"")</f>
        <v>WATERLOO</v>
      </c>
      <c r="U250" s="9">
        <f>IF('[1]Game Input'!$BU250&lt;&gt;"",'[1]Game Input'!$BU250,"")</f>
        <v>10</v>
      </c>
      <c r="V250" s="9">
        <f>IF('[1]Game Input'!$BV250&lt;&gt;"",'[1]Game Input'!$BV250,"")</f>
        <v>5</v>
      </c>
      <c r="W250" s="9">
        <f>IF('[1]Game Input'!$CB250&lt;&gt;"",'[1]Game Input'!$CB250,"")</f>
        <v>0</v>
      </c>
      <c r="X250" s="9">
        <f>IF('[1]Game Input'!$CC250&lt;&gt;"",'[1]Game Input'!$CC250,"")</f>
        <v>0</v>
      </c>
      <c r="Y250" s="9">
        <f>IF('[1]Game Input'!$CF250&lt;&gt;"",'[1]Game Input'!$CF250,"")</f>
        <v>5</v>
      </c>
      <c r="Z250" s="9">
        <f>IF('[1]Game Input'!$CG250&lt;&gt;"",'[1]Game Input'!$CG250,"")</f>
        <v>0</v>
      </c>
      <c r="AA250" s="9">
        <f>IF('[1]Game Input'!$CH250&lt;&gt;"",'[1]Game Input'!$CH250,"")</f>
        <v>0</v>
      </c>
      <c r="AB250" s="9">
        <f>IF('[1]Game Input'!$CI250&lt;&gt;"",'[1]Game Input'!$CI250,"")</f>
        <v>0</v>
      </c>
      <c r="AC250" s="9">
        <f>IF('[1]Game Input'!$CJ250&lt;&gt;"",'[1]Game Input'!$CJ250,"")</f>
        <v>0</v>
      </c>
      <c r="AD250" s="9">
        <f>IF('[1]Game Input'!$CK250&lt;&gt;"",'[1]Game Input'!$CK250,"")</f>
        <v>0</v>
      </c>
      <c r="AE250" s="8"/>
      <c r="AF250" s="8"/>
      <c r="AG250" s="8"/>
      <c r="AH250" s="8"/>
    </row>
    <row r="251" spans="1:34" x14ac:dyDescent="0.2">
      <c r="A251" s="6">
        <f>IF('[1]Game Input'!$A251&lt;&gt;"",'[1]Game Input'!$A251,"")</f>
        <v>43470</v>
      </c>
      <c r="B251" s="6" t="str">
        <f>IF(A251&gt;$B$1,VLOOKUP(MONTH($A251),DOTWMonth,2,FALSE),"")</f>
        <v>January</v>
      </c>
      <c r="C251" s="10" t="str">
        <f>IF(A251&gt;$B$1,VLOOKUP(WEEKDAY($A251),DOTWMonth,3,FALSE),"")</f>
        <v>Saturday</v>
      </c>
      <c r="D251" s="7">
        <f>IF('[1]Game Input'!$B251&lt;&gt;"",'[1]Game Input'!$B251,"")</f>
        <v>0.83680555555555547</v>
      </c>
      <c r="E251" s="7">
        <f>IF('[1]Game Input'!$C251&lt;&gt;"",'[1]Game Input'!$C251,"")</f>
        <v>0.79513888888888884</v>
      </c>
      <c r="F251" s="8" t="str">
        <f>IF('[1]Game Input'!$D251&lt;&gt;"",'[1]Game Input'!$D251,"")</f>
        <v>Standard</v>
      </c>
      <c r="G251" s="8" t="str">
        <f>IF('[1]Game Input'!$G251&lt;&gt;"",'[1]Game Input'!$G251,"")</f>
        <v>OMA @ DUB</v>
      </c>
      <c r="H251" s="8" t="str">
        <f>IF('[1]Game Input'!$H251&lt;&gt;"",'[1]Game Input'!$H251,"")</f>
        <v>Vs. Non-Conference</v>
      </c>
      <c r="I251" s="8" t="str">
        <f>IF('[1]Game Input'!$I251&lt;&gt;"",'[1]Game Input'!$I251,"")</f>
        <v>OMAHA</v>
      </c>
      <c r="J251" s="9">
        <f>IF('[1]Game Input'!$AC251&lt;&gt;"",'[1]Game Input'!$AC251,"")</f>
        <v>2</v>
      </c>
      <c r="K251" s="9">
        <f>IF('[1]Game Input'!$AD251&lt;&gt;"",'[1]Game Input'!$AD251,"")</f>
        <v>1</v>
      </c>
      <c r="L251" s="9">
        <f>IF('[1]Game Input'!$AJ251&lt;&gt;"",'[1]Game Input'!$AJ251,"")</f>
        <v>0</v>
      </c>
      <c r="M251" s="9">
        <f>IF('[1]Game Input'!$AK251&lt;&gt;"",'[1]Game Input'!$AK251,"")</f>
        <v>0</v>
      </c>
      <c r="N251" s="9">
        <f>IF('[1]Game Input'!$AN251&lt;&gt;"",'[1]Game Input'!$AN251,"")</f>
        <v>1</v>
      </c>
      <c r="O251" s="9">
        <f>IF('[1]Game Input'!$AO251&lt;&gt;"",'[1]Game Input'!$AO251,"")</f>
        <v>0</v>
      </c>
      <c r="P251" s="9">
        <f>IF('[1]Game Input'!$AP251&lt;&gt;"",'[1]Game Input'!$AP251,"")</f>
        <v>0</v>
      </c>
      <c r="Q251" s="9">
        <f>IF('[1]Game Input'!$AQ251&lt;&gt;"",'[1]Game Input'!$AQ251,"")</f>
        <v>0</v>
      </c>
      <c r="R251" s="9">
        <f>IF('[1]Game Input'!$AR251&lt;&gt;"",'[1]Game Input'!$AR251,"")</f>
        <v>0</v>
      </c>
      <c r="S251" s="9">
        <f>IF('[1]Game Input'!$AS251&lt;&gt;"",'[1]Game Input'!$AS251,"")</f>
        <v>0</v>
      </c>
      <c r="T251" s="10" t="str">
        <f>IF('[1]Game Input'!$BA251&lt;&gt;"",'[1]Game Input'!$BA251,"")</f>
        <v>DUBUQUE</v>
      </c>
      <c r="U251" s="9">
        <f>IF('[1]Game Input'!$BU251&lt;&gt;"",'[1]Game Input'!$BU251,"")</f>
        <v>2</v>
      </c>
      <c r="V251" s="9">
        <f>IF('[1]Game Input'!$BV251&lt;&gt;"",'[1]Game Input'!$BV251,"")</f>
        <v>1</v>
      </c>
      <c r="W251" s="9">
        <f>IF('[1]Game Input'!$CB251&lt;&gt;"",'[1]Game Input'!$CB251,"")</f>
        <v>0</v>
      </c>
      <c r="X251" s="9">
        <f>IF('[1]Game Input'!$CC251&lt;&gt;"",'[1]Game Input'!$CC251,"")</f>
        <v>0</v>
      </c>
      <c r="Y251" s="9">
        <f>IF('[1]Game Input'!$CF251&lt;&gt;"",'[1]Game Input'!$CF251,"")</f>
        <v>1</v>
      </c>
      <c r="Z251" s="9">
        <f>IF('[1]Game Input'!$CG251&lt;&gt;"",'[1]Game Input'!$CG251,"")</f>
        <v>0</v>
      </c>
      <c r="AA251" s="9">
        <f>IF('[1]Game Input'!$CH251&lt;&gt;"",'[1]Game Input'!$CH251,"")</f>
        <v>0</v>
      </c>
      <c r="AB251" s="9">
        <f>IF('[1]Game Input'!$CI251&lt;&gt;"",'[1]Game Input'!$CI251,"")</f>
        <v>0</v>
      </c>
      <c r="AC251" s="9">
        <f>IF('[1]Game Input'!$CJ251&lt;&gt;"",'[1]Game Input'!$CJ251,"")</f>
        <v>0</v>
      </c>
      <c r="AD251" s="9">
        <f>IF('[1]Game Input'!$CK251&lt;&gt;"",'[1]Game Input'!$CK251,"")</f>
        <v>0</v>
      </c>
      <c r="AE251" s="8"/>
      <c r="AF251" s="8"/>
      <c r="AG251" s="8"/>
      <c r="AH251" s="8"/>
    </row>
    <row r="252" spans="1:34" x14ac:dyDescent="0.2">
      <c r="A252" s="6">
        <f>IF('[1]Game Input'!$A252&lt;&gt;"",'[1]Game Input'!$A252,"")</f>
        <v>43470</v>
      </c>
      <c r="B252" s="6" t="str">
        <f>IF(A252&gt;$B$1,VLOOKUP(MONTH($A252),DOTWMonth,2,FALSE),"")</f>
        <v>January</v>
      </c>
      <c r="C252" s="10" t="str">
        <f>IF(A252&gt;$B$1,VLOOKUP(WEEKDAY($A252),DOTWMonth,3,FALSE),"")</f>
        <v>Saturday</v>
      </c>
      <c r="D252" s="7">
        <f>IF('[1]Game Input'!$B252&lt;&gt;"",'[1]Game Input'!$B252,"")</f>
        <v>0.83680555555555547</v>
      </c>
      <c r="E252" s="7">
        <f>IF('[1]Game Input'!$C252&lt;&gt;"",'[1]Game Input'!$C252,"")</f>
        <v>0.79513888888888884</v>
      </c>
      <c r="F252" s="8" t="str">
        <f>IF('[1]Game Input'!$D252&lt;&gt;"",'[1]Game Input'!$D252,"")</f>
        <v>Standard</v>
      </c>
      <c r="G252" s="8" t="str">
        <f>IF('[1]Game Input'!$G252&lt;&gt;"",'[1]Game Input'!$G252,"")</f>
        <v>GB @ FGO</v>
      </c>
      <c r="H252" s="8" t="str">
        <f>IF('[1]Game Input'!$H252&lt;&gt;"",'[1]Game Input'!$H252,"")</f>
        <v>Vs. Non-Conference</v>
      </c>
      <c r="I252" s="8" t="str">
        <f>IF('[1]Game Input'!$I252&lt;&gt;"",'[1]Game Input'!$I252,"")</f>
        <v>GREEN BAY</v>
      </c>
      <c r="J252" s="9">
        <f>IF('[1]Game Input'!$AC252&lt;&gt;"",'[1]Game Input'!$AC252,"")</f>
        <v>6</v>
      </c>
      <c r="K252" s="9">
        <f>IF('[1]Game Input'!$AD252&lt;&gt;"",'[1]Game Input'!$AD252,"")</f>
        <v>3</v>
      </c>
      <c r="L252" s="9">
        <f>IF('[1]Game Input'!$AJ252&lt;&gt;"",'[1]Game Input'!$AJ252,"")</f>
        <v>0</v>
      </c>
      <c r="M252" s="9">
        <f>IF('[1]Game Input'!$AK252&lt;&gt;"",'[1]Game Input'!$AK252,"")</f>
        <v>0</v>
      </c>
      <c r="N252" s="9">
        <f>IF('[1]Game Input'!$AN252&lt;&gt;"",'[1]Game Input'!$AN252,"")</f>
        <v>3</v>
      </c>
      <c r="O252" s="9">
        <f>IF('[1]Game Input'!$AO252&lt;&gt;"",'[1]Game Input'!$AO252,"")</f>
        <v>0</v>
      </c>
      <c r="P252" s="9">
        <f>IF('[1]Game Input'!$AP252&lt;&gt;"",'[1]Game Input'!$AP252,"")</f>
        <v>0</v>
      </c>
      <c r="Q252" s="9">
        <f>IF('[1]Game Input'!$AQ252&lt;&gt;"",'[1]Game Input'!$AQ252,"")</f>
        <v>0</v>
      </c>
      <c r="R252" s="9">
        <f>IF('[1]Game Input'!$AR252&lt;&gt;"",'[1]Game Input'!$AR252,"")</f>
        <v>0</v>
      </c>
      <c r="S252" s="9">
        <f>IF('[1]Game Input'!$AS252&lt;&gt;"",'[1]Game Input'!$AS252,"")</f>
        <v>0</v>
      </c>
      <c r="T252" s="10" t="str">
        <f>IF('[1]Game Input'!$BA252&lt;&gt;"",'[1]Game Input'!$BA252,"")</f>
        <v>FARGO</v>
      </c>
      <c r="U252" s="9">
        <f>IF('[1]Game Input'!$BU252&lt;&gt;"",'[1]Game Input'!$BU252,"")</f>
        <v>6</v>
      </c>
      <c r="V252" s="9">
        <f>IF('[1]Game Input'!$BV252&lt;&gt;"",'[1]Game Input'!$BV252,"")</f>
        <v>3</v>
      </c>
      <c r="W252" s="9">
        <f>IF('[1]Game Input'!$CB252&lt;&gt;"",'[1]Game Input'!$CB252,"")</f>
        <v>0</v>
      </c>
      <c r="X252" s="9">
        <f>IF('[1]Game Input'!$CC252&lt;&gt;"",'[1]Game Input'!$CC252,"")</f>
        <v>0</v>
      </c>
      <c r="Y252" s="9">
        <f>IF('[1]Game Input'!$CF252&lt;&gt;"",'[1]Game Input'!$CF252,"")</f>
        <v>3</v>
      </c>
      <c r="Z252" s="9">
        <f>IF('[1]Game Input'!$CG252&lt;&gt;"",'[1]Game Input'!$CG252,"")</f>
        <v>0</v>
      </c>
      <c r="AA252" s="9">
        <f>IF('[1]Game Input'!$CH252&lt;&gt;"",'[1]Game Input'!$CH252,"")</f>
        <v>0</v>
      </c>
      <c r="AB252" s="9">
        <f>IF('[1]Game Input'!$CI252&lt;&gt;"",'[1]Game Input'!$CI252,"")</f>
        <v>0</v>
      </c>
      <c r="AC252" s="9">
        <f>IF('[1]Game Input'!$CJ252&lt;&gt;"",'[1]Game Input'!$CJ252,"")</f>
        <v>0</v>
      </c>
      <c r="AD252" s="9">
        <f>IF('[1]Game Input'!$CK252&lt;&gt;"",'[1]Game Input'!$CK252,"")</f>
        <v>0</v>
      </c>
      <c r="AE252" s="8"/>
      <c r="AF252" s="8"/>
      <c r="AG252" s="8"/>
      <c r="AH252" s="8"/>
    </row>
    <row r="253" spans="1:34" x14ac:dyDescent="0.2">
      <c r="A253" s="6">
        <f>IF('[1]Game Input'!$A253&lt;&gt;"",'[1]Game Input'!$A253,"")</f>
        <v>43470</v>
      </c>
      <c r="B253" s="6" t="str">
        <f>IF(A253&gt;$B$1,VLOOKUP(MONTH($A253),DOTWMonth,2,FALSE),"")</f>
        <v>January</v>
      </c>
      <c r="C253" s="10" t="str">
        <f>IF(A253&gt;$B$1,VLOOKUP(WEEKDAY($A253),DOTWMonth,3,FALSE),"")</f>
        <v>Saturday</v>
      </c>
      <c r="D253" s="7">
        <f>IF('[1]Game Input'!$B253&lt;&gt;"",'[1]Game Input'!$B253,"")</f>
        <v>0.83680555555555547</v>
      </c>
      <c r="E253" s="7">
        <f>IF('[1]Game Input'!$C253&lt;&gt;"",'[1]Game Input'!$C253,"")</f>
        <v>0.79513888888888884</v>
      </c>
      <c r="F253" s="8" t="str">
        <f>IF('[1]Game Input'!$D253&lt;&gt;"",'[1]Game Input'!$D253,"")</f>
        <v>Standard</v>
      </c>
      <c r="G253" s="8" t="str">
        <f>IF('[1]Game Input'!$G253&lt;&gt;"",'[1]Game Input'!$G253,"")</f>
        <v>TC @ MAD</v>
      </c>
      <c r="H253" s="8" t="str">
        <f>IF('[1]Game Input'!$H253&lt;&gt;"",'[1]Game Input'!$H253,"")</f>
        <v>Vs. Non-Conference</v>
      </c>
      <c r="I253" s="8" t="str">
        <f>IF('[1]Game Input'!$I253&lt;&gt;"",'[1]Game Input'!$I253,"")</f>
        <v>TRI-CITY</v>
      </c>
      <c r="J253" s="9">
        <f>IF('[1]Game Input'!$AC253&lt;&gt;"",'[1]Game Input'!$AC253,"")</f>
        <v>6</v>
      </c>
      <c r="K253" s="9">
        <f>IF('[1]Game Input'!$AD253&lt;&gt;"",'[1]Game Input'!$AD253,"")</f>
        <v>3</v>
      </c>
      <c r="L253" s="9">
        <f>IF('[1]Game Input'!$AJ253&lt;&gt;"",'[1]Game Input'!$AJ253,"")</f>
        <v>0</v>
      </c>
      <c r="M253" s="9">
        <f>IF('[1]Game Input'!$AK253&lt;&gt;"",'[1]Game Input'!$AK253,"")</f>
        <v>0</v>
      </c>
      <c r="N253" s="9">
        <f>IF('[1]Game Input'!$AN253&lt;&gt;"",'[1]Game Input'!$AN253,"")</f>
        <v>3</v>
      </c>
      <c r="O253" s="9">
        <f>IF('[1]Game Input'!$AO253&lt;&gt;"",'[1]Game Input'!$AO253,"")</f>
        <v>0</v>
      </c>
      <c r="P253" s="9">
        <f>IF('[1]Game Input'!$AP253&lt;&gt;"",'[1]Game Input'!$AP253,"")</f>
        <v>0</v>
      </c>
      <c r="Q253" s="9">
        <f>IF('[1]Game Input'!$AQ253&lt;&gt;"",'[1]Game Input'!$AQ253,"")</f>
        <v>0</v>
      </c>
      <c r="R253" s="9">
        <f>IF('[1]Game Input'!$AR253&lt;&gt;"",'[1]Game Input'!$AR253,"")</f>
        <v>0</v>
      </c>
      <c r="S253" s="9">
        <f>IF('[1]Game Input'!$AS253&lt;&gt;"",'[1]Game Input'!$AS253,"")</f>
        <v>0</v>
      </c>
      <c r="T253" s="10" t="str">
        <f>IF('[1]Game Input'!$BA253&lt;&gt;"",'[1]Game Input'!$BA253,"")</f>
        <v>MADISON</v>
      </c>
      <c r="U253" s="9">
        <f>IF('[1]Game Input'!$BU253&lt;&gt;"",'[1]Game Input'!$BU253,"")</f>
        <v>6</v>
      </c>
      <c r="V253" s="9">
        <f>IF('[1]Game Input'!$BV253&lt;&gt;"",'[1]Game Input'!$BV253,"")</f>
        <v>3</v>
      </c>
      <c r="W253" s="9">
        <f>IF('[1]Game Input'!$CB253&lt;&gt;"",'[1]Game Input'!$CB253,"")</f>
        <v>0</v>
      </c>
      <c r="X253" s="9">
        <f>IF('[1]Game Input'!$CC253&lt;&gt;"",'[1]Game Input'!$CC253,"")</f>
        <v>0</v>
      </c>
      <c r="Y253" s="9">
        <f>IF('[1]Game Input'!$CF253&lt;&gt;"",'[1]Game Input'!$CF253,"")</f>
        <v>3</v>
      </c>
      <c r="Z253" s="9">
        <f>IF('[1]Game Input'!$CG253&lt;&gt;"",'[1]Game Input'!$CG253,"")</f>
        <v>0</v>
      </c>
      <c r="AA253" s="9">
        <f>IF('[1]Game Input'!$CH253&lt;&gt;"",'[1]Game Input'!$CH253,"")</f>
        <v>0</v>
      </c>
      <c r="AB253" s="9">
        <f>IF('[1]Game Input'!$CI253&lt;&gt;"",'[1]Game Input'!$CI253,"")</f>
        <v>0</v>
      </c>
      <c r="AC253" s="9">
        <f>IF('[1]Game Input'!$CJ253&lt;&gt;"",'[1]Game Input'!$CJ253,"")</f>
        <v>0</v>
      </c>
      <c r="AD253" s="9">
        <f>IF('[1]Game Input'!$CK253&lt;&gt;"",'[1]Game Input'!$CK253,"")</f>
        <v>0</v>
      </c>
      <c r="AE253" s="8"/>
      <c r="AF253" s="8"/>
      <c r="AG253" s="8"/>
      <c r="AH253" s="8"/>
    </row>
    <row r="254" spans="1:34" x14ac:dyDescent="0.2">
      <c r="A254" s="6">
        <f>IF('[1]Game Input'!$A254&lt;&gt;"",'[1]Game Input'!$A254,"")</f>
        <v>43470</v>
      </c>
      <c r="B254" s="6" t="str">
        <f>IF(A254&gt;$B$1,VLOOKUP(MONTH($A254),DOTWMonth,2,FALSE),"")</f>
        <v>January</v>
      </c>
      <c r="C254" s="10" t="str">
        <f>IF(A254&gt;$B$1,VLOOKUP(WEEKDAY($A254),DOTWMonth,3,FALSE),"")</f>
        <v>Saturday</v>
      </c>
      <c r="D254" s="7">
        <f>IF('[1]Game Input'!$B254&lt;&gt;"",'[1]Game Input'!$B254,"")</f>
        <v>0.83819444444444446</v>
      </c>
      <c r="E254" s="7">
        <f>IF('[1]Game Input'!$C254&lt;&gt;"",'[1]Game Input'!$C254,"")</f>
        <v>0.79652777777777783</v>
      </c>
      <c r="F254" s="8" t="str">
        <f>IF('[1]Game Input'!$D254&lt;&gt;"",'[1]Game Input'!$D254,"")</f>
        <v>Standard</v>
      </c>
      <c r="G254" s="8" t="str">
        <f>IF('[1]Game Input'!$G254&lt;&gt;"",'[1]Game Input'!$G254,"")</f>
        <v>CHI @ CIL</v>
      </c>
      <c r="H254" s="8" t="str">
        <f>IF('[1]Game Input'!$H254&lt;&gt;"",'[1]Game Input'!$H254,"")</f>
        <v>Vs. Conference</v>
      </c>
      <c r="I254" s="8" t="str">
        <f>IF('[1]Game Input'!$I254&lt;&gt;"",'[1]Game Input'!$I254,"")</f>
        <v>CHICAGO</v>
      </c>
      <c r="J254" s="9">
        <f>IF('[1]Game Input'!$AC254&lt;&gt;"",'[1]Game Input'!$AC254,"")</f>
        <v>6</v>
      </c>
      <c r="K254" s="9">
        <f>IF('[1]Game Input'!$AD254&lt;&gt;"",'[1]Game Input'!$AD254,"")</f>
        <v>3</v>
      </c>
      <c r="L254" s="9">
        <f>IF('[1]Game Input'!$AJ254&lt;&gt;"",'[1]Game Input'!$AJ254,"")</f>
        <v>0</v>
      </c>
      <c r="M254" s="9">
        <f>IF('[1]Game Input'!$AK254&lt;&gt;"",'[1]Game Input'!$AK254,"")</f>
        <v>0</v>
      </c>
      <c r="N254" s="9">
        <f>IF('[1]Game Input'!$AN254&lt;&gt;"",'[1]Game Input'!$AN254,"")</f>
        <v>3</v>
      </c>
      <c r="O254" s="9">
        <f>IF('[1]Game Input'!$AO254&lt;&gt;"",'[1]Game Input'!$AO254,"")</f>
        <v>0</v>
      </c>
      <c r="P254" s="9">
        <f>IF('[1]Game Input'!$AP254&lt;&gt;"",'[1]Game Input'!$AP254,"")</f>
        <v>0</v>
      </c>
      <c r="Q254" s="9">
        <f>IF('[1]Game Input'!$AQ254&lt;&gt;"",'[1]Game Input'!$AQ254,"")</f>
        <v>0</v>
      </c>
      <c r="R254" s="9">
        <f>IF('[1]Game Input'!$AR254&lt;&gt;"",'[1]Game Input'!$AR254,"")</f>
        <v>0</v>
      </c>
      <c r="S254" s="9">
        <f>IF('[1]Game Input'!$AS254&lt;&gt;"",'[1]Game Input'!$AS254,"")</f>
        <v>0</v>
      </c>
      <c r="T254" s="10" t="str">
        <f>IF('[1]Game Input'!$BA254&lt;&gt;"",'[1]Game Input'!$BA254,"")</f>
        <v>CENTRAL ILLINOIS</v>
      </c>
      <c r="U254" s="9">
        <f>IF('[1]Game Input'!$BU254&lt;&gt;"",'[1]Game Input'!$BU254,"")</f>
        <v>6</v>
      </c>
      <c r="V254" s="9">
        <f>IF('[1]Game Input'!$BV254&lt;&gt;"",'[1]Game Input'!$BV254,"")</f>
        <v>3</v>
      </c>
      <c r="W254" s="9">
        <f>IF('[1]Game Input'!$CB254&lt;&gt;"",'[1]Game Input'!$CB254,"")</f>
        <v>0</v>
      </c>
      <c r="X254" s="9">
        <f>IF('[1]Game Input'!$CC254&lt;&gt;"",'[1]Game Input'!$CC254,"")</f>
        <v>0</v>
      </c>
      <c r="Y254" s="9">
        <f>IF('[1]Game Input'!$CF254&lt;&gt;"",'[1]Game Input'!$CF254,"")</f>
        <v>3</v>
      </c>
      <c r="Z254" s="9">
        <f>IF('[1]Game Input'!$CG254&lt;&gt;"",'[1]Game Input'!$CG254,"")</f>
        <v>0</v>
      </c>
      <c r="AA254" s="9">
        <f>IF('[1]Game Input'!$CH254&lt;&gt;"",'[1]Game Input'!$CH254,"")</f>
        <v>0</v>
      </c>
      <c r="AB254" s="9">
        <f>IF('[1]Game Input'!$CI254&lt;&gt;"",'[1]Game Input'!$CI254,"")</f>
        <v>0</v>
      </c>
      <c r="AC254" s="9">
        <f>IF('[1]Game Input'!$CJ254&lt;&gt;"",'[1]Game Input'!$CJ254,"")</f>
        <v>0</v>
      </c>
      <c r="AD254" s="9">
        <f>IF('[1]Game Input'!$CK254&lt;&gt;"",'[1]Game Input'!$CK254,"")</f>
        <v>0</v>
      </c>
      <c r="AE254" s="8" t="s">
        <v>94</v>
      </c>
      <c r="AF254" s="8"/>
      <c r="AG254" s="8" t="s">
        <v>145</v>
      </c>
      <c r="AH254" s="8" t="s">
        <v>158</v>
      </c>
    </row>
    <row r="255" spans="1:34" x14ac:dyDescent="0.2">
      <c r="A255" s="6">
        <f>IF('[1]Game Input'!$A255&lt;&gt;"",'[1]Game Input'!$A255,"")</f>
        <v>43475</v>
      </c>
      <c r="B255" s="6" t="str">
        <f>IF(A255&gt;$B$1,VLOOKUP(MONTH($A255),DOTWMonth,2,FALSE),"")</f>
        <v>January</v>
      </c>
      <c r="C255" s="10" t="str">
        <f>IF(A255&gt;$B$1,VLOOKUP(WEEKDAY($A255),DOTWMonth,3,FALSE),"")</f>
        <v>Thursday</v>
      </c>
      <c r="D255" s="7">
        <f>IF('[1]Game Input'!$B255&lt;&gt;"",'[1]Game Input'!$B255,"")</f>
        <v>0.83680555555555547</v>
      </c>
      <c r="E255" s="7">
        <f>IF('[1]Game Input'!$C255&lt;&gt;"",'[1]Game Input'!$C255,"")</f>
        <v>0.79513888888888884</v>
      </c>
      <c r="F255" s="8" t="str">
        <f>IF('[1]Game Input'!$D255&lt;&gt;"",'[1]Game Input'!$D255,"")</f>
        <v>Standard</v>
      </c>
      <c r="G255" s="8" t="str">
        <f>IF('[1]Game Input'!$G255&lt;&gt;"",'[1]Game Input'!$G255,"")</f>
        <v>SC @ FGO</v>
      </c>
      <c r="H255" s="8" t="str">
        <f>IF('[1]Game Input'!$H255&lt;&gt;"",'[1]Game Input'!$H255,"")</f>
        <v>Vs. Conference</v>
      </c>
      <c r="I255" s="8" t="str">
        <f>IF('[1]Game Input'!$I255&lt;&gt;"",'[1]Game Input'!$I255,"")</f>
        <v>SIOUX CITY</v>
      </c>
      <c r="J255" s="9">
        <f>IF('[1]Game Input'!$AC255&lt;&gt;"",'[1]Game Input'!$AC255,"")</f>
        <v>2</v>
      </c>
      <c r="K255" s="9">
        <f>IF('[1]Game Input'!$AD255&lt;&gt;"",'[1]Game Input'!$AD255,"")</f>
        <v>1</v>
      </c>
      <c r="L255" s="9">
        <f>IF('[1]Game Input'!$AJ255&lt;&gt;"",'[1]Game Input'!$AJ255,"")</f>
        <v>0</v>
      </c>
      <c r="M255" s="9">
        <f>IF('[1]Game Input'!$AK255&lt;&gt;"",'[1]Game Input'!$AK255,"")</f>
        <v>0</v>
      </c>
      <c r="N255" s="9">
        <f>IF('[1]Game Input'!$AN255&lt;&gt;"",'[1]Game Input'!$AN255,"")</f>
        <v>1</v>
      </c>
      <c r="O255" s="9">
        <f>IF('[1]Game Input'!$AO255&lt;&gt;"",'[1]Game Input'!$AO255,"")</f>
        <v>0</v>
      </c>
      <c r="P255" s="9">
        <f>IF('[1]Game Input'!$AP255&lt;&gt;"",'[1]Game Input'!$AP255,"")</f>
        <v>0</v>
      </c>
      <c r="Q255" s="9">
        <f>IF('[1]Game Input'!$AQ255&lt;&gt;"",'[1]Game Input'!$AQ255,"")</f>
        <v>0</v>
      </c>
      <c r="R255" s="9">
        <f>IF('[1]Game Input'!$AR255&lt;&gt;"",'[1]Game Input'!$AR255,"")</f>
        <v>0</v>
      </c>
      <c r="S255" s="9">
        <f>IF('[1]Game Input'!$AS255&lt;&gt;"",'[1]Game Input'!$AS255,"")</f>
        <v>0</v>
      </c>
      <c r="T255" s="10" t="str">
        <f>IF('[1]Game Input'!$BA255&lt;&gt;"",'[1]Game Input'!$BA255,"")</f>
        <v>FARGO</v>
      </c>
      <c r="U255" s="9">
        <f>IF('[1]Game Input'!$BU255&lt;&gt;"",'[1]Game Input'!$BU255,"")</f>
        <v>6</v>
      </c>
      <c r="V255" s="9">
        <f>IF('[1]Game Input'!$BV255&lt;&gt;"",'[1]Game Input'!$BV255,"")</f>
        <v>3</v>
      </c>
      <c r="W255" s="9">
        <f>IF('[1]Game Input'!$CB255&lt;&gt;"",'[1]Game Input'!$CB255,"")</f>
        <v>0</v>
      </c>
      <c r="X255" s="9">
        <f>IF('[1]Game Input'!$CC255&lt;&gt;"",'[1]Game Input'!$CC255,"")</f>
        <v>0</v>
      </c>
      <c r="Y255" s="9">
        <f>IF('[1]Game Input'!$CF255&lt;&gt;"",'[1]Game Input'!$CF255,"")</f>
        <v>3</v>
      </c>
      <c r="Z255" s="9">
        <f>IF('[1]Game Input'!$CG255&lt;&gt;"",'[1]Game Input'!$CG255,"")</f>
        <v>0</v>
      </c>
      <c r="AA255" s="9">
        <f>IF('[1]Game Input'!$CH255&lt;&gt;"",'[1]Game Input'!$CH255,"")</f>
        <v>0</v>
      </c>
      <c r="AB255" s="9">
        <f>IF('[1]Game Input'!$CI255&lt;&gt;"",'[1]Game Input'!$CI255,"")</f>
        <v>0</v>
      </c>
      <c r="AC255" s="9">
        <f>IF('[1]Game Input'!$CJ255&lt;&gt;"",'[1]Game Input'!$CJ255,"")</f>
        <v>0</v>
      </c>
      <c r="AD255" s="9">
        <f>IF('[1]Game Input'!$CK255&lt;&gt;"",'[1]Game Input'!$CK255,"")</f>
        <v>0</v>
      </c>
      <c r="AE255" s="8"/>
      <c r="AF255" s="8"/>
      <c r="AG255" s="8"/>
      <c r="AH255" s="8"/>
    </row>
    <row r="256" spans="1:34" x14ac:dyDescent="0.2">
      <c r="A256" s="6">
        <f>IF('[1]Game Input'!$A256&lt;&gt;"",'[1]Game Input'!$A256,"")</f>
        <v>43475</v>
      </c>
      <c r="B256" s="6" t="str">
        <f>IF(A256&gt;$B$1,VLOOKUP(MONTH($A256),DOTWMonth,2,FALSE),"")</f>
        <v>January</v>
      </c>
      <c r="C256" s="10" t="str">
        <f>IF(A256&gt;$B$1,VLOOKUP(WEEKDAY($A256),DOTWMonth,3,FALSE),"")</f>
        <v>Thursday</v>
      </c>
      <c r="D256" s="7">
        <f>IF('[1]Game Input'!$B256&lt;&gt;"",'[1]Game Input'!$B256,"")</f>
        <v>0.83680555555555547</v>
      </c>
      <c r="E256" s="7">
        <f>IF('[1]Game Input'!$C256&lt;&gt;"",'[1]Game Input'!$C256,"")</f>
        <v>0.79513888888888884</v>
      </c>
      <c r="F256" s="8" t="str">
        <f>IF('[1]Game Input'!$D256&lt;&gt;"",'[1]Game Input'!$D256,"")</f>
        <v>Standard</v>
      </c>
      <c r="G256" s="8" t="str">
        <f>IF('[1]Game Input'!$G256&lt;&gt;"",'[1]Game Input'!$G256,"")</f>
        <v>DM @ LIN</v>
      </c>
      <c r="H256" s="8" t="str">
        <f>IF('[1]Game Input'!$H256&lt;&gt;"",'[1]Game Input'!$H256,"")</f>
        <v>Vs. Conference</v>
      </c>
      <c r="I256" s="8" t="str">
        <f>IF('[1]Game Input'!$I256&lt;&gt;"",'[1]Game Input'!$I256,"")</f>
        <v>DES MOINES</v>
      </c>
      <c r="J256" s="9">
        <f>IF('[1]Game Input'!$AC256&lt;&gt;"",'[1]Game Input'!$AC256,"")</f>
        <v>17</v>
      </c>
      <c r="K256" s="9">
        <f>IF('[1]Game Input'!$AD256&lt;&gt;"",'[1]Game Input'!$AD256,"")</f>
        <v>7</v>
      </c>
      <c r="L256" s="9">
        <f>IF('[1]Game Input'!$AJ256&lt;&gt;"",'[1]Game Input'!$AJ256,"")</f>
        <v>0</v>
      </c>
      <c r="M256" s="9">
        <f>IF('[1]Game Input'!$AK256&lt;&gt;"",'[1]Game Input'!$AK256,"")</f>
        <v>0</v>
      </c>
      <c r="N256" s="9">
        <f>IF('[1]Game Input'!$AN256&lt;&gt;"",'[1]Game Input'!$AN256,"")</f>
        <v>6</v>
      </c>
      <c r="O256" s="9">
        <f>IF('[1]Game Input'!$AO256&lt;&gt;"",'[1]Game Input'!$AO256,"")</f>
        <v>0</v>
      </c>
      <c r="P256" s="9">
        <f>IF('[1]Game Input'!$AP256&lt;&gt;"",'[1]Game Input'!$AP256,"")</f>
        <v>0</v>
      </c>
      <c r="Q256" s="9">
        <f>IF('[1]Game Input'!$AQ256&lt;&gt;"",'[1]Game Input'!$AQ256,"")</f>
        <v>0</v>
      </c>
      <c r="R256" s="9">
        <f>IF('[1]Game Input'!$AR256&lt;&gt;"",'[1]Game Input'!$AR256,"")</f>
        <v>1</v>
      </c>
      <c r="S256" s="9">
        <f>IF('[1]Game Input'!$AS256&lt;&gt;"",'[1]Game Input'!$AS256,"")</f>
        <v>0</v>
      </c>
      <c r="T256" s="10" t="str">
        <f>IF('[1]Game Input'!$BA256&lt;&gt;"",'[1]Game Input'!$BA256,"")</f>
        <v>LINCOLN</v>
      </c>
      <c r="U256" s="9">
        <f>IF('[1]Game Input'!$BU256&lt;&gt;"",'[1]Game Input'!$BU256,"")</f>
        <v>8</v>
      </c>
      <c r="V256" s="9">
        <f>IF('[1]Game Input'!$BV256&lt;&gt;"",'[1]Game Input'!$BV256,"")</f>
        <v>4</v>
      </c>
      <c r="W256" s="9">
        <f>IF('[1]Game Input'!$CB256&lt;&gt;"",'[1]Game Input'!$CB256,"")</f>
        <v>0</v>
      </c>
      <c r="X256" s="9">
        <f>IF('[1]Game Input'!$CC256&lt;&gt;"",'[1]Game Input'!$CC256,"")</f>
        <v>0</v>
      </c>
      <c r="Y256" s="9">
        <f>IF('[1]Game Input'!$CF256&lt;&gt;"",'[1]Game Input'!$CF256,"")</f>
        <v>4</v>
      </c>
      <c r="Z256" s="9">
        <f>IF('[1]Game Input'!$CG256&lt;&gt;"",'[1]Game Input'!$CG256,"")</f>
        <v>0</v>
      </c>
      <c r="AA256" s="9">
        <f>IF('[1]Game Input'!$CH256&lt;&gt;"",'[1]Game Input'!$CH256,"")</f>
        <v>0</v>
      </c>
      <c r="AB256" s="9">
        <f>IF('[1]Game Input'!$CI256&lt;&gt;"",'[1]Game Input'!$CI256,"")</f>
        <v>0</v>
      </c>
      <c r="AC256" s="9">
        <f>IF('[1]Game Input'!$CJ256&lt;&gt;"",'[1]Game Input'!$CJ256,"")</f>
        <v>0</v>
      </c>
      <c r="AD256" s="9">
        <f>IF('[1]Game Input'!$CK256&lt;&gt;"",'[1]Game Input'!$CK256,"")</f>
        <v>0</v>
      </c>
      <c r="AE256" s="8" t="s">
        <v>105</v>
      </c>
      <c r="AF256" s="8"/>
      <c r="AG256" s="8" t="s">
        <v>124</v>
      </c>
      <c r="AH256" s="8" t="s">
        <v>130</v>
      </c>
    </row>
    <row r="257" spans="1:34" x14ac:dyDescent="0.2">
      <c r="A257" s="6">
        <f>IF('[1]Game Input'!$A257&lt;&gt;"",'[1]Game Input'!$A257,"")</f>
        <v>43476</v>
      </c>
      <c r="B257" s="6" t="str">
        <f>IF(A257&gt;$B$1,VLOOKUP(MONTH($A257),DOTWMonth,2,FALSE),"")</f>
        <v>January</v>
      </c>
      <c r="C257" s="10" t="str">
        <f>IF(A257&gt;$B$1,VLOOKUP(WEEKDAY($A257),DOTWMonth,3,FALSE),"")</f>
        <v>Friday</v>
      </c>
      <c r="D257" s="7">
        <f>IF('[1]Game Input'!$B257&lt;&gt;"",'[1]Game Input'!$B257,"")</f>
        <v>0.79166666666666663</v>
      </c>
      <c r="E257" s="7">
        <f>IF('[1]Game Input'!$C257&lt;&gt;"",'[1]Game Input'!$C257,"")</f>
        <v>0.75</v>
      </c>
      <c r="F257" s="8" t="str">
        <f>IF('[1]Game Input'!$D257&lt;&gt;"",'[1]Game Input'!$D257,"")</f>
        <v>Standard</v>
      </c>
      <c r="G257" s="8" t="str">
        <f>IF('[1]Game Input'!$G257&lt;&gt;"",'[1]Game Input'!$G257,"")</f>
        <v>CIL @ USA</v>
      </c>
      <c r="H257" s="8" t="str">
        <f>IF('[1]Game Input'!$H257&lt;&gt;"",'[1]Game Input'!$H257,"")</f>
        <v>Vs. Conference</v>
      </c>
      <c r="I257" s="8" t="str">
        <f>IF('[1]Game Input'!$I257&lt;&gt;"",'[1]Game Input'!$I257,"")</f>
        <v>CENTRAL ILLINOIS</v>
      </c>
      <c r="J257" s="9">
        <f>IF('[1]Game Input'!$AC257&lt;&gt;"",'[1]Game Input'!$AC257,"")</f>
        <v>8</v>
      </c>
      <c r="K257" s="9">
        <f>IF('[1]Game Input'!$AD257&lt;&gt;"",'[1]Game Input'!$AD257,"")</f>
        <v>4</v>
      </c>
      <c r="L257" s="9">
        <f>IF('[1]Game Input'!$AJ257&lt;&gt;"",'[1]Game Input'!$AJ257,"")</f>
        <v>0</v>
      </c>
      <c r="M257" s="9">
        <f>IF('[1]Game Input'!$AK257&lt;&gt;"",'[1]Game Input'!$AK257,"")</f>
        <v>0</v>
      </c>
      <c r="N257" s="9">
        <f>IF('[1]Game Input'!$AN257&lt;&gt;"",'[1]Game Input'!$AN257,"")</f>
        <v>4</v>
      </c>
      <c r="O257" s="9">
        <f>IF('[1]Game Input'!$AO257&lt;&gt;"",'[1]Game Input'!$AO257,"")</f>
        <v>0</v>
      </c>
      <c r="P257" s="9">
        <f>IF('[1]Game Input'!$AP257&lt;&gt;"",'[1]Game Input'!$AP257,"")</f>
        <v>0</v>
      </c>
      <c r="Q257" s="9">
        <f>IF('[1]Game Input'!$AQ257&lt;&gt;"",'[1]Game Input'!$AQ257,"")</f>
        <v>0</v>
      </c>
      <c r="R257" s="9">
        <f>IF('[1]Game Input'!$AR257&lt;&gt;"",'[1]Game Input'!$AR257,"")</f>
        <v>0</v>
      </c>
      <c r="S257" s="9">
        <f>IF('[1]Game Input'!$AS257&lt;&gt;"",'[1]Game Input'!$AS257,"")</f>
        <v>0</v>
      </c>
      <c r="T257" s="10" t="str">
        <f>IF('[1]Game Input'!$BA257&lt;&gt;"",'[1]Game Input'!$BA257,"")</f>
        <v>TEAM USA</v>
      </c>
      <c r="U257" s="9">
        <f>IF('[1]Game Input'!$BU257&lt;&gt;"",'[1]Game Input'!$BU257,"")</f>
        <v>8</v>
      </c>
      <c r="V257" s="9">
        <f>IF('[1]Game Input'!$BV257&lt;&gt;"",'[1]Game Input'!$BV257,"")</f>
        <v>4</v>
      </c>
      <c r="W257" s="9">
        <f>IF('[1]Game Input'!$CB257&lt;&gt;"",'[1]Game Input'!$CB257,"")</f>
        <v>0</v>
      </c>
      <c r="X257" s="9">
        <f>IF('[1]Game Input'!$CC257&lt;&gt;"",'[1]Game Input'!$CC257,"")</f>
        <v>0</v>
      </c>
      <c r="Y257" s="9">
        <f>IF('[1]Game Input'!$CF257&lt;&gt;"",'[1]Game Input'!$CF257,"")</f>
        <v>4</v>
      </c>
      <c r="Z257" s="9">
        <f>IF('[1]Game Input'!$CG257&lt;&gt;"",'[1]Game Input'!$CG257,"")</f>
        <v>0</v>
      </c>
      <c r="AA257" s="9">
        <f>IF('[1]Game Input'!$CH257&lt;&gt;"",'[1]Game Input'!$CH257,"")</f>
        <v>0</v>
      </c>
      <c r="AB257" s="9">
        <f>IF('[1]Game Input'!$CI257&lt;&gt;"",'[1]Game Input'!$CI257,"")</f>
        <v>0</v>
      </c>
      <c r="AC257" s="9">
        <f>IF('[1]Game Input'!$CJ257&lt;&gt;"",'[1]Game Input'!$CJ257,"")</f>
        <v>0</v>
      </c>
      <c r="AD257" s="9">
        <f>IF('[1]Game Input'!$CK257&lt;&gt;"",'[1]Game Input'!$CK257,"")</f>
        <v>0</v>
      </c>
      <c r="AE257" s="8" t="s">
        <v>92</v>
      </c>
      <c r="AF257" s="8"/>
      <c r="AG257" s="8" t="s">
        <v>147</v>
      </c>
      <c r="AH257" s="8" t="s">
        <v>135</v>
      </c>
    </row>
    <row r="258" spans="1:34" x14ac:dyDescent="0.2">
      <c r="A258" s="6">
        <f>IF('[1]Game Input'!$A258&lt;&gt;"",'[1]Game Input'!$A258,"")</f>
        <v>43476</v>
      </c>
      <c r="B258" s="6" t="str">
        <f>IF(A258&gt;$B$1,VLOOKUP(MONTH($A258),DOTWMonth,2,FALSE),"")</f>
        <v>January</v>
      </c>
      <c r="C258" s="10" t="str">
        <f>IF(A258&gt;$B$1,VLOOKUP(WEEKDAY($A258),DOTWMonth,3,FALSE),"")</f>
        <v>Friday</v>
      </c>
      <c r="D258" s="7">
        <f>IF('[1]Game Input'!$B258&lt;&gt;"",'[1]Game Input'!$B258,"")</f>
        <v>0.83680555555555547</v>
      </c>
      <c r="E258" s="7">
        <f>IF('[1]Game Input'!$C258&lt;&gt;"",'[1]Game Input'!$C258,"")</f>
        <v>0.79513888888888884</v>
      </c>
      <c r="F258" s="8" t="str">
        <f>IF('[1]Game Input'!$D258&lt;&gt;"",'[1]Game Input'!$D258,"")</f>
        <v>Standard</v>
      </c>
      <c r="G258" s="8" t="str">
        <f>IF('[1]Game Input'!$G258&lt;&gt;"",'[1]Game Input'!$G258,"")</f>
        <v>YNG @ CHI</v>
      </c>
      <c r="H258" s="8" t="str">
        <f>IF('[1]Game Input'!$H258&lt;&gt;"",'[1]Game Input'!$H258,"")</f>
        <v>Vs. Conference</v>
      </c>
      <c r="I258" s="8" t="str">
        <f>IF('[1]Game Input'!$I258&lt;&gt;"",'[1]Game Input'!$I258,"")</f>
        <v>YOUNGSTOWN</v>
      </c>
      <c r="J258" s="9">
        <f>IF('[1]Game Input'!$AC258&lt;&gt;"",'[1]Game Input'!$AC258,"")</f>
        <v>4</v>
      </c>
      <c r="K258" s="9">
        <f>IF('[1]Game Input'!$AD258&lt;&gt;"",'[1]Game Input'!$AD258,"")</f>
        <v>2</v>
      </c>
      <c r="L258" s="9">
        <f>IF('[1]Game Input'!$AJ258&lt;&gt;"",'[1]Game Input'!$AJ258,"")</f>
        <v>0</v>
      </c>
      <c r="M258" s="9">
        <f>IF('[1]Game Input'!$AK258&lt;&gt;"",'[1]Game Input'!$AK258,"")</f>
        <v>0</v>
      </c>
      <c r="N258" s="9">
        <f>IF('[1]Game Input'!$AN258&lt;&gt;"",'[1]Game Input'!$AN258,"")</f>
        <v>2</v>
      </c>
      <c r="O258" s="9">
        <f>IF('[1]Game Input'!$AO258&lt;&gt;"",'[1]Game Input'!$AO258,"")</f>
        <v>0</v>
      </c>
      <c r="P258" s="9">
        <f>IF('[1]Game Input'!$AP258&lt;&gt;"",'[1]Game Input'!$AP258,"")</f>
        <v>0</v>
      </c>
      <c r="Q258" s="9">
        <f>IF('[1]Game Input'!$AQ258&lt;&gt;"",'[1]Game Input'!$AQ258,"")</f>
        <v>0</v>
      </c>
      <c r="R258" s="9">
        <f>IF('[1]Game Input'!$AR258&lt;&gt;"",'[1]Game Input'!$AR258,"")</f>
        <v>0</v>
      </c>
      <c r="S258" s="9">
        <f>IF('[1]Game Input'!$AS258&lt;&gt;"",'[1]Game Input'!$AS258,"")</f>
        <v>0</v>
      </c>
      <c r="T258" s="10" t="str">
        <f>IF('[1]Game Input'!$BA258&lt;&gt;"",'[1]Game Input'!$BA258,"")</f>
        <v>CHICAGO</v>
      </c>
      <c r="U258" s="9">
        <f>IF('[1]Game Input'!$BU258&lt;&gt;"",'[1]Game Input'!$BU258,"")</f>
        <v>6</v>
      </c>
      <c r="V258" s="9">
        <f>IF('[1]Game Input'!$BV258&lt;&gt;"",'[1]Game Input'!$BV258,"")</f>
        <v>3</v>
      </c>
      <c r="W258" s="9">
        <f>IF('[1]Game Input'!$CB258&lt;&gt;"",'[1]Game Input'!$CB258,"")</f>
        <v>0</v>
      </c>
      <c r="X258" s="9">
        <f>IF('[1]Game Input'!$CC258&lt;&gt;"",'[1]Game Input'!$CC258,"")</f>
        <v>0</v>
      </c>
      <c r="Y258" s="9">
        <f>IF('[1]Game Input'!$CF258&lt;&gt;"",'[1]Game Input'!$CF258,"")</f>
        <v>3</v>
      </c>
      <c r="Z258" s="9">
        <f>IF('[1]Game Input'!$CG258&lt;&gt;"",'[1]Game Input'!$CG258,"")</f>
        <v>0</v>
      </c>
      <c r="AA258" s="9">
        <f>IF('[1]Game Input'!$CH258&lt;&gt;"",'[1]Game Input'!$CH258,"")</f>
        <v>0</v>
      </c>
      <c r="AB258" s="9">
        <f>IF('[1]Game Input'!$CI258&lt;&gt;"",'[1]Game Input'!$CI258,"")</f>
        <v>0</v>
      </c>
      <c r="AC258" s="9">
        <f>IF('[1]Game Input'!$CJ258&lt;&gt;"",'[1]Game Input'!$CJ258,"")</f>
        <v>0</v>
      </c>
      <c r="AD258" s="9">
        <f>IF('[1]Game Input'!$CK258&lt;&gt;"",'[1]Game Input'!$CK258,"")</f>
        <v>0</v>
      </c>
      <c r="AE258" s="8"/>
      <c r="AF258" s="8"/>
      <c r="AG258" s="8"/>
      <c r="AH258" s="8"/>
    </row>
    <row r="259" spans="1:34" x14ac:dyDescent="0.2">
      <c r="A259" s="6">
        <f>IF('[1]Game Input'!$A259&lt;&gt;"",'[1]Game Input'!$A259,"")</f>
        <v>43476</v>
      </c>
      <c r="B259" s="6" t="str">
        <f>IF(A259&gt;$B$1,VLOOKUP(MONTH($A259),DOTWMonth,2,FALSE),"")</f>
        <v>January</v>
      </c>
      <c r="C259" s="10" t="str">
        <f>IF(A259&gt;$B$1,VLOOKUP(WEEKDAY($A259),DOTWMonth,3,FALSE),"")</f>
        <v>Friday</v>
      </c>
      <c r="D259" s="7">
        <f>IF('[1]Game Input'!$B259&lt;&gt;"",'[1]Game Input'!$B259,"")</f>
        <v>0.83680555555555547</v>
      </c>
      <c r="E259" s="7">
        <f>IF('[1]Game Input'!$C259&lt;&gt;"",'[1]Game Input'!$C259,"")</f>
        <v>0.79513888888888884</v>
      </c>
      <c r="F259" s="8" t="str">
        <f>IF('[1]Game Input'!$D259&lt;&gt;"",'[1]Game Input'!$D259,"")</f>
        <v>Standard</v>
      </c>
      <c r="G259" s="8" t="str">
        <f>IF('[1]Game Input'!$G259&lt;&gt;"",'[1]Game Input'!$G259,"")</f>
        <v>SC @ FGO</v>
      </c>
      <c r="H259" s="8" t="str">
        <f>IF('[1]Game Input'!$H259&lt;&gt;"",'[1]Game Input'!$H259,"")</f>
        <v>Vs. Conference</v>
      </c>
      <c r="I259" s="8" t="str">
        <f>IF('[1]Game Input'!$I259&lt;&gt;"",'[1]Game Input'!$I259,"")</f>
        <v>SIOUX CITY</v>
      </c>
      <c r="J259" s="9">
        <f>IF('[1]Game Input'!$AC259&lt;&gt;"",'[1]Game Input'!$AC259,"")</f>
        <v>44</v>
      </c>
      <c r="K259" s="9">
        <f>IF('[1]Game Input'!$AD259&lt;&gt;"",'[1]Game Input'!$AD259,"")</f>
        <v>11</v>
      </c>
      <c r="L259" s="9">
        <f>IF('[1]Game Input'!$AJ259&lt;&gt;"",'[1]Game Input'!$AJ259,"")</f>
        <v>0</v>
      </c>
      <c r="M259" s="9">
        <f>IF('[1]Game Input'!$AK259&lt;&gt;"",'[1]Game Input'!$AK259,"")</f>
        <v>0</v>
      </c>
      <c r="N259" s="9">
        <f>IF('[1]Game Input'!$AN259&lt;&gt;"",'[1]Game Input'!$AN259,"")</f>
        <v>7</v>
      </c>
      <c r="O259" s="9">
        <f>IF('[1]Game Input'!$AO259&lt;&gt;"",'[1]Game Input'!$AO259,"")</f>
        <v>2</v>
      </c>
      <c r="P259" s="9">
        <f>IF('[1]Game Input'!$AP259&lt;&gt;"",'[1]Game Input'!$AP259,"")</f>
        <v>2</v>
      </c>
      <c r="Q259" s="9">
        <f>IF('[1]Game Input'!$AQ259&lt;&gt;"",'[1]Game Input'!$AQ259,"")</f>
        <v>0</v>
      </c>
      <c r="R259" s="9">
        <f>IF('[1]Game Input'!$AR259&lt;&gt;"",'[1]Game Input'!$AR259,"")</f>
        <v>0</v>
      </c>
      <c r="S259" s="9">
        <f>IF('[1]Game Input'!$AS259&lt;&gt;"",'[1]Game Input'!$AS259,"")</f>
        <v>0</v>
      </c>
      <c r="T259" s="10" t="str">
        <f>IF('[1]Game Input'!$BA259&lt;&gt;"",'[1]Game Input'!$BA259,"")</f>
        <v>FARGO</v>
      </c>
      <c r="U259" s="9">
        <f>IF('[1]Game Input'!$BU259&lt;&gt;"",'[1]Game Input'!$BU259,"")</f>
        <v>44</v>
      </c>
      <c r="V259" s="9">
        <f>IF('[1]Game Input'!$BV259&lt;&gt;"",'[1]Game Input'!$BV259,"")</f>
        <v>11</v>
      </c>
      <c r="W259" s="9">
        <f>IF('[1]Game Input'!$CB259&lt;&gt;"",'[1]Game Input'!$CB259,"")</f>
        <v>0</v>
      </c>
      <c r="X259" s="9">
        <f>IF('[1]Game Input'!$CC259&lt;&gt;"",'[1]Game Input'!$CC259,"")</f>
        <v>0</v>
      </c>
      <c r="Y259" s="9">
        <f>IF('[1]Game Input'!$CF259&lt;&gt;"",'[1]Game Input'!$CF259,"")</f>
        <v>7</v>
      </c>
      <c r="Z259" s="9">
        <f>IF('[1]Game Input'!$CG259&lt;&gt;"",'[1]Game Input'!$CG259,"")</f>
        <v>2</v>
      </c>
      <c r="AA259" s="9">
        <f>IF('[1]Game Input'!$CH259&lt;&gt;"",'[1]Game Input'!$CH259,"")</f>
        <v>2</v>
      </c>
      <c r="AB259" s="9">
        <f>IF('[1]Game Input'!$CI259&lt;&gt;"",'[1]Game Input'!$CI259,"")</f>
        <v>0</v>
      </c>
      <c r="AC259" s="9">
        <f>IF('[1]Game Input'!$CJ259&lt;&gt;"",'[1]Game Input'!$CJ259,"")</f>
        <v>0</v>
      </c>
      <c r="AD259" s="9">
        <f>IF('[1]Game Input'!$CK259&lt;&gt;"",'[1]Game Input'!$CK259,"")</f>
        <v>0</v>
      </c>
      <c r="AE259" s="8"/>
      <c r="AF259" s="8"/>
      <c r="AG259" s="8"/>
      <c r="AH259" s="8"/>
    </row>
    <row r="260" spans="1:34" x14ac:dyDescent="0.2">
      <c r="A260" s="6">
        <f>IF('[1]Game Input'!$A260&lt;&gt;"",'[1]Game Input'!$A260,"")</f>
        <v>43476</v>
      </c>
      <c r="B260" s="6" t="str">
        <f>IF(A260&gt;$B$1,VLOOKUP(MONTH($A260),DOTWMonth,2,FALSE),"")</f>
        <v>January</v>
      </c>
      <c r="C260" s="10" t="str">
        <f>IF(A260&gt;$B$1,VLOOKUP(WEEKDAY($A260),DOTWMonth,3,FALSE),"")</f>
        <v>Friday</v>
      </c>
      <c r="D260" s="7">
        <f>IF('[1]Game Input'!$B260&lt;&gt;"",'[1]Game Input'!$B260,"")</f>
        <v>0.83680555555555547</v>
      </c>
      <c r="E260" s="7">
        <f>IF('[1]Game Input'!$C260&lt;&gt;"",'[1]Game Input'!$C260,"")</f>
        <v>0.79513888888888884</v>
      </c>
      <c r="F260" s="8" t="str">
        <f>IF('[1]Game Input'!$D260&lt;&gt;"",'[1]Game Input'!$D260,"")</f>
        <v>Standard</v>
      </c>
      <c r="G260" s="8" t="str">
        <f>IF('[1]Game Input'!$G260&lt;&gt;"",'[1]Game Input'!$G260,"")</f>
        <v>DUB @ GB</v>
      </c>
      <c r="H260" s="8" t="str">
        <f>IF('[1]Game Input'!$H260&lt;&gt;"",'[1]Game Input'!$H260,"")</f>
        <v>Vs. Conference</v>
      </c>
      <c r="I260" s="8" t="str">
        <f>IF('[1]Game Input'!$I260&lt;&gt;"",'[1]Game Input'!$I260,"")</f>
        <v>DUBUQUE</v>
      </c>
      <c r="J260" s="9">
        <f>IF('[1]Game Input'!$AC260&lt;&gt;"",'[1]Game Input'!$AC260,"")</f>
        <v>21</v>
      </c>
      <c r="K260" s="9">
        <f>IF('[1]Game Input'!$AD260&lt;&gt;"",'[1]Game Input'!$AD260,"")</f>
        <v>5</v>
      </c>
      <c r="L260" s="9">
        <f>IF('[1]Game Input'!$AJ260&lt;&gt;"",'[1]Game Input'!$AJ260,"")</f>
        <v>0</v>
      </c>
      <c r="M260" s="9">
        <f>IF('[1]Game Input'!$AK260&lt;&gt;"",'[1]Game Input'!$AK260,"")</f>
        <v>0</v>
      </c>
      <c r="N260" s="9">
        <f>IF('[1]Game Input'!$AN260&lt;&gt;"",'[1]Game Input'!$AN260,"")</f>
        <v>3</v>
      </c>
      <c r="O260" s="9">
        <f>IF('[1]Game Input'!$AO260&lt;&gt;"",'[1]Game Input'!$AO260,"")</f>
        <v>1</v>
      </c>
      <c r="P260" s="9">
        <f>IF('[1]Game Input'!$AP260&lt;&gt;"",'[1]Game Input'!$AP260,"")</f>
        <v>1</v>
      </c>
      <c r="Q260" s="9">
        <f>IF('[1]Game Input'!$AQ260&lt;&gt;"",'[1]Game Input'!$AQ260,"")</f>
        <v>0</v>
      </c>
      <c r="R260" s="9">
        <f>IF('[1]Game Input'!$AR260&lt;&gt;"",'[1]Game Input'!$AR260,"")</f>
        <v>0</v>
      </c>
      <c r="S260" s="9">
        <f>IF('[1]Game Input'!$AS260&lt;&gt;"",'[1]Game Input'!$AS260,"")</f>
        <v>0</v>
      </c>
      <c r="T260" s="10" t="str">
        <f>IF('[1]Game Input'!$BA260&lt;&gt;"",'[1]Game Input'!$BA260,"")</f>
        <v>GREEN BAY</v>
      </c>
      <c r="U260" s="9">
        <f>IF('[1]Game Input'!$BU260&lt;&gt;"",'[1]Game Input'!$BU260,"")</f>
        <v>23</v>
      </c>
      <c r="V260" s="9">
        <f>IF('[1]Game Input'!$BV260&lt;&gt;"",'[1]Game Input'!$BV260,"")</f>
        <v>6</v>
      </c>
      <c r="W260" s="9">
        <f>IF('[1]Game Input'!$CB260&lt;&gt;"",'[1]Game Input'!$CB260,"")</f>
        <v>0</v>
      </c>
      <c r="X260" s="9">
        <f>IF('[1]Game Input'!$CC260&lt;&gt;"",'[1]Game Input'!$CC260,"")</f>
        <v>0</v>
      </c>
      <c r="Y260" s="9">
        <f>IF('[1]Game Input'!$CF260&lt;&gt;"",'[1]Game Input'!$CF260,"")</f>
        <v>4</v>
      </c>
      <c r="Z260" s="9">
        <f>IF('[1]Game Input'!$CG260&lt;&gt;"",'[1]Game Input'!$CG260,"")</f>
        <v>1</v>
      </c>
      <c r="AA260" s="9">
        <f>IF('[1]Game Input'!$CH260&lt;&gt;"",'[1]Game Input'!$CH260,"")</f>
        <v>1</v>
      </c>
      <c r="AB260" s="9">
        <f>IF('[1]Game Input'!$CI260&lt;&gt;"",'[1]Game Input'!$CI260,"")</f>
        <v>0</v>
      </c>
      <c r="AC260" s="9">
        <f>IF('[1]Game Input'!$CJ260&lt;&gt;"",'[1]Game Input'!$CJ260,"")</f>
        <v>0</v>
      </c>
      <c r="AD260" s="9">
        <f>IF('[1]Game Input'!$CK260&lt;&gt;"",'[1]Game Input'!$CK260,"")</f>
        <v>0</v>
      </c>
      <c r="AE260" s="8"/>
      <c r="AF260" s="8"/>
      <c r="AG260" s="8"/>
      <c r="AH260" s="8"/>
    </row>
    <row r="261" spans="1:34" x14ac:dyDescent="0.2">
      <c r="A261" s="6">
        <f>IF('[1]Game Input'!$A261&lt;&gt;"",'[1]Game Input'!$A261,"")</f>
        <v>43476</v>
      </c>
      <c r="B261" s="6" t="str">
        <f>IF(A261&gt;$B$1,VLOOKUP(MONTH($A261),DOTWMonth,2,FALSE),"")</f>
        <v>January</v>
      </c>
      <c r="C261" s="10" t="str">
        <f>IF(A261&gt;$B$1,VLOOKUP(WEEKDAY($A261),DOTWMonth,3,FALSE),"")</f>
        <v>Friday</v>
      </c>
      <c r="D261" s="7">
        <f>IF('[1]Game Input'!$B261&lt;&gt;"",'[1]Game Input'!$B261,"")</f>
        <v>0.83680555555555547</v>
      </c>
      <c r="E261" s="7">
        <f>IF('[1]Game Input'!$C261&lt;&gt;"",'[1]Game Input'!$C261,"")</f>
        <v>0.79513888888888884</v>
      </c>
      <c r="F261" s="8" t="str">
        <f>IF('[1]Game Input'!$D261&lt;&gt;"",'[1]Game Input'!$D261,"")</f>
        <v>Standard</v>
      </c>
      <c r="G261" s="8" t="str">
        <f>IF('[1]Game Input'!$G261&lt;&gt;"",'[1]Game Input'!$G261,"")</f>
        <v>DM @ LIN</v>
      </c>
      <c r="H261" s="8" t="str">
        <f>IF('[1]Game Input'!$H261&lt;&gt;"",'[1]Game Input'!$H261,"")</f>
        <v>Vs. Conference</v>
      </c>
      <c r="I261" s="8" t="str">
        <f>IF('[1]Game Input'!$I261&lt;&gt;"",'[1]Game Input'!$I261,"")</f>
        <v>DES MOINES</v>
      </c>
      <c r="J261" s="9">
        <f>IF('[1]Game Input'!$AC261&lt;&gt;"",'[1]Game Input'!$AC261,"")</f>
        <v>24</v>
      </c>
      <c r="K261" s="9">
        <f>IF('[1]Game Input'!$AD261&lt;&gt;"",'[1]Game Input'!$AD261,"")</f>
        <v>8</v>
      </c>
      <c r="L261" s="9">
        <f>IF('[1]Game Input'!$AJ261&lt;&gt;"",'[1]Game Input'!$AJ261,"")</f>
        <v>0</v>
      </c>
      <c r="M261" s="9">
        <f>IF('[1]Game Input'!$AK261&lt;&gt;"",'[1]Game Input'!$AK261,"")</f>
        <v>0</v>
      </c>
      <c r="N261" s="9">
        <f>IF('[1]Game Input'!$AN261&lt;&gt;"",'[1]Game Input'!$AN261,"")</f>
        <v>7</v>
      </c>
      <c r="O261" s="9">
        <f>IF('[1]Game Input'!$AO261&lt;&gt;"",'[1]Game Input'!$AO261,"")</f>
        <v>0</v>
      </c>
      <c r="P261" s="9">
        <f>IF('[1]Game Input'!$AP261&lt;&gt;"",'[1]Game Input'!$AP261,"")</f>
        <v>1</v>
      </c>
      <c r="Q261" s="9">
        <f>IF('[1]Game Input'!$AQ261&lt;&gt;"",'[1]Game Input'!$AQ261,"")</f>
        <v>0</v>
      </c>
      <c r="R261" s="9">
        <f>IF('[1]Game Input'!$AR261&lt;&gt;"",'[1]Game Input'!$AR261,"")</f>
        <v>0</v>
      </c>
      <c r="S261" s="9">
        <f>IF('[1]Game Input'!$AS261&lt;&gt;"",'[1]Game Input'!$AS261,"")</f>
        <v>0</v>
      </c>
      <c r="T261" s="10" t="str">
        <f>IF('[1]Game Input'!$BA261&lt;&gt;"",'[1]Game Input'!$BA261,"")</f>
        <v>LINCOLN</v>
      </c>
      <c r="U261" s="9">
        <f>IF('[1]Game Input'!$BU261&lt;&gt;"",'[1]Game Input'!$BU261,"")</f>
        <v>22</v>
      </c>
      <c r="V261" s="9">
        <f>IF('[1]Game Input'!$BV261&lt;&gt;"",'[1]Game Input'!$BV261,"")</f>
        <v>7</v>
      </c>
      <c r="W261" s="9">
        <f>IF('[1]Game Input'!$CB261&lt;&gt;"",'[1]Game Input'!$CB261,"")</f>
        <v>0</v>
      </c>
      <c r="X261" s="9">
        <f>IF('[1]Game Input'!$CC261&lt;&gt;"",'[1]Game Input'!$CC261,"")</f>
        <v>0</v>
      </c>
      <c r="Y261" s="9">
        <f>IF('[1]Game Input'!$CF261&lt;&gt;"",'[1]Game Input'!$CF261,"")</f>
        <v>6</v>
      </c>
      <c r="Z261" s="9">
        <f>IF('[1]Game Input'!$CG261&lt;&gt;"",'[1]Game Input'!$CG261,"")</f>
        <v>0</v>
      </c>
      <c r="AA261" s="9">
        <f>IF('[1]Game Input'!$CH261&lt;&gt;"",'[1]Game Input'!$CH261,"")</f>
        <v>1</v>
      </c>
      <c r="AB261" s="9">
        <f>IF('[1]Game Input'!$CI261&lt;&gt;"",'[1]Game Input'!$CI261,"")</f>
        <v>0</v>
      </c>
      <c r="AC261" s="9">
        <f>IF('[1]Game Input'!$CJ261&lt;&gt;"",'[1]Game Input'!$CJ261,"")</f>
        <v>0</v>
      </c>
      <c r="AD261" s="9">
        <f>IF('[1]Game Input'!$CK261&lt;&gt;"",'[1]Game Input'!$CK261,"")</f>
        <v>0</v>
      </c>
      <c r="AE261" s="8" t="s">
        <v>94</v>
      </c>
      <c r="AF261" s="8"/>
      <c r="AG261" s="8" t="s">
        <v>128</v>
      </c>
      <c r="AH261" s="8" t="s">
        <v>114</v>
      </c>
    </row>
    <row r="262" spans="1:34" x14ac:dyDescent="0.2">
      <c r="A262" s="6">
        <f>IF('[1]Game Input'!$A262&lt;&gt;"",'[1]Game Input'!$A262,"")</f>
        <v>43476</v>
      </c>
      <c r="B262" s="6" t="str">
        <f>IF(A262&gt;$B$1,VLOOKUP(MONTH($A262),DOTWMonth,2,FALSE),"")</f>
        <v>January</v>
      </c>
      <c r="C262" s="10" t="str">
        <f>IF(A262&gt;$B$1,VLOOKUP(WEEKDAY($A262),DOTWMonth,3,FALSE),"")</f>
        <v>Friday</v>
      </c>
      <c r="D262" s="7">
        <f>IF('[1]Game Input'!$B262&lt;&gt;"",'[1]Game Input'!$B262,"")</f>
        <v>0.83680555555555547</v>
      </c>
      <c r="E262" s="7">
        <f>IF('[1]Game Input'!$C262&lt;&gt;"",'[1]Game Input'!$C262,"")</f>
        <v>0.79513888888888884</v>
      </c>
      <c r="F262" s="8" t="str">
        <f>IF('[1]Game Input'!$D262&lt;&gt;"",'[1]Game Input'!$D262,"")</f>
        <v>Standard</v>
      </c>
      <c r="G262" s="8" t="str">
        <f>IF('[1]Game Input'!$G262&lt;&gt;"",'[1]Game Input'!$G262,"")</f>
        <v>OMA @ SF</v>
      </c>
      <c r="H262" s="8" t="str">
        <f>IF('[1]Game Input'!$H262&lt;&gt;"",'[1]Game Input'!$H262,"")</f>
        <v>Vs. Conference</v>
      </c>
      <c r="I262" s="8" t="str">
        <f>IF('[1]Game Input'!$I262&lt;&gt;"",'[1]Game Input'!$I262,"")</f>
        <v>OMAHA</v>
      </c>
      <c r="J262" s="9">
        <f>IF('[1]Game Input'!$AC262&lt;&gt;"",'[1]Game Input'!$AC262,"")</f>
        <v>6</v>
      </c>
      <c r="K262" s="9">
        <f>IF('[1]Game Input'!$AD262&lt;&gt;"",'[1]Game Input'!$AD262,"")</f>
        <v>3</v>
      </c>
      <c r="L262" s="9">
        <f>IF('[1]Game Input'!$AJ262&lt;&gt;"",'[1]Game Input'!$AJ262,"")</f>
        <v>0</v>
      </c>
      <c r="M262" s="9">
        <f>IF('[1]Game Input'!$AK262&lt;&gt;"",'[1]Game Input'!$AK262,"")</f>
        <v>0</v>
      </c>
      <c r="N262" s="9">
        <f>IF('[1]Game Input'!$AN262&lt;&gt;"",'[1]Game Input'!$AN262,"")</f>
        <v>3</v>
      </c>
      <c r="O262" s="9">
        <f>IF('[1]Game Input'!$AO262&lt;&gt;"",'[1]Game Input'!$AO262,"")</f>
        <v>0</v>
      </c>
      <c r="P262" s="9">
        <f>IF('[1]Game Input'!$AP262&lt;&gt;"",'[1]Game Input'!$AP262,"")</f>
        <v>0</v>
      </c>
      <c r="Q262" s="9">
        <f>IF('[1]Game Input'!$AQ262&lt;&gt;"",'[1]Game Input'!$AQ262,"")</f>
        <v>0</v>
      </c>
      <c r="R262" s="9">
        <f>IF('[1]Game Input'!$AR262&lt;&gt;"",'[1]Game Input'!$AR262,"")</f>
        <v>0</v>
      </c>
      <c r="S262" s="9">
        <f>IF('[1]Game Input'!$AS262&lt;&gt;"",'[1]Game Input'!$AS262,"")</f>
        <v>0</v>
      </c>
      <c r="T262" s="10" t="str">
        <f>IF('[1]Game Input'!$BA262&lt;&gt;"",'[1]Game Input'!$BA262,"")</f>
        <v>SIOUX FALLS</v>
      </c>
      <c r="U262" s="9">
        <f>IF('[1]Game Input'!$BU262&lt;&gt;"",'[1]Game Input'!$BU262,"")</f>
        <v>2</v>
      </c>
      <c r="V262" s="9">
        <f>IF('[1]Game Input'!$BV262&lt;&gt;"",'[1]Game Input'!$BV262,"")</f>
        <v>1</v>
      </c>
      <c r="W262" s="9">
        <f>IF('[1]Game Input'!$CB262&lt;&gt;"",'[1]Game Input'!$CB262,"")</f>
        <v>0</v>
      </c>
      <c r="X262" s="9">
        <f>IF('[1]Game Input'!$CC262&lt;&gt;"",'[1]Game Input'!$CC262,"")</f>
        <v>0</v>
      </c>
      <c r="Y262" s="9">
        <f>IF('[1]Game Input'!$CF262&lt;&gt;"",'[1]Game Input'!$CF262,"")</f>
        <v>1</v>
      </c>
      <c r="Z262" s="9">
        <f>IF('[1]Game Input'!$CG262&lt;&gt;"",'[1]Game Input'!$CG262,"")</f>
        <v>0</v>
      </c>
      <c r="AA262" s="9">
        <f>IF('[1]Game Input'!$CH262&lt;&gt;"",'[1]Game Input'!$CH262,"")</f>
        <v>0</v>
      </c>
      <c r="AB262" s="9">
        <f>IF('[1]Game Input'!$CI262&lt;&gt;"",'[1]Game Input'!$CI262,"")</f>
        <v>0</v>
      </c>
      <c r="AC262" s="9">
        <f>IF('[1]Game Input'!$CJ262&lt;&gt;"",'[1]Game Input'!$CJ262,"")</f>
        <v>0</v>
      </c>
      <c r="AD262" s="9">
        <f>IF('[1]Game Input'!$CK262&lt;&gt;"",'[1]Game Input'!$CK262,"")</f>
        <v>0</v>
      </c>
      <c r="AE262" s="8"/>
      <c r="AF262" s="8"/>
      <c r="AG262" s="8"/>
      <c r="AH262" s="8"/>
    </row>
    <row r="263" spans="1:34" x14ac:dyDescent="0.2">
      <c r="A263" s="6">
        <f>IF('[1]Game Input'!$A263&lt;&gt;"",'[1]Game Input'!$A263,"")</f>
        <v>43476</v>
      </c>
      <c r="B263" s="6" t="str">
        <f>IF(A263&gt;$B$1,VLOOKUP(MONTH($A263),DOTWMonth,2,FALSE),"")</f>
        <v>January</v>
      </c>
      <c r="C263" s="10" t="str">
        <f>IF(A263&gt;$B$1,VLOOKUP(WEEKDAY($A263),DOTWMonth,3,FALSE),"")</f>
        <v>Friday</v>
      </c>
      <c r="D263" s="7">
        <f>IF('[1]Game Input'!$B263&lt;&gt;"",'[1]Game Input'!$B263,"")</f>
        <v>0.83680555555555547</v>
      </c>
      <c r="E263" s="7">
        <f>IF('[1]Game Input'!$C263&lt;&gt;"",'[1]Game Input'!$C263,"")</f>
        <v>0.79513888888888884</v>
      </c>
      <c r="F263" s="8" t="str">
        <f>IF('[1]Game Input'!$D263&lt;&gt;"",'[1]Game Input'!$D263,"")</f>
        <v>Standard</v>
      </c>
      <c r="G263" s="8" t="str">
        <f>IF('[1]Game Input'!$G263&lt;&gt;"",'[1]Game Input'!$G263,"")</f>
        <v>WAT @ TC</v>
      </c>
      <c r="H263" s="8" t="str">
        <f>IF('[1]Game Input'!$H263&lt;&gt;"",'[1]Game Input'!$H263,"")</f>
        <v>Vs. Conference</v>
      </c>
      <c r="I263" s="8" t="str">
        <f>IF('[1]Game Input'!$I263&lt;&gt;"",'[1]Game Input'!$I263,"")</f>
        <v>WATERLOO</v>
      </c>
      <c r="J263" s="9">
        <f>IF('[1]Game Input'!$AC263&lt;&gt;"",'[1]Game Input'!$AC263,"")</f>
        <v>18</v>
      </c>
      <c r="K263" s="9">
        <f>IF('[1]Game Input'!$AD263&lt;&gt;"",'[1]Game Input'!$AD263,"")</f>
        <v>9</v>
      </c>
      <c r="L263" s="9">
        <f>IF('[1]Game Input'!$AJ263&lt;&gt;"",'[1]Game Input'!$AJ263,"")</f>
        <v>0</v>
      </c>
      <c r="M263" s="9">
        <f>IF('[1]Game Input'!$AK263&lt;&gt;"",'[1]Game Input'!$AK263,"")</f>
        <v>0</v>
      </c>
      <c r="N263" s="9">
        <f>IF('[1]Game Input'!$AN263&lt;&gt;"",'[1]Game Input'!$AN263,"")</f>
        <v>9</v>
      </c>
      <c r="O263" s="9">
        <f>IF('[1]Game Input'!$AO263&lt;&gt;"",'[1]Game Input'!$AO263,"")</f>
        <v>0</v>
      </c>
      <c r="P263" s="9">
        <f>IF('[1]Game Input'!$AP263&lt;&gt;"",'[1]Game Input'!$AP263,"")</f>
        <v>0</v>
      </c>
      <c r="Q263" s="9">
        <f>IF('[1]Game Input'!$AQ263&lt;&gt;"",'[1]Game Input'!$AQ263,"")</f>
        <v>0</v>
      </c>
      <c r="R263" s="9">
        <f>IF('[1]Game Input'!$AR263&lt;&gt;"",'[1]Game Input'!$AR263,"")</f>
        <v>0</v>
      </c>
      <c r="S263" s="9">
        <f>IF('[1]Game Input'!$AS263&lt;&gt;"",'[1]Game Input'!$AS263,"")</f>
        <v>0</v>
      </c>
      <c r="T263" s="10" t="str">
        <f>IF('[1]Game Input'!$BA263&lt;&gt;"",'[1]Game Input'!$BA263,"")</f>
        <v>TRI-CITY</v>
      </c>
      <c r="U263" s="9">
        <f>IF('[1]Game Input'!$BU263&lt;&gt;"",'[1]Game Input'!$BU263,"")</f>
        <v>14</v>
      </c>
      <c r="V263" s="9">
        <f>IF('[1]Game Input'!$BV263&lt;&gt;"",'[1]Game Input'!$BV263,"")</f>
        <v>7</v>
      </c>
      <c r="W263" s="9">
        <f>IF('[1]Game Input'!$CB263&lt;&gt;"",'[1]Game Input'!$CB263,"")</f>
        <v>0</v>
      </c>
      <c r="X263" s="9">
        <f>IF('[1]Game Input'!$CC263&lt;&gt;"",'[1]Game Input'!$CC263,"")</f>
        <v>0</v>
      </c>
      <c r="Y263" s="9">
        <f>IF('[1]Game Input'!$CF263&lt;&gt;"",'[1]Game Input'!$CF263,"")</f>
        <v>7</v>
      </c>
      <c r="Z263" s="9">
        <f>IF('[1]Game Input'!$CG263&lt;&gt;"",'[1]Game Input'!$CG263,"")</f>
        <v>0</v>
      </c>
      <c r="AA263" s="9">
        <f>IF('[1]Game Input'!$CH263&lt;&gt;"",'[1]Game Input'!$CH263,"")</f>
        <v>0</v>
      </c>
      <c r="AB263" s="9">
        <f>IF('[1]Game Input'!$CI263&lt;&gt;"",'[1]Game Input'!$CI263,"")</f>
        <v>0</v>
      </c>
      <c r="AC263" s="9">
        <f>IF('[1]Game Input'!$CJ263&lt;&gt;"",'[1]Game Input'!$CJ263,"")</f>
        <v>0</v>
      </c>
      <c r="AD263" s="9">
        <f>IF('[1]Game Input'!$CK263&lt;&gt;"",'[1]Game Input'!$CK263,"")</f>
        <v>0</v>
      </c>
      <c r="AE263" s="8"/>
      <c r="AF263" s="8"/>
      <c r="AG263" s="8"/>
      <c r="AH263" s="8"/>
    </row>
    <row r="264" spans="1:34" x14ac:dyDescent="0.2">
      <c r="A264" s="6">
        <f>IF('[1]Game Input'!$A264&lt;&gt;"",'[1]Game Input'!$A264,"")</f>
        <v>43477</v>
      </c>
      <c r="B264" s="6" t="str">
        <f>IF(A264&gt;$B$1,VLOOKUP(MONTH($A264),DOTWMonth,2,FALSE),"")</f>
        <v>January</v>
      </c>
      <c r="C264" s="10" t="str">
        <f>IF(A264&gt;$B$1,VLOOKUP(WEEKDAY($A264),DOTWMonth,3,FALSE),"")</f>
        <v>Saturday</v>
      </c>
      <c r="D264" s="7">
        <f>IF('[1]Game Input'!$B264&lt;&gt;"",'[1]Game Input'!$B264,"")</f>
        <v>0.79166666666666663</v>
      </c>
      <c r="E264" s="7">
        <f>IF('[1]Game Input'!$C264&lt;&gt;"",'[1]Game Input'!$C264,"")</f>
        <v>0.75</v>
      </c>
      <c r="F264" s="8" t="str">
        <f>IF('[1]Game Input'!$D264&lt;&gt;"",'[1]Game Input'!$D264,"")</f>
        <v>Standard</v>
      </c>
      <c r="G264" s="8" t="str">
        <f>IF('[1]Game Input'!$G264&lt;&gt;"",'[1]Game Input'!$G264,"")</f>
        <v>CIL @ USA</v>
      </c>
      <c r="H264" s="8" t="str">
        <f>IF('[1]Game Input'!$H264&lt;&gt;"",'[1]Game Input'!$H264,"")</f>
        <v>Vs. Conference</v>
      </c>
      <c r="I264" s="8" t="str">
        <f>IF('[1]Game Input'!$I264&lt;&gt;"",'[1]Game Input'!$I264,"")</f>
        <v>CENTRAL ILLINOIS</v>
      </c>
      <c r="J264" s="9">
        <f>IF('[1]Game Input'!$AC264&lt;&gt;"",'[1]Game Input'!$AC264,"")</f>
        <v>12</v>
      </c>
      <c r="K264" s="9">
        <f>IF('[1]Game Input'!$AD264&lt;&gt;"",'[1]Game Input'!$AD264,"")</f>
        <v>6</v>
      </c>
      <c r="L264" s="9">
        <f>IF('[1]Game Input'!$AJ264&lt;&gt;"",'[1]Game Input'!$AJ264,"")</f>
        <v>0</v>
      </c>
      <c r="M264" s="9">
        <f>IF('[1]Game Input'!$AK264&lt;&gt;"",'[1]Game Input'!$AK264,"")</f>
        <v>0</v>
      </c>
      <c r="N264" s="9">
        <f>IF('[1]Game Input'!$AN264&lt;&gt;"",'[1]Game Input'!$AN264,"")</f>
        <v>6</v>
      </c>
      <c r="O264" s="9">
        <f>IF('[1]Game Input'!$AO264&lt;&gt;"",'[1]Game Input'!$AO264,"")</f>
        <v>0</v>
      </c>
      <c r="P264" s="9">
        <f>IF('[1]Game Input'!$AP264&lt;&gt;"",'[1]Game Input'!$AP264,"")</f>
        <v>0</v>
      </c>
      <c r="Q264" s="9">
        <f>IF('[1]Game Input'!$AQ264&lt;&gt;"",'[1]Game Input'!$AQ264,"")</f>
        <v>0</v>
      </c>
      <c r="R264" s="9">
        <f>IF('[1]Game Input'!$AR264&lt;&gt;"",'[1]Game Input'!$AR264,"")</f>
        <v>0</v>
      </c>
      <c r="S264" s="9">
        <f>IF('[1]Game Input'!$AS264&lt;&gt;"",'[1]Game Input'!$AS264,"")</f>
        <v>0</v>
      </c>
      <c r="T264" s="10" t="str">
        <f>IF('[1]Game Input'!$BA264&lt;&gt;"",'[1]Game Input'!$BA264,"")</f>
        <v>TEAM USA</v>
      </c>
      <c r="U264" s="9">
        <f>IF('[1]Game Input'!$BU264&lt;&gt;"",'[1]Game Input'!$BU264,"")</f>
        <v>6</v>
      </c>
      <c r="V264" s="9">
        <f>IF('[1]Game Input'!$BV264&lt;&gt;"",'[1]Game Input'!$BV264,"")</f>
        <v>3</v>
      </c>
      <c r="W264" s="9">
        <f>IF('[1]Game Input'!$CB264&lt;&gt;"",'[1]Game Input'!$CB264,"")</f>
        <v>0</v>
      </c>
      <c r="X264" s="9">
        <f>IF('[1]Game Input'!$CC264&lt;&gt;"",'[1]Game Input'!$CC264,"")</f>
        <v>0</v>
      </c>
      <c r="Y264" s="9">
        <f>IF('[1]Game Input'!$CF264&lt;&gt;"",'[1]Game Input'!$CF264,"")</f>
        <v>3</v>
      </c>
      <c r="Z264" s="9">
        <f>IF('[1]Game Input'!$CG264&lt;&gt;"",'[1]Game Input'!$CG264,"")</f>
        <v>0</v>
      </c>
      <c r="AA264" s="9">
        <f>IF('[1]Game Input'!$CH264&lt;&gt;"",'[1]Game Input'!$CH264,"")</f>
        <v>0</v>
      </c>
      <c r="AB264" s="9">
        <f>IF('[1]Game Input'!$CI264&lt;&gt;"",'[1]Game Input'!$CI264,"")</f>
        <v>0</v>
      </c>
      <c r="AC264" s="9">
        <f>IF('[1]Game Input'!$CJ264&lt;&gt;"",'[1]Game Input'!$CJ264,"")</f>
        <v>0</v>
      </c>
      <c r="AD264" s="9">
        <f>IF('[1]Game Input'!$CK264&lt;&gt;"",'[1]Game Input'!$CK264,"")</f>
        <v>0</v>
      </c>
      <c r="AE264" s="8" t="s">
        <v>98</v>
      </c>
      <c r="AF264" s="8"/>
      <c r="AG264" s="8" t="s">
        <v>110</v>
      </c>
      <c r="AH264" s="8" t="s">
        <v>143</v>
      </c>
    </row>
    <row r="265" spans="1:34" x14ac:dyDescent="0.2">
      <c r="A265" s="6">
        <f>IF('[1]Game Input'!$A265&lt;&gt;"",'[1]Game Input'!$A265,"")</f>
        <v>43477</v>
      </c>
      <c r="B265" s="6" t="str">
        <f>IF(A265&gt;$B$1,VLOOKUP(MONTH($A265),DOTWMonth,2,FALSE),"")</f>
        <v>January</v>
      </c>
      <c r="C265" s="10" t="str">
        <f>IF(A265&gt;$B$1,VLOOKUP(WEEKDAY($A265),DOTWMonth,3,FALSE),"")</f>
        <v>Saturday</v>
      </c>
      <c r="D265" s="7">
        <f>IF('[1]Game Input'!$B265&lt;&gt;"",'[1]Game Input'!$B265,"")</f>
        <v>0.80208333333333337</v>
      </c>
      <c r="E265" s="7">
        <f>IF('[1]Game Input'!$C265&lt;&gt;"",'[1]Game Input'!$C265,"")</f>
        <v>0.76041666666666674</v>
      </c>
      <c r="F265" s="8" t="str">
        <f>IF('[1]Game Input'!$D265&lt;&gt;"",'[1]Game Input'!$D265,"")</f>
        <v>Standard</v>
      </c>
      <c r="G265" s="8" t="str">
        <f>IF('[1]Game Input'!$G265&lt;&gt;"",'[1]Game Input'!$G265,"")</f>
        <v>YNG @ MUS</v>
      </c>
      <c r="H265" s="8" t="str">
        <f>IF('[1]Game Input'!$H265&lt;&gt;"",'[1]Game Input'!$H265,"")</f>
        <v>Vs. Conference</v>
      </c>
      <c r="I265" s="8" t="str">
        <f>IF('[1]Game Input'!$I265&lt;&gt;"",'[1]Game Input'!$I265,"")</f>
        <v>YOUNGSTOWN</v>
      </c>
      <c r="J265" s="9">
        <f>IF('[1]Game Input'!$AC265&lt;&gt;"",'[1]Game Input'!$AC265,"")</f>
        <v>6</v>
      </c>
      <c r="K265" s="9">
        <f>IF('[1]Game Input'!$AD265&lt;&gt;"",'[1]Game Input'!$AD265,"")</f>
        <v>3</v>
      </c>
      <c r="L265" s="9">
        <f>IF('[1]Game Input'!$AJ265&lt;&gt;"",'[1]Game Input'!$AJ265,"")</f>
        <v>0</v>
      </c>
      <c r="M265" s="9">
        <f>IF('[1]Game Input'!$AK265&lt;&gt;"",'[1]Game Input'!$AK265,"")</f>
        <v>0</v>
      </c>
      <c r="N265" s="9">
        <f>IF('[1]Game Input'!$AN265&lt;&gt;"",'[1]Game Input'!$AN265,"")</f>
        <v>3</v>
      </c>
      <c r="O265" s="9">
        <f>IF('[1]Game Input'!$AO265&lt;&gt;"",'[1]Game Input'!$AO265,"")</f>
        <v>0</v>
      </c>
      <c r="P265" s="9">
        <f>IF('[1]Game Input'!$AP265&lt;&gt;"",'[1]Game Input'!$AP265,"")</f>
        <v>0</v>
      </c>
      <c r="Q265" s="9">
        <f>IF('[1]Game Input'!$AQ265&lt;&gt;"",'[1]Game Input'!$AQ265,"")</f>
        <v>0</v>
      </c>
      <c r="R265" s="9">
        <f>IF('[1]Game Input'!$AR265&lt;&gt;"",'[1]Game Input'!$AR265,"")</f>
        <v>0</v>
      </c>
      <c r="S265" s="9">
        <f>IF('[1]Game Input'!$AS265&lt;&gt;"",'[1]Game Input'!$AS265,"")</f>
        <v>0</v>
      </c>
      <c r="T265" s="10" t="str">
        <f>IF('[1]Game Input'!$BA265&lt;&gt;"",'[1]Game Input'!$BA265,"")</f>
        <v>MUSKEGON</v>
      </c>
      <c r="U265" s="9">
        <f>IF('[1]Game Input'!$BU265&lt;&gt;"",'[1]Game Input'!$BU265,"")</f>
        <v>32</v>
      </c>
      <c r="V265" s="9">
        <f>IF('[1]Game Input'!$BV265&lt;&gt;"",'[1]Game Input'!$BV265,"")</f>
        <v>8</v>
      </c>
      <c r="W265" s="9">
        <f>IF('[1]Game Input'!$CB265&lt;&gt;"",'[1]Game Input'!$CB265,"")</f>
        <v>0</v>
      </c>
      <c r="X265" s="9">
        <f>IF('[1]Game Input'!$CC265&lt;&gt;"",'[1]Game Input'!$CC265,"")</f>
        <v>0</v>
      </c>
      <c r="Y265" s="9">
        <f>IF('[1]Game Input'!$CF265&lt;&gt;"",'[1]Game Input'!$CF265,"")</f>
        <v>6</v>
      </c>
      <c r="Z265" s="9">
        <f>IF('[1]Game Input'!$CG265&lt;&gt;"",'[1]Game Input'!$CG265,"")</f>
        <v>0</v>
      </c>
      <c r="AA265" s="9">
        <f>IF('[1]Game Input'!$CH265&lt;&gt;"",'[1]Game Input'!$CH265,"")</f>
        <v>2</v>
      </c>
      <c r="AB265" s="9">
        <f>IF('[1]Game Input'!$CI265&lt;&gt;"",'[1]Game Input'!$CI265,"")</f>
        <v>0</v>
      </c>
      <c r="AC265" s="9">
        <f>IF('[1]Game Input'!$CJ265&lt;&gt;"",'[1]Game Input'!$CJ265,"")</f>
        <v>0</v>
      </c>
      <c r="AD265" s="9">
        <f>IF('[1]Game Input'!$CK265&lt;&gt;"",'[1]Game Input'!$CK265,"")</f>
        <v>0</v>
      </c>
      <c r="AE265" s="8"/>
      <c r="AF265" s="8"/>
      <c r="AG265" s="8"/>
      <c r="AH265" s="8"/>
    </row>
    <row r="266" spans="1:34" x14ac:dyDescent="0.2">
      <c r="A266" s="6">
        <f>IF('[1]Game Input'!$A266&lt;&gt;"",'[1]Game Input'!$A266,"")</f>
        <v>43477</v>
      </c>
      <c r="B266" s="6" t="str">
        <f>IF(A266&gt;$B$1,VLOOKUP(MONTH($A266),DOTWMonth,2,FALSE),"")</f>
        <v>January</v>
      </c>
      <c r="C266" s="10" t="str">
        <f>IF(A266&gt;$B$1,VLOOKUP(WEEKDAY($A266),DOTWMonth,3,FALSE),"")</f>
        <v>Saturday</v>
      </c>
      <c r="D266" s="7">
        <f>IF('[1]Game Input'!$B266&lt;&gt;"",'[1]Game Input'!$B266,"")</f>
        <v>0.83680555555555547</v>
      </c>
      <c r="E266" s="7">
        <f>IF('[1]Game Input'!$C266&lt;&gt;"",'[1]Game Input'!$C266,"")</f>
        <v>0.79513888888888884</v>
      </c>
      <c r="F266" s="8" t="str">
        <f>IF('[1]Game Input'!$D266&lt;&gt;"",'[1]Game Input'!$D266,"")</f>
        <v>Standard</v>
      </c>
      <c r="G266" s="8" t="str">
        <f>IF('[1]Game Input'!$G266&lt;&gt;"",'[1]Game Input'!$G266,"")</f>
        <v>MAD @ CR</v>
      </c>
      <c r="H266" s="8" t="str">
        <f>IF('[1]Game Input'!$H266&lt;&gt;"",'[1]Game Input'!$H266,"")</f>
        <v>Vs. Conference</v>
      </c>
      <c r="I266" s="8" t="str">
        <f>IF('[1]Game Input'!$I266&lt;&gt;"",'[1]Game Input'!$I266,"")</f>
        <v>MADISON</v>
      </c>
      <c r="J266" s="9">
        <f>IF('[1]Game Input'!$AC266&lt;&gt;"",'[1]Game Input'!$AC266,"")</f>
        <v>12</v>
      </c>
      <c r="K266" s="9">
        <f>IF('[1]Game Input'!$AD266&lt;&gt;"",'[1]Game Input'!$AD266,"")</f>
        <v>6</v>
      </c>
      <c r="L266" s="9">
        <f>IF('[1]Game Input'!$AJ266&lt;&gt;"",'[1]Game Input'!$AJ266,"")</f>
        <v>0</v>
      </c>
      <c r="M266" s="9">
        <f>IF('[1]Game Input'!$AK266&lt;&gt;"",'[1]Game Input'!$AK266,"")</f>
        <v>0</v>
      </c>
      <c r="N266" s="9">
        <f>IF('[1]Game Input'!$AN266&lt;&gt;"",'[1]Game Input'!$AN266,"")</f>
        <v>6</v>
      </c>
      <c r="O266" s="9">
        <f>IF('[1]Game Input'!$AO266&lt;&gt;"",'[1]Game Input'!$AO266,"")</f>
        <v>0</v>
      </c>
      <c r="P266" s="9">
        <f>IF('[1]Game Input'!$AP266&lt;&gt;"",'[1]Game Input'!$AP266,"")</f>
        <v>0</v>
      </c>
      <c r="Q266" s="9">
        <f>IF('[1]Game Input'!$AQ266&lt;&gt;"",'[1]Game Input'!$AQ266,"")</f>
        <v>0</v>
      </c>
      <c r="R266" s="9">
        <f>IF('[1]Game Input'!$AR266&lt;&gt;"",'[1]Game Input'!$AR266,"")</f>
        <v>0</v>
      </c>
      <c r="S266" s="9">
        <f>IF('[1]Game Input'!$AS266&lt;&gt;"",'[1]Game Input'!$AS266,"")</f>
        <v>0</v>
      </c>
      <c r="T266" s="10" t="str">
        <f>IF('[1]Game Input'!$BA266&lt;&gt;"",'[1]Game Input'!$BA266,"")</f>
        <v>CEDAR RAPIDS</v>
      </c>
      <c r="U266" s="9">
        <f>IF('[1]Game Input'!$BU266&lt;&gt;"",'[1]Game Input'!$BU266,"")</f>
        <v>8</v>
      </c>
      <c r="V266" s="9">
        <f>IF('[1]Game Input'!$BV266&lt;&gt;"",'[1]Game Input'!$BV266,"")</f>
        <v>4</v>
      </c>
      <c r="W266" s="9">
        <f>IF('[1]Game Input'!$CB266&lt;&gt;"",'[1]Game Input'!$CB266,"")</f>
        <v>0</v>
      </c>
      <c r="X266" s="9">
        <f>IF('[1]Game Input'!$CC266&lt;&gt;"",'[1]Game Input'!$CC266,"")</f>
        <v>0</v>
      </c>
      <c r="Y266" s="9">
        <f>IF('[1]Game Input'!$CF266&lt;&gt;"",'[1]Game Input'!$CF266,"")</f>
        <v>4</v>
      </c>
      <c r="Z266" s="9">
        <f>IF('[1]Game Input'!$CG266&lt;&gt;"",'[1]Game Input'!$CG266,"")</f>
        <v>0</v>
      </c>
      <c r="AA266" s="9">
        <f>IF('[1]Game Input'!$CH266&lt;&gt;"",'[1]Game Input'!$CH266,"")</f>
        <v>0</v>
      </c>
      <c r="AB266" s="9">
        <f>IF('[1]Game Input'!$CI266&lt;&gt;"",'[1]Game Input'!$CI266,"")</f>
        <v>0</v>
      </c>
      <c r="AC266" s="9">
        <f>IF('[1]Game Input'!$CJ266&lt;&gt;"",'[1]Game Input'!$CJ266,"")</f>
        <v>0</v>
      </c>
      <c r="AD266" s="9">
        <f>IF('[1]Game Input'!$CK266&lt;&gt;"",'[1]Game Input'!$CK266,"")</f>
        <v>0</v>
      </c>
      <c r="AE266" s="8" t="s">
        <v>103</v>
      </c>
      <c r="AF266" s="8"/>
      <c r="AG266" s="8" t="s">
        <v>120</v>
      </c>
      <c r="AH266" s="8" t="s">
        <v>150</v>
      </c>
    </row>
    <row r="267" spans="1:34" x14ac:dyDescent="0.2">
      <c r="A267" s="6">
        <f>IF('[1]Game Input'!$A267&lt;&gt;"",'[1]Game Input'!$A267,"")</f>
        <v>43477</v>
      </c>
      <c r="B267" s="6" t="str">
        <f>IF(A267&gt;$B$1,VLOOKUP(MONTH($A267),DOTWMonth,2,FALSE),"")</f>
        <v>January</v>
      </c>
      <c r="C267" s="10" t="str">
        <f>IF(A267&gt;$B$1,VLOOKUP(WEEKDAY($A267),DOTWMonth,3,FALSE),"")</f>
        <v>Saturday</v>
      </c>
      <c r="D267" s="7">
        <f>IF('[1]Game Input'!$B267&lt;&gt;"",'[1]Game Input'!$B267,"")</f>
        <v>0.83680555555555547</v>
      </c>
      <c r="E267" s="7">
        <f>IF('[1]Game Input'!$C267&lt;&gt;"",'[1]Game Input'!$C267,"")</f>
        <v>0.79513888888888884</v>
      </c>
      <c r="F267" s="8" t="str">
        <f>IF('[1]Game Input'!$D267&lt;&gt;"",'[1]Game Input'!$D267,"")</f>
        <v>Standard</v>
      </c>
      <c r="G267" s="8" t="str">
        <f>IF('[1]Game Input'!$G267&lt;&gt;"",'[1]Game Input'!$G267,"")</f>
        <v>GB @ CHI</v>
      </c>
      <c r="H267" s="8" t="str">
        <f>IF('[1]Game Input'!$H267&lt;&gt;"",'[1]Game Input'!$H267,"")</f>
        <v>Vs. Conference</v>
      </c>
      <c r="I267" s="8" t="str">
        <f>IF('[1]Game Input'!$I267&lt;&gt;"",'[1]Game Input'!$I267,"")</f>
        <v>GREEN BAY</v>
      </c>
      <c r="J267" s="9">
        <f>IF('[1]Game Input'!$AC267&lt;&gt;"",'[1]Game Input'!$AC267,"")</f>
        <v>20</v>
      </c>
      <c r="K267" s="9">
        <f>IF('[1]Game Input'!$AD267&lt;&gt;"",'[1]Game Input'!$AD267,"")</f>
        <v>6</v>
      </c>
      <c r="L267" s="9">
        <f>IF('[1]Game Input'!$AJ267&lt;&gt;"",'[1]Game Input'!$AJ267,"")</f>
        <v>0</v>
      </c>
      <c r="M267" s="9">
        <f>IF('[1]Game Input'!$AK267&lt;&gt;"",'[1]Game Input'!$AK267,"")</f>
        <v>0</v>
      </c>
      <c r="N267" s="9">
        <f>IF('[1]Game Input'!$AN267&lt;&gt;"",'[1]Game Input'!$AN267,"")</f>
        <v>5</v>
      </c>
      <c r="O267" s="9">
        <f>IF('[1]Game Input'!$AO267&lt;&gt;"",'[1]Game Input'!$AO267,"")</f>
        <v>0</v>
      </c>
      <c r="P267" s="9">
        <f>IF('[1]Game Input'!$AP267&lt;&gt;"",'[1]Game Input'!$AP267,"")</f>
        <v>1</v>
      </c>
      <c r="Q267" s="9">
        <f>IF('[1]Game Input'!$AQ267&lt;&gt;"",'[1]Game Input'!$AQ267,"")</f>
        <v>0</v>
      </c>
      <c r="R267" s="9">
        <f>IF('[1]Game Input'!$AR267&lt;&gt;"",'[1]Game Input'!$AR267,"")</f>
        <v>0</v>
      </c>
      <c r="S267" s="9">
        <f>IF('[1]Game Input'!$AS267&lt;&gt;"",'[1]Game Input'!$AS267,"")</f>
        <v>0</v>
      </c>
      <c r="T267" s="10" t="str">
        <f>IF('[1]Game Input'!$BA267&lt;&gt;"",'[1]Game Input'!$BA267,"")</f>
        <v>CHICAGO</v>
      </c>
      <c r="U267" s="9">
        <f>IF('[1]Game Input'!$BU267&lt;&gt;"",'[1]Game Input'!$BU267,"")</f>
        <v>10</v>
      </c>
      <c r="V267" s="9">
        <f>IF('[1]Game Input'!$BV267&lt;&gt;"",'[1]Game Input'!$BV267,"")</f>
        <v>5</v>
      </c>
      <c r="W267" s="9">
        <f>IF('[1]Game Input'!$CB267&lt;&gt;"",'[1]Game Input'!$CB267,"")</f>
        <v>0</v>
      </c>
      <c r="X267" s="9">
        <f>IF('[1]Game Input'!$CC267&lt;&gt;"",'[1]Game Input'!$CC267,"")</f>
        <v>0</v>
      </c>
      <c r="Y267" s="9">
        <f>IF('[1]Game Input'!$CF267&lt;&gt;"",'[1]Game Input'!$CF267,"")</f>
        <v>5</v>
      </c>
      <c r="Z267" s="9">
        <f>IF('[1]Game Input'!$CG267&lt;&gt;"",'[1]Game Input'!$CG267,"")</f>
        <v>0</v>
      </c>
      <c r="AA267" s="9">
        <f>IF('[1]Game Input'!$CH267&lt;&gt;"",'[1]Game Input'!$CH267,"")</f>
        <v>0</v>
      </c>
      <c r="AB267" s="9">
        <f>IF('[1]Game Input'!$CI267&lt;&gt;"",'[1]Game Input'!$CI267,"")</f>
        <v>0</v>
      </c>
      <c r="AC267" s="9">
        <f>IF('[1]Game Input'!$CJ267&lt;&gt;"",'[1]Game Input'!$CJ267,"")</f>
        <v>0</v>
      </c>
      <c r="AD267" s="9">
        <f>IF('[1]Game Input'!$CK267&lt;&gt;"",'[1]Game Input'!$CK267,"")</f>
        <v>0</v>
      </c>
      <c r="AE267" s="8"/>
      <c r="AF267" s="8"/>
      <c r="AG267" s="8"/>
      <c r="AH267" s="8"/>
    </row>
    <row r="268" spans="1:34" x14ac:dyDescent="0.2">
      <c r="A268" s="6">
        <f>IF('[1]Game Input'!$A268&lt;&gt;"",'[1]Game Input'!$A268,"")</f>
        <v>43477</v>
      </c>
      <c r="B268" s="6" t="str">
        <f>IF(A268&gt;$B$1,VLOOKUP(MONTH($A268),DOTWMonth,2,FALSE),"")</f>
        <v>January</v>
      </c>
      <c r="C268" s="10" t="str">
        <f>IF(A268&gt;$B$1,VLOOKUP(WEEKDAY($A268),DOTWMonth,3,FALSE),"")</f>
        <v>Saturday</v>
      </c>
      <c r="D268" s="7">
        <f>IF('[1]Game Input'!$B268&lt;&gt;"",'[1]Game Input'!$B268,"")</f>
        <v>0.83680555555555547</v>
      </c>
      <c r="E268" s="7">
        <f>IF('[1]Game Input'!$C268&lt;&gt;"",'[1]Game Input'!$C268,"")</f>
        <v>0.79513888888888884</v>
      </c>
      <c r="F268" s="8" t="str">
        <f>IF('[1]Game Input'!$D268&lt;&gt;"",'[1]Game Input'!$D268,"")</f>
        <v>Standard</v>
      </c>
      <c r="G268" s="8" t="str">
        <f>IF('[1]Game Input'!$G268&lt;&gt;"",'[1]Game Input'!$G268,"")</f>
        <v>OMA @ DM</v>
      </c>
      <c r="H268" s="8" t="str">
        <f>IF('[1]Game Input'!$H268&lt;&gt;"",'[1]Game Input'!$H268,"")</f>
        <v>Vs. Conference</v>
      </c>
      <c r="I268" s="8" t="str">
        <f>IF('[1]Game Input'!$I268&lt;&gt;"",'[1]Game Input'!$I268,"")</f>
        <v>OMAHA</v>
      </c>
      <c r="J268" s="9">
        <f>IF('[1]Game Input'!$AC268&lt;&gt;"",'[1]Game Input'!$AC268,"")</f>
        <v>10</v>
      </c>
      <c r="K268" s="9">
        <f>IF('[1]Game Input'!$AD268&lt;&gt;"",'[1]Game Input'!$AD268,"")</f>
        <v>5</v>
      </c>
      <c r="L268" s="9">
        <f>IF('[1]Game Input'!$AJ268&lt;&gt;"",'[1]Game Input'!$AJ268,"")</f>
        <v>0</v>
      </c>
      <c r="M268" s="9">
        <f>IF('[1]Game Input'!$AK268&lt;&gt;"",'[1]Game Input'!$AK268,"")</f>
        <v>0</v>
      </c>
      <c r="N268" s="9">
        <f>IF('[1]Game Input'!$AN268&lt;&gt;"",'[1]Game Input'!$AN268,"")</f>
        <v>5</v>
      </c>
      <c r="O268" s="9">
        <f>IF('[1]Game Input'!$AO268&lt;&gt;"",'[1]Game Input'!$AO268,"")</f>
        <v>0</v>
      </c>
      <c r="P268" s="9">
        <f>IF('[1]Game Input'!$AP268&lt;&gt;"",'[1]Game Input'!$AP268,"")</f>
        <v>0</v>
      </c>
      <c r="Q268" s="9">
        <f>IF('[1]Game Input'!$AQ268&lt;&gt;"",'[1]Game Input'!$AQ268,"")</f>
        <v>0</v>
      </c>
      <c r="R268" s="9">
        <f>IF('[1]Game Input'!$AR268&lt;&gt;"",'[1]Game Input'!$AR268,"")</f>
        <v>0</v>
      </c>
      <c r="S268" s="9">
        <f>IF('[1]Game Input'!$AS268&lt;&gt;"",'[1]Game Input'!$AS268,"")</f>
        <v>0</v>
      </c>
      <c r="T268" s="10" t="str">
        <f>IF('[1]Game Input'!$BA268&lt;&gt;"",'[1]Game Input'!$BA268,"")</f>
        <v>DES MOINES</v>
      </c>
      <c r="U268" s="9">
        <f>IF('[1]Game Input'!$BU268&lt;&gt;"",'[1]Game Input'!$BU268,"")</f>
        <v>8</v>
      </c>
      <c r="V268" s="9">
        <f>IF('[1]Game Input'!$BV268&lt;&gt;"",'[1]Game Input'!$BV268,"")</f>
        <v>4</v>
      </c>
      <c r="W268" s="9">
        <f>IF('[1]Game Input'!$CB268&lt;&gt;"",'[1]Game Input'!$CB268,"")</f>
        <v>0</v>
      </c>
      <c r="X268" s="9">
        <f>IF('[1]Game Input'!$CC268&lt;&gt;"",'[1]Game Input'!$CC268,"")</f>
        <v>0</v>
      </c>
      <c r="Y268" s="9">
        <f>IF('[1]Game Input'!$CF268&lt;&gt;"",'[1]Game Input'!$CF268,"")</f>
        <v>4</v>
      </c>
      <c r="Z268" s="9">
        <f>IF('[1]Game Input'!$CG268&lt;&gt;"",'[1]Game Input'!$CG268,"")</f>
        <v>0</v>
      </c>
      <c r="AA268" s="9">
        <f>IF('[1]Game Input'!$CH268&lt;&gt;"",'[1]Game Input'!$CH268,"")</f>
        <v>0</v>
      </c>
      <c r="AB268" s="9">
        <f>IF('[1]Game Input'!$CI268&lt;&gt;"",'[1]Game Input'!$CI268,"")</f>
        <v>0</v>
      </c>
      <c r="AC268" s="9">
        <f>IF('[1]Game Input'!$CJ268&lt;&gt;"",'[1]Game Input'!$CJ268,"")</f>
        <v>0</v>
      </c>
      <c r="AD268" s="9">
        <f>IF('[1]Game Input'!$CK268&lt;&gt;"",'[1]Game Input'!$CK268,"")</f>
        <v>0</v>
      </c>
      <c r="AE268" s="8" t="s">
        <v>131</v>
      </c>
      <c r="AF268" s="8" t="s">
        <v>106</v>
      </c>
      <c r="AG268" s="8" t="s">
        <v>114</v>
      </c>
      <c r="AH268" s="8" t="s">
        <v>128</v>
      </c>
    </row>
    <row r="269" spans="1:34" x14ac:dyDescent="0.2">
      <c r="A269" s="6">
        <f>IF('[1]Game Input'!$A269&lt;&gt;"",'[1]Game Input'!$A269,"")</f>
        <v>43477</v>
      </c>
      <c r="B269" s="6" t="str">
        <f>IF(A269&gt;$B$1,VLOOKUP(MONTH($A269),DOTWMonth,2,FALSE),"")</f>
        <v>January</v>
      </c>
      <c r="C269" s="10" t="str">
        <f>IF(A269&gt;$B$1,VLOOKUP(WEEKDAY($A269),DOTWMonth,3,FALSE),"")</f>
        <v>Saturday</v>
      </c>
      <c r="D269" s="7">
        <f>IF('[1]Game Input'!$B269&lt;&gt;"",'[1]Game Input'!$B269,"")</f>
        <v>0.83680555555555547</v>
      </c>
      <c r="E269" s="7">
        <f>IF('[1]Game Input'!$C269&lt;&gt;"",'[1]Game Input'!$C269,"")</f>
        <v>0.79513888888888884</v>
      </c>
      <c r="F269" s="8" t="str">
        <f>IF('[1]Game Input'!$D269&lt;&gt;"",'[1]Game Input'!$D269,"")</f>
        <v>Standard</v>
      </c>
      <c r="G269" s="8" t="str">
        <f>IF('[1]Game Input'!$G269&lt;&gt;"",'[1]Game Input'!$G269,"")</f>
        <v>SC @ SF</v>
      </c>
      <c r="H269" s="8" t="str">
        <f>IF('[1]Game Input'!$H269&lt;&gt;"",'[1]Game Input'!$H269,"")</f>
        <v>Vs. Conference</v>
      </c>
      <c r="I269" s="8" t="str">
        <f>IF('[1]Game Input'!$I269&lt;&gt;"",'[1]Game Input'!$I269,"")</f>
        <v>SIOUX CITY</v>
      </c>
      <c r="J269" s="9">
        <f>IF('[1]Game Input'!$AC269&lt;&gt;"",'[1]Game Input'!$AC269,"")</f>
        <v>10</v>
      </c>
      <c r="K269" s="9">
        <f>IF('[1]Game Input'!$AD269&lt;&gt;"",'[1]Game Input'!$AD269,"")</f>
        <v>5</v>
      </c>
      <c r="L269" s="9">
        <f>IF('[1]Game Input'!$AJ269&lt;&gt;"",'[1]Game Input'!$AJ269,"")</f>
        <v>0</v>
      </c>
      <c r="M269" s="9">
        <f>IF('[1]Game Input'!$AK269&lt;&gt;"",'[1]Game Input'!$AK269,"")</f>
        <v>0</v>
      </c>
      <c r="N269" s="9">
        <f>IF('[1]Game Input'!$AN269&lt;&gt;"",'[1]Game Input'!$AN269,"")</f>
        <v>5</v>
      </c>
      <c r="O269" s="9">
        <f>IF('[1]Game Input'!$AO269&lt;&gt;"",'[1]Game Input'!$AO269,"")</f>
        <v>0</v>
      </c>
      <c r="P269" s="9">
        <f>IF('[1]Game Input'!$AP269&lt;&gt;"",'[1]Game Input'!$AP269,"")</f>
        <v>0</v>
      </c>
      <c r="Q269" s="9">
        <f>IF('[1]Game Input'!$AQ269&lt;&gt;"",'[1]Game Input'!$AQ269,"")</f>
        <v>0</v>
      </c>
      <c r="R269" s="9">
        <f>IF('[1]Game Input'!$AR269&lt;&gt;"",'[1]Game Input'!$AR269,"")</f>
        <v>0</v>
      </c>
      <c r="S269" s="9">
        <f>IF('[1]Game Input'!$AS269&lt;&gt;"",'[1]Game Input'!$AS269,"")</f>
        <v>0</v>
      </c>
      <c r="T269" s="10" t="str">
        <f>IF('[1]Game Input'!$BA269&lt;&gt;"",'[1]Game Input'!$BA269,"")</f>
        <v>SIOUX FALLS</v>
      </c>
      <c r="U269" s="9">
        <f>IF('[1]Game Input'!$BU269&lt;&gt;"",'[1]Game Input'!$BU269,"")</f>
        <v>19</v>
      </c>
      <c r="V269" s="9">
        <f>IF('[1]Game Input'!$BV269&lt;&gt;"",'[1]Game Input'!$BV269,"")</f>
        <v>4</v>
      </c>
      <c r="W269" s="9">
        <f>IF('[1]Game Input'!$CB269&lt;&gt;"",'[1]Game Input'!$CB269,"")</f>
        <v>0</v>
      </c>
      <c r="X269" s="9">
        <f>IF('[1]Game Input'!$CC269&lt;&gt;"",'[1]Game Input'!$CC269,"")</f>
        <v>0</v>
      </c>
      <c r="Y269" s="9">
        <f>IF('[1]Game Input'!$CF269&lt;&gt;"",'[1]Game Input'!$CF269,"")</f>
        <v>2</v>
      </c>
      <c r="Z269" s="9">
        <f>IF('[1]Game Input'!$CG269&lt;&gt;"",'[1]Game Input'!$CG269,"")</f>
        <v>1</v>
      </c>
      <c r="AA269" s="9">
        <f>IF('[1]Game Input'!$CH269&lt;&gt;"",'[1]Game Input'!$CH269,"")</f>
        <v>0</v>
      </c>
      <c r="AB269" s="9">
        <f>IF('[1]Game Input'!$CI269&lt;&gt;"",'[1]Game Input'!$CI269,"")</f>
        <v>1</v>
      </c>
      <c r="AC269" s="9">
        <f>IF('[1]Game Input'!$CJ269&lt;&gt;"",'[1]Game Input'!$CJ269,"")</f>
        <v>0</v>
      </c>
      <c r="AD269" s="9">
        <f>IF('[1]Game Input'!$CK269&lt;&gt;"",'[1]Game Input'!$CK269,"")</f>
        <v>0</v>
      </c>
      <c r="AE269" s="8"/>
      <c r="AF269" s="8"/>
      <c r="AG269" s="8"/>
      <c r="AH269" s="8"/>
    </row>
    <row r="270" spans="1:34" x14ac:dyDescent="0.2">
      <c r="A270" s="6">
        <f>IF('[1]Game Input'!$A270&lt;&gt;"",'[1]Game Input'!$A270,"")</f>
        <v>43477</v>
      </c>
      <c r="B270" s="6" t="str">
        <f>IF(A270&gt;$B$1,VLOOKUP(MONTH($A270),DOTWMonth,2,FALSE),"")</f>
        <v>January</v>
      </c>
      <c r="C270" s="10" t="str">
        <f>IF(A270&gt;$B$1,VLOOKUP(WEEKDAY($A270),DOTWMonth,3,FALSE),"")</f>
        <v>Saturday</v>
      </c>
      <c r="D270" s="7">
        <f>IF('[1]Game Input'!$B270&lt;&gt;"",'[1]Game Input'!$B270,"")</f>
        <v>0.83680555555555547</v>
      </c>
      <c r="E270" s="7">
        <f>IF('[1]Game Input'!$C270&lt;&gt;"",'[1]Game Input'!$C270,"")</f>
        <v>0.79513888888888884</v>
      </c>
      <c r="F270" s="8" t="str">
        <f>IF('[1]Game Input'!$D270&lt;&gt;"",'[1]Game Input'!$D270,"")</f>
        <v>Standard</v>
      </c>
      <c r="G270" s="8" t="str">
        <f>IF('[1]Game Input'!$G270&lt;&gt;"",'[1]Game Input'!$G270,"")</f>
        <v>WAT @ TC</v>
      </c>
      <c r="H270" s="8" t="str">
        <f>IF('[1]Game Input'!$H270&lt;&gt;"",'[1]Game Input'!$H270,"")</f>
        <v>Vs. Conference</v>
      </c>
      <c r="I270" s="8" t="str">
        <f>IF('[1]Game Input'!$I270&lt;&gt;"",'[1]Game Input'!$I270,"")</f>
        <v>WATERLOO</v>
      </c>
      <c r="J270" s="9">
        <f>IF('[1]Game Input'!$AC270&lt;&gt;"",'[1]Game Input'!$AC270,"")</f>
        <v>16</v>
      </c>
      <c r="K270" s="9">
        <f>IF('[1]Game Input'!$AD270&lt;&gt;"",'[1]Game Input'!$AD270,"")</f>
        <v>8</v>
      </c>
      <c r="L270" s="9">
        <f>IF('[1]Game Input'!$AJ270&lt;&gt;"",'[1]Game Input'!$AJ270,"")</f>
        <v>0</v>
      </c>
      <c r="M270" s="9">
        <f>IF('[1]Game Input'!$AK270&lt;&gt;"",'[1]Game Input'!$AK270,"")</f>
        <v>0</v>
      </c>
      <c r="N270" s="9">
        <f>IF('[1]Game Input'!$AN270&lt;&gt;"",'[1]Game Input'!$AN270,"")</f>
        <v>8</v>
      </c>
      <c r="O270" s="9">
        <f>IF('[1]Game Input'!$AO270&lt;&gt;"",'[1]Game Input'!$AO270,"")</f>
        <v>0</v>
      </c>
      <c r="P270" s="9">
        <f>IF('[1]Game Input'!$AP270&lt;&gt;"",'[1]Game Input'!$AP270,"")</f>
        <v>0</v>
      </c>
      <c r="Q270" s="9">
        <f>IF('[1]Game Input'!$AQ270&lt;&gt;"",'[1]Game Input'!$AQ270,"")</f>
        <v>0</v>
      </c>
      <c r="R270" s="9">
        <f>IF('[1]Game Input'!$AR270&lt;&gt;"",'[1]Game Input'!$AR270,"")</f>
        <v>0</v>
      </c>
      <c r="S270" s="9">
        <f>IF('[1]Game Input'!$AS270&lt;&gt;"",'[1]Game Input'!$AS270,"")</f>
        <v>0</v>
      </c>
      <c r="T270" s="10" t="str">
        <f>IF('[1]Game Input'!$BA270&lt;&gt;"",'[1]Game Input'!$BA270,"")</f>
        <v>TRI-CITY</v>
      </c>
      <c r="U270" s="9">
        <f>IF('[1]Game Input'!$BU270&lt;&gt;"",'[1]Game Input'!$BU270,"")</f>
        <v>8</v>
      </c>
      <c r="V270" s="9">
        <f>IF('[1]Game Input'!$BV270&lt;&gt;"",'[1]Game Input'!$BV270,"")</f>
        <v>4</v>
      </c>
      <c r="W270" s="9">
        <f>IF('[1]Game Input'!$CB270&lt;&gt;"",'[1]Game Input'!$CB270,"")</f>
        <v>0</v>
      </c>
      <c r="X270" s="9">
        <f>IF('[1]Game Input'!$CC270&lt;&gt;"",'[1]Game Input'!$CC270,"")</f>
        <v>0</v>
      </c>
      <c r="Y270" s="9">
        <f>IF('[1]Game Input'!$CF270&lt;&gt;"",'[1]Game Input'!$CF270,"")</f>
        <v>4</v>
      </c>
      <c r="Z270" s="9">
        <f>IF('[1]Game Input'!$CG270&lt;&gt;"",'[1]Game Input'!$CG270,"")</f>
        <v>0</v>
      </c>
      <c r="AA270" s="9">
        <f>IF('[1]Game Input'!$CH270&lt;&gt;"",'[1]Game Input'!$CH270,"")</f>
        <v>0</v>
      </c>
      <c r="AB270" s="9">
        <f>IF('[1]Game Input'!$CI270&lt;&gt;"",'[1]Game Input'!$CI270,"")</f>
        <v>0</v>
      </c>
      <c r="AC270" s="9">
        <f>IF('[1]Game Input'!$CJ270&lt;&gt;"",'[1]Game Input'!$CJ270,"")</f>
        <v>0</v>
      </c>
      <c r="AD270" s="9">
        <f>IF('[1]Game Input'!$CK270&lt;&gt;"",'[1]Game Input'!$CK270,"")</f>
        <v>0</v>
      </c>
      <c r="AE270" s="8"/>
      <c r="AF270" s="8"/>
      <c r="AG270" s="8"/>
      <c r="AH270" s="8"/>
    </row>
    <row r="271" spans="1:34" x14ac:dyDescent="0.2">
      <c r="A271" s="6">
        <f>IF('[1]Game Input'!$A271&lt;&gt;"",'[1]Game Input'!$A271,"")</f>
        <v>43477</v>
      </c>
      <c r="B271" s="6" t="str">
        <f>IF(A271&gt;$B$1,VLOOKUP(MONTH($A271),DOTWMonth,2,FALSE),"")</f>
        <v>January</v>
      </c>
      <c r="C271" s="10" t="str">
        <f>IF(A271&gt;$B$1,VLOOKUP(WEEKDAY($A271),DOTWMonth,3,FALSE),"")</f>
        <v>Saturday</v>
      </c>
      <c r="D271" s="7">
        <f>IF('[1]Game Input'!$B271&lt;&gt;"",'[1]Game Input'!$B271,"")</f>
        <v>0.83680555555555547</v>
      </c>
      <c r="E271" s="7">
        <f>IF('[1]Game Input'!$C271&lt;&gt;"",'[1]Game Input'!$C271,"")</f>
        <v>0.79513888888888884</v>
      </c>
      <c r="F271" s="8" t="str">
        <f>IF('[1]Game Input'!$D271&lt;&gt;"",'[1]Game Input'!$D271,"")</f>
        <v>Standard</v>
      </c>
      <c r="G271" s="8" t="str">
        <f>IF('[1]Game Input'!$G271&lt;&gt;"",'[1]Game Input'!$G271,"")</f>
        <v>LIN @ DUB</v>
      </c>
      <c r="H271" s="8" t="str">
        <f>IF('[1]Game Input'!$H271&lt;&gt;"",'[1]Game Input'!$H271,"")</f>
        <v>Vs. Non-Conference</v>
      </c>
      <c r="I271" s="8" t="str">
        <f>IF('[1]Game Input'!$I271&lt;&gt;"",'[1]Game Input'!$I271,"")</f>
        <v>LINCOLN</v>
      </c>
      <c r="J271" s="9">
        <f>IF('[1]Game Input'!$AC271&lt;&gt;"",'[1]Game Input'!$AC271,"")</f>
        <v>4</v>
      </c>
      <c r="K271" s="9">
        <f>IF('[1]Game Input'!$AD271&lt;&gt;"",'[1]Game Input'!$AD271,"")</f>
        <v>2</v>
      </c>
      <c r="L271" s="9">
        <f>IF('[1]Game Input'!$AJ271&lt;&gt;"",'[1]Game Input'!$AJ271,"")</f>
        <v>0</v>
      </c>
      <c r="M271" s="9">
        <f>IF('[1]Game Input'!$AK271&lt;&gt;"",'[1]Game Input'!$AK271,"")</f>
        <v>0</v>
      </c>
      <c r="N271" s="9">
        <f>IF('[1]Game Input'!$AN271&lt;&gt;"",'[1]Game Input'!$AN271,"")</f>
        <v>2</v>
      </c>
      <c r="O271" s="9">
        <f>IF('[1]Game Input'!$AO271&lt;&gt;"",'[1]Game Input'!$AO271,"")</f>
        <v>0</v>
      </c>
      <c r="P271" s="9">
        <f>IF('[1]Game Input'!$AP271&lt;&gt;"",'[1]Game Input'!$AP271,"")</f>
        <v>0</v>
      </c>
      <c r="Q271" s="9">
        <f>IF('[1]Game Input'!$AQ271&lt;&gt;"",'[1]Game Input'!$AQ271,"")</f>
        <v>0</v>
      </c>
      <c r="R271" s="9">
        <f>IF('[1]Game Input'!$AR271&lt;&gt;"",'[1]Game Input'!$AR271,"")</f>
        <v>0</v>
      </c>
      <c r="S271" s="9">
        <f>IF('[1]Game Input'!$AS271&lt;&gt;"",'[1]Game Input'!$AS271,"")</f>
        <v>0</v>
      </c>
      <c r="T271" s="10" t="str">
        <f>IF('[1]Game Input'!$BA271&lt;&gt;"",'[1]Game Input'!$BA271,"")</f>
        <v>DUBUQUE</v>
      </c>
      <c r="U271" s="9">
        <f>IF('[1]Game Input'!$BU271&lt;&gt;"",'[1]Game Input'!$BU271,"")</f>
        <v>4</v>
      </c>
      <c r="V271" s="9">
        <f>IF('[1]Game Input'!$BV271&lt;&gt;"",'[1]Game Input'!$BV271,"")</f>
        <v>2</v>
      </c>
      <c r="W271" s="9">
        <f>IF('[1]Game Input'!$CB271&lt;&gt;"",'[1]Game Input'!$CB271,"")</f>
        <v>0</v>
      </c>
      <c r="X271" s="9">
        <f>IF('[1]Game Input'!$CC271&lt;&gt;"",'[1]Game Input'!$CC271,"")</f>
        <v>0</v>
      </c>
      <c r="Y271" s="9">
        <f>IF('[1]Game Input'!$CF271&lt;&gt;"",'[1]Game Input'!$CF271,"")</f>
        <v>2</v>
      </c>
      <c r="Z271" s="9">
        <f>IF('[1]Game Input'!$CG271&lt;&gt;"",'[1]Game Input'!$CG271,"")</f>
        <v>0</v>
      </c>
      <c r="AA271" s="9">
        <f>IF('[1]Game Input'!$CH271&lt;&gt;"",'[1]Game Input'!$CH271,"")</f>
        <v>0</v>
      </c>
      <c r="AB271" s="9">
        <f>IF('[1]Game Input'!$CI271&lt;&gt;"",'[1]Game Input'!$CI271,"")</f>
        <v>0</v>
      </c>
      <c r="AC271" s="9">
        <f>IF('[1]Game Input'!$CJ271&lt;&gt;"",'[1]Game Input'!$CJ271,"")</f>
        <v>0</v>
      </c>
      <c r="AD271" s="9">
        <f>IF('[1]Game Input'!$CK271&lt;&gt;"",'[1]Game Input'!$CK271,"")</f>
        <v>0</v>
      </c>
      <c r="AE271" s="8"/>
      <c r="AF271" s="8"/>
      <c r="AG271" s="8"/>
      <c r="AH271" s="8"/>
    </row>
    <row r="272" spans="1:34" x14ac:dyDescent="0.2">
      <c r="A272" s="6">
        <f>IF('[1]Game Input'!$A272&lt;&gt;"",'[1]Game Input'!$A272,"")</f>
        <v>43478</v>
      </c>
      <c r="B272" s="6" t="str">
        <f>IF(A272&gt;$B$1,VLOOKUP(MONTH($A272),DOTWMonth,2,FALSE),"")</f>
        <v>January</v>
      </c>
      <c r="C272" s="10" t="str">
        <f>IF(A272&gt;$B$1,VLOOKUP(WEEKDAY($A272),DOTWMonth,3,FALSE),"")</f>
        <v>Sunday</v>
      </c>
      <c r="D272" s="7">
        <f>IF('[1]Game Input'!$B272&lt;&gt;"",'[1]Game Input'!$B272,"")</f>
        <v>0.63541666666666663</v>
      </c>
      <c r="E272" s="7">
        <f>IF('[1]Game Input'!$C272&lt;&gt;"",'[1]Game Input'!$C272,"")</f>
        <v>0.59375</v>
      </c>
      <c r="F272" s="8" t="str">
        <f>IF('[1]Game Input'!$D272&lt;&gt;"",'[1]Game Input'!$D272,"")</f>
        <v>Standard</v>
      </c>
      <c r="G272" s="8" t="str">
        <f>IF('[1]Game Input'!$G272&lt;&gt;"",'[1]Game Input'!$G272,"")</f>
        <v>CIL @ MUS</v>
      </c>
      <c r="H272" s="8" t="str">
        <f>IF('[1]Game Input'!$H272&lt;&gt;"",'[1]Game Input'!$H272,"")</f>
        <v>Vs. Conference</v>
      </c>
      <c r="I272" s="8" t="str">
        <f>IF('[1]Game Input'!$I272&lt;&gt;"",'[1]Game Input'!$I272,"")</f>
        <v>CENTRAL ILLINOIS</v>
      </c>
      <c r="J272" s="9">
        <f>IF('[1]Game Input'!$AC272&lt;&gt;"",'[1]Game Input'!$AC272,"")</f>
        <v>22</v>
      </c>
      <c r="K272" s="9">
        <f>IF('[1]Game Input'!$AD272&lt;&gt;"",'[1]Game Input'!$AD272,"")</f>
        <v>7</v>
      </c>
      <c r="L272" s="9">
        <f>IF('[1]Game Input'!$AJ272&lt;&gt;"",'[1]Game Input'!$AJ272,"")</f>
        <v>0</v>
      </c>
      <c r="M272" s="9">
        <f>IF('[1]Game Input'!$AK272&lt;&gt;"",'[1]Game Input'!$AK272,"")</f>
        <v>0</v>
      </c>
      <c r="N272" s="9">
        <f>IF('[1]Game Input'!$AN272&lt;&gt;"",'[1]Game Input'!$AN272,"")</f>
        <v>6</v>
      </c>
      <c r="O272" s="9">
        <f>IF('[1]Game Input'!$AO272&lt;&gt;"",'[1]Game Input'!$AO272,"")</f>
        <v>0</v>
      </c>
      <c r="P272" s="9">
        <f>IF('[1]Game Input'!$AP272&lt;&gt;"",'[1]Game Input'!$AP272,"")</f>
        <v>1</v>
      </c>
      <c r="Q272" s="9">
        <f>IF('[1]Game Input'!$AQ272&lt;&gt;"",'[1]Game Input'!$AQ272,"")</f>
        <v>0</v>
      </c>
      <c r="R272" s="9">
        <f>IF('[1]Game Input'!$AR272&lt;&gt;"",'[1]Game Input'!$AR272,"")</f>
        <v>0</v>
      </c>
      <c r="S272" s="9">
        <f>IF('[1]Game Input'!$AS272&lt;&gt;"",'[1]Game Input'!$AS272,"")</f>
        <v>0</v>
      </c>
      <c r="T272" s="10" t="str">
        <f>IF('[1]Game Input'!$BA272&lt;&gt;"",'[1]Game Input'!$BA272,"")</f>
        <v>MUSKEGON</v>
      </c>
      <c r="U272" s="9">
        <f>IF('[1]Game Input'!$BU272&lt;&gt;"",'[1]Game Input'!$BU272,"")</f>
        <v>22</v>
      </c>
      <c r="V272" s="9">
        <f>IF('[1]Game Input'!$BV272&lt;&gt;"",'[1]Game Input'!$BV272,"")</f>
        <v>11</v>
      </c>
      <c r="W272" s="9">
        <f>IF('[1]Game Input'!$CB272&lt;&gt;"",'[1]Game Input'!$CB272,"")</f>
        <v>0</v>
      </c>
      <c r="X272" s="9">
        <f>IF('[1]Game Input'!$CC272&lt;&gt;"",'[1]Game Input'!$CC272,"")</f>
        <v>0</v>
      </c>
      <c r="Y272" s="9">
        <f>IF('[1]Game Input'!$CF272&lt;&gt;"",'[1]Game Input'!$CF272,"")</f>
        <v>11</v>
      </c>
      <c r="Z272" s="9">
        <f>IF('[1]Game Input'!$CG272&lt;&gt;"",'[1]Game Input'!$CG272,"")</f>
        <v>0</v>
      </c>
      <c r="AA272" s="9">
        <f>IF('[1]Game Input'!$CH272&lt;&gt;"",'[1]Game Input'!$CH272,"")</f>
        <v>0</v>
      </c>
      <c r="AB272" s="9">
        <f>IF('[1]Game Input'!$CI272&lt;&gt;"",'[1]Game Input'!$CI272,"")</f>
        <v>0</v>
      </c>
      <c r="AC272" s="9">
        <f>IF('[1]Game Input'!$CJ272&lt;&gt;"",'[1]Game Input'!$CJ272,"")</f>
        <v>0</v>
      </c>
      <c r="AD272" s="9">
        <f>IF('[1]Game Input'!$CK272&lt;&gt;"",'[1]Game Input'!$CK272,"")</f>
        <v>0</v>
      </c>
      <c r="AE272" s="8" t="s">
        <v>146</v>
      </c>
      <c r="AF272" s="8" t="s">
        <v>166</v>
      </c>
      <c r="AG272" s="8" t="s">
        <v>126</v>
      </c>
      <c r="AH272" s="8" t="s">
        <v>112</v>
      </c>
    </row>
    <row r="273" spans="1:34" x14ac:dyDescent="0.2">
      <c r="A273" s="6">
        <f>IF('[1]Game Input'!$A273&lt;&gt;"",'[1]Game Input'!$A273,"")</f>
        <v>43478</v>
      </c>
      <c r="B273" s="6" t="str">
        <f>IF(A273&gt;$B$1,VLOOKUP(MONTH($A273),DOTWMonth,2,FALSE),"")</f>
        <v>January</v>
      </c>
      <c r="C273" s="10" t="str">
        <f>IF(A273&gt;$B$1,VLOOKUP(WEEKDAY($A273),DOTWMonth,3,FALSE),"")</f>
        <v>Sunday</v>
      </c>
      <c r="D273" s="7">
        <f>IF('[1]Game Input'!$B273&lt;&gt;"",'[1]Game Input'!$B273,"")</f>
        <v>0.67013888888888884</v>
      </c>
      <c r="E273" s="7">
        <f>IF('[1]Game Input'!$C273&lt;&gt;"",'[1]Game Input'!$C273,"")</f>
        <v>0.62847222222222221</v>
      </c>
      <c r="F273" s="8" t="str">
        <f>IF('[1]Game Input'!$D273&lt;&gt;"",'[1]Game Input'!$D273,"")</f>
        <v>Standard</v>
      </c>
      <c r="G273" s="8" t="str">
        <f>IF('[1]Game Input'!$G273&lt;&gt;"",'[1]Game Input'!$G273,"")</f>
        <v>MAD @ DUB</v>
      </c>
      <c r="H273" s="8" t="str">
        <f>IF('[1]Game Input'!$H273&lt;&gt;"",'[1]Game Input'!$H273,"")</f>
        <v>Vs. Conference</v>
      </c>
      <c r="I273" s="8" t="str">
        <f>IF('[1]Game Input'!$I273&lt;&gt;"",'[1]Game Input'!$I273,"")</f>
        <v>MADISON</v>
      </c>
      <c r="J273" s="9">
        <f>IF('[1]Game Input'!$AC273&lt;&gt;"",'[1]Game Input'!$AC273,"")</f>
        <v>10</v>
      </c>
      <c r="K273" s="9">
        <f>IF('[1]Game Input'!$AD273&lt;&gt;"",'[1]Game Input'!$AD273,"")</f>
        <v>5</v>
      </c>
      <c r="L273" s="9">
        <f>IF('[1]Game Input'!$AJ273&lt;&gt;"",'[1]Game Input'!$AJ273,"")</f>
        <v>0</v>
      </c>
      <c r="M273" s="9">
        <f>IF('[1]Game Input'!$AK273&lt;&gt;"",'[1]Game Input'!$AK273,"")</f>
        <v>0</v>
      </c>
      <c r="N273" s="9">
        <f>IF('[1]Game Input'!$AN273&lt;&gt;"",'[1]Game Input'!$AN273,"")</f>
        <v>5</v>
      </c>
      <c r="O273" s="9">
        <f>IF('[1]Game Input'!$AO273&lt;&gt;"",'[1]Game Input'!$AO273,"")</f>
        <v>0</v>
      </c>
      <c r="P273" s="9">
        <f>IF('[1]Game Input'!$AP273&lt;&gt;"",'[1]Game Input'!$AP273,"")</f>
        <v>0</v>
      </c>
      <c r="Q273" s="9">
        <f>IF('[1]Game Input'!$AQ273&lt;&gt;"",'[1]Game Input'!$AQ273,"")</f>
        <v>0</v>
      </c>
      <c r="R273" s="9">
        <f>IF('[1]Game Input'!$AR273&lt;&gt;"",'[1]Game Input'!$AR273,"")</f>
        <v>0</v>
      </c>
      <c r="S273" s="9">
        <f>IF('[1]Game Input'!$AS273&lt;&gt;"",'[1]Game Input'!$AS273,"")</f>
        <v>0</v>
      </c>
      <c r="T273" s="10" t="str">
        <f>IF('[1]Game Input'!$BA273&lt;&gt;"",'[1]Game Input'!$BA273,"")</f>
        <v>DUBUQUE</v>
      </c>
      <c r="U273" s="9">
        <f>IF('[1]Game Input'!$BU273&lt;&gt;"",'[1]Game Input'!$BU273,"")</f>
        <v>8</v>
      </c>
      <c r="V273" s="9">
        <f>IF('[1]Game Input'!$BV273&lt;&gt;"",'[1]Game Input'!$BV273,"")</f>
        <v>4</v>
      </c>
      <c r="W273" s="9">
        <f>IF('[1]Game Input'!$CB273&lt;&gt;"",'[1]Game Input'!$CB273,"")</f>
        <v>0</v>
      </c>
      <c r="X273" s="9">
        <f>IF('[1]Game Input'!$CC273&lt;&gt;"",'[1]Game Input'!$CC273,"")</f>
        <v>0</v>
      </c>
      <c r="Y273" s="9">
        <f>IF('[1]Game Input'!$CF273&lt;&gt;"",'[1]Game Input'!$CF273,"")</f>
        <v>4</v>
      </c>
      <c r="Z273" s="9">
        <f>IF('[1]Game Input'!$CG273&lt;&gt;"",'[1]Game Input'!$CG273,"")</f>
        <v>0</v>
      </c>
      <c r="AA273" s="9">
        <f>IF('[1]Game Input'!$CH273&lt;&gt;"",'[1]Game Input'!$CH273,"")</f>
        <v>0</v>
      </c>
      <c r="AB273" s="9">
        <f>IF('[1]Game Input'!$CI273&lt;&gt;"",'[1]Game Input'!$CI273,"")</f>
        <v>0</v>
      </c>
      <c r="AC273" s="9">
        <f>IF('[1]Game Input'!$CJ273&lt;&gt;"",'[1]Game Input'!$CJ273,"")</f>
        <v>0</v>
      </c>
      <c r="AD273" s="9">
        <f>IF('[1]Game Input'!$CK273&lt;&gt;"",'[1]Game Input'!$CK273,"")</f>
        <v>0</v>
      </c>
      <c r="AE273" s="8"/>
      <c r="AF273" s="8"/>
      <c r="AG273" s="8"/>
      <c r="AH273" s="8"/>
    </row>
    <row r="274" spans="1:34" x14ac:dyDescent="0.2">
      <c r="A274" s="6">
        <f>IF('[1]Game Input'!$A274&lt;&gt;"",'[1]Game Input'!$A274,"")</f>
        <v>43478</v>
      </c>
      <c r="B274" s="6" t="str">
        <f>IF(A274&gt;$B$1,VLOOKUP(MONTH($A274),DOTWMonth,2,FALSE),"")</f>
        <v>January</v>
      </c>
      <c r="C274" s="10" t="str">
        <f>IF(A274&gt;$B$1,VLOOKUP(WEEKDAY($A274),DOTWMonth,3,FALSE),"")</f>
        <v>Sunday</v>
      </c>
      <c r="D274" s="7">
        <f>IF('[1]Game Input'!$B274&lt;&gt;"",'[1]Game Input'!$B274,"")</f>
        <v>0.71180555555555547</v>
      </c>
      <c r="E274" s="7">
        <f>IF('[1]Game Input'!$C274&lt;&gt;"",'[1]Game Input'!$C274,"")</f>
        <v>0.67013888888888884</v>
      </c>
      <c r="F274" s="8" t="str">
        <f>IF('[1]Game Input'!$D274&lt;&gt;"",'[1]Game Input'!$D274,"")</f>
        <v>Standard</v>
      </c>
      <c r="G274" s="8" t="str">
        <f>IF('[1]Game Input'!$G274&lt;&gt;"",'[1]Game Input'!$G274,"")</f>
        <v>TC @ OMA</v>
      </c>
      <c r="H274" s="8" t="str">
        <f>IF('[1]Game Input'!$H274&lt;&gt;"",'[1]Game Input'!$H274,"")</f>
        <v>Vs. Conference</v>
      </c>
      <c r="I274" s="8" t="str">
        <f>IF('[1]Game Input'!$I274&lt;&gt;"",'[1]Game Input'!$I274,"")</f>
        <v>TRI-CITY</v>
      </c>
      <c r="J274" s="9">
        <f>IF('[1]Game Input'!$AC274&lt;&gt;"",'[1]Game Input'!$AC274,"")</f>
        <v>23</v>
      </c>
      <c r="K274" s="9">
        <f>IF('[1]Game Input'!$AD274&lt;&gt;"",'[1]Game Input'!$AD274,"")</f>
        <v>6</v>
      </c>
      <c r="L274" s="9">
        <f>IF('[1]Game Input'!$AJ274&lt;&gt;"",'[1]Game Input'!$AJ274,"")</f>
        <v>0</v>
      </c>
      <c r="M274" s="9">
        <f>IF('[1]Game Input'!$AK274&lt;&gt;"",'[1]Game Input'!$AK274,"")</f>
        <v>0</v>
      </c>
      <c r="N274" s="9">
        <f>IF('[1]Game Input'!$AN274&lt;&gt;"",'[1]Game Input'!$AN274,"")</f>
        <v>4</v>
      </c>
      <c r="O274" s="9">
        <f>IF('[1]Game Input'!$AO274&lt;&gt;"",'[1]Game Input'!$AO274,"")</f>
        <v>1</v>
      </c>
      <c r="P274" s="9">
        <f>IF('[1]Game Input'!$AP274&lt;&gt;"",'[1]Game Input'!$AP274,"")</f>
        <v>0</v>
      </c>
      <c r="Q274" s="9">
        <f>IF('[1]Game Input'!$AQ274&lt;&gt;"",'[1]Game Input'!$AQ274,"")</f>
        <v>1</v>
      </c>
      <c r="R274" s="9">
        <f>IF('[1]Game Input'!$AR274&lt;&gt;"",'[1]Game Input'!$AR274,"")</f>
        <v>0</v>
      </c>
      <c r="S274" s="9">
        <f>IF('[1]Game Input'!$AS274&lt;&gt;"",'[1]Game Input'!$AS274,"")</f>
        <v>0</v>
      </c>
      <c r="T274" s="10" t="str">
        <f>IF('[1]Game Input'!$BA274&lt;&gt;"",'[1]Game Input'!$BA274,"")</f>
        <v>OMAHA</v>
      </c>
      <c r="U274" s="9">
        <f>IF('[1]Game Input'!$BU274&lt;&gt;"",'[1]Game Input'!$BU274,"")</f>
        <v>6</v>
      </c>
      <c r="V274" s="9">
        <f>IF('[1]Game Input'!$BV274&lt;&gt;"",'[1]Game Input'!$BV274,"")</f>
        <v>3</v>
      </c>
      <c r="W274" s="9">
        <f>IF('[1]Game Input'!$CB274&lt;&gt;"",'[1]Game Input'!$CB274,"")</f>
        <v>0</v>
      </c>
      <c r="X274" s="9">
        <f>IF('[1]Game Input'!$CC274&lt;&gt;"",'[1]Game Input'!$CC274,"")</f>
        <v>0</v>
      </c>
      <c r="Y274" s="9">
        <f>IF('[1]Game Input'!$CF274&lt;&gt;"",'[1]Game Input'!$CF274,"")</f>
        <v>3</v>
      </c>
      <c r="Z274" s="9">
        <f>IF('[1]Game Input'!$CG274&lt;&gt;"",'[1]Game Input'!$CG274,"")</f>
        <v>0</v>
      </c>
      <c r="AA274" s="9">
        <f>IF('[1]Game Input'!$CH274&lt;&gt;"",'[1]Game Input'!$CH274,"")</f>
        <v>0</v>
      </c>
      <c r="AB274" s="9">
        <f>IF('[1]Game Input'!$CI274&lt;&gt;"",'[1]Game Input'!$CI274,"")</f>
        <v>0</v>
      </c>
      <c r="AC274" s="9">
        <f>IF('[1]Game Input'!$CJ274&lt;&gt;"",'[1]Game Input'!$CJ274,"")</f>
        <v>0</v>
      </c>
      <c r="AD274" s="9">
        <f>IF('[1]Game Input'!$CK274&lt;&gt;"",'[1]Game Input'!$CK274,"")</f>
        <v>0</v>
      </c>
      <c r="AE274" s="8"/>
      <c r="AF274" s="8"/>
      <c r="AG274" s="8"/>
      <c r="AH274" s="8"/>
    </row>
    <row r="275" spans="1:34" x14ac:dyDescent="0.2">
      <c r="A275" s="6">
        <f>IF('[1]Game Input'!$A275&lt;&gt;"",'[1]Game Input'!$A275,"")</f>
        <v>43480</v>
      </c>
      <c r="B275" s="6" t="str">
        <f>IF(A275&gt;$B$1,VLOOKUP(MONTH($A275),DOTWMonth,2,FALSE),"")</f>
        <v>January</v>
      </c>
      <c r="C275" s="10" t="str">
        <f>IF(A275&gt;$B$1,VLOOKUP(WEEKDAY($A275),DOTWMonth,3,FALSE),"")</f>
        <v>Tuesday</v>
      </c>
      <c r="D275" s="7">
        <f>IF('[1]Game Input'!$B275&lt;&gt;"",'[1]Game Input'!$B275,"")</f>
        <v>0.79166666666666663</v>
      </c>
      <c r="E275" s="7">
        <f>IF('[1]Game Input'!$C275&lt;&gt;"",'[1]Game Input'!$C275,"")</f>
        <v>0.75</v>
      </c>
      <c r="F275" s="8" t="str">
        <f>IF('[1]Game Input'!$D275&lt;&gt;"",'[1]Game Input'!$D275,"")</f>
        <v>Standard</v>
      </c>
      <c r="G275" s="8" t="str">
        <f>IF('[1]Game Input'!$G275&lt;&gt;"",'[1]Game Input'!$G275,"")</f>
        <v>YNG @ USA</v>
      </c>
      <c r="H275" s="8" t="str">
        <f>IF('[1]Game Input'!$H275&lt;&gt;"",'[1]Game Input'!$H275,"")</f>
        <v>Vs. Conference</v>
      </c>
      <c r="I275" s="8" t="str">
        <f>IF('[1]Game Input'!$I275&lt;&gt;"",'[1]Game Input'!$I275,"")</f>
        <v>YOUNGSTOWN</v>
      </c>
      <c r="J275" s="9">
        <f>IF('[1]Game Input'!$AC275&lt;&gt;"",'[1]Game Input'!$AC275,"")</f>
        <v>48</v>
      </c>
      <c r="K275" s="9">
        <f>IF('[1]Game Input'!$AD275&lt;&gt;"",'[1]Game Input'!$AD275,"")</f>
        <v>12</v>
      </c>
      <c r="L275" s="9">
        <f>IF('[1]Game Input'!$AJ275&lt;&gt;"",'[1]Game Input'!$AJ275,"")</f>
        <v>0</v>
      </c>
      <c r="M275" s="9">
        <f>IF('[1]Game Input'!$AK275&lt;&gt;"",'[1]Game Input'!$AK275,"")</f>
        <v>0</v>
      </c>
      <c r="N275" s="9">
        <f>IF('[1]Game Input'!$AN275&lt;&gt;"",'[1]Game Input'!$AN275,"")</f>
        <v>9</v>
      </c>
      <c r="O275" s="9">
        <f>IF('[1]Game Input'!$AO275&lt;&gt;"",'[1]Game Input'!$AO275,"")</f>
        <v>0</v>
      </c>
      <c r="P275" s="9">
        <f>IF('[1]Game Input'!$AP275&lt;&gt;"",'[1]Game Input'!$AP275,"")</f>
        <v>3</v>
      </c>
      <c r="Q275" s="9">
        <f>IF('[1]Game Input'!$AQ275&lt;&gt;"",'[1]Game Input'!$AQ275,"")</f>
        <v>0</v>
      </c>
      <c r="R275" s="9">
        <f>IF('[1]Game Input'!$AR275&lt;&gt;"",'[1]Game Input'!$AR275,"")</f>
        <v>0</v>
      </c>
      <c r="S275" s="9">
        <f>IF('[1]Game Input'!$AS275&lt;&gt;"",'[1]Game Input'!$AS275,"")</f>
        <v>0</v>
      </c>
      <c r="T275" s="10" t="str">
        <f>IF('[1]Game Input'!$BA275&lt;&gt;"",'[1]Game Input'!$BA275,"")</f>
        <v>TEAM USA</v>
      </c>
      <c r="U275" s="9">
        <f>IF('[1]Game Input'!$BU275&lt;&gt;"",'[1]Game Input'!$BU275,"")</f>
        <v>18</v>
      </c>
      <c r="V275" s="9">
        <f>IF('[1]Game Input'!$BV275&lt;&gt;"",'[1]Game Input'!$BV275,"")</f>
        <v>9</v>
      </c>
      <c r="W275" s="9">
        <f>IF('[1]Game Input'!$CB275&lt;&gt;"",'[1]Game Input'!$CB275,"")</f>
        <v>0</v>
      </c>
      <c r="X275" s="9">
        <f>IF('[1]Game Input'!$CC275&lt;&gt;"",'[1]Game Input'!$CC275,"")</f>
        <v>0</v>
      </c>
      <c r="Y275" s="9">
        <f>IF('[1]Game Input'!$CF275&lt;&gt;"",'[1]Game Input'!$CF275,"")</f>
        <v>9</v>
      </c>
      <c r="Z275" s="9">
        <f>IF('[1]Game Input'!$CG275&lt;&gt;"",'[1]Game Input'!$CG275,"")</f>
        <v>0</v>
      </c>
      <c r="AA275" s="9">
        <f>IF('[1]Game Input'!$CH275&lt;&gt;"",'[1]Game Input'!$CH275,"")</f>
        <v>0</v>
      </c>
      <c r="AB275" s="9">
        <f>IF('[1]Game Input'!$CI275&lt;&gt;"",'[1]Game Input'!$CI275,"")</f>
        <v>0</v>
      </c>
      <c r="AC275" s="9">
        <f>IF('[1]Game Input'!$CJ275&lt;&gt;"",'[1]Game Input'!$CJ275,"")</f>
        <v>0</v>
      </c>
      <c r="AD275" s="9">
        <f>IF('[1]Game Input'!$CK275&lt;&gt;"",'[1]Game Input'!$CK275,"")</f>
        <v>0</v>
      </c>
      <c r="AE275" s="8"/>
      <c r="AF275" s="8"/>
      <c r="AG275" s="8"/>
      <c r="AH275" s="8"/>
    </row>
    <row r="276" spans="1:34" x14ac:dyDescent="0.2">
      <c r="A276" s="6">
        <f>IF('[1]Game Input'!$A276&lt;&gt;"",'[1]Game Input'!$A276,"")</f>
        <v>43480</v>
      </c>
      <c r="B276" s="6" t="str">
        <f>IF(A276&gt;$B$1,VLOOKUP(MONTH($A276),DOTWMonth,2,FALSE),"")</f>
        <v>January</v>
      </c>
      <c r="C276" s="10" t="str">
        <f>IF(A276&gt;$B$1,VLOOKUP(WEEKDAY($A276),DOTWMonth,3,FALSE),"")</f>
        <v>Tuesday</v>
      </c>
      <c r="D276" s="7">
        <f>IF('[1]Game Input'!$B276&lt;&gt;"",'[1]Game Input'!$B276,"")</f>
        <v>0.83680555555555547</v>
      </c>
      <c r="E276" s="7">
        <f>IF('[1]Game Input'!$C276&lt;&gt;"",'[1]Game Input'!$C276,"")</f>
        <v>0.79513888888888884</v>
      </c>
      <c r="F276" s="8" t="str">
        <f>IF('[1]Game Input'!$D276&lt;&gt;"",'[1]Game Input'!$D276,"")</f>
        <v>Standard</v>
      </c>
      <c r="G276" s="8" t="str">
        <f>IF('[1]Game Input'!$G276&lt;&gt;"",'[1]Game Input'!$G276,"")</f>
        <v>SC @ WAT</v>
      </c>
      <c r="H276" s="8" t="str">
        <f>IF('[1]Game Input'!$H276&lt;&gt;"",'[1]Game Input'!$H276,"")</f>
        <v>Vs. Conference</v>
      </c>
      <c r="I276" s="8" t="str">
        <f>IF('[1]Game Input'!$I276&lt;&gt;"",'[1]Game Input'!$I276,"")</f>
        <v>SIOUX CITY</v>
      </c>
      <c r="J276" s="9">
        <f>IF('[1]Game Input'!$AC276&lt;&gt;"",'[1]Game Input'!$AC276,"")</f>
        <v>4</v>
      </c>
      <c r="K276" s="9">
        <f>IF('[1]Game Input'!$AD276&lt;&gt;"",'[1]Game Input'!$AD276,"")</f>
        <v>2</v>
      </c>
      <c r="L276" s="9">
        <f>IF('[1]Game Input'!$AJ276&lt;&gt;"",'[1]Game Input'!$AJ276,"")</f>
        <v>0</v>
      </c>
      <c r="M276" s="9">
        <f>IF('[1]Game Input'!$AK276&lt;&gt;"",'[1]Game Input'!$AK276,"")</f>
        <v>0</v>
      </c>
      <c r="N276" s="9">
        <f>IF('[1]Game Input'!$AN276&lt;&gt;"",'[1]Game Input'!$AN276,"")</f>
        <v>2</v>
      </c>
      <c r="O276" s="9">
        <f>IF('[1]Game Input'!$AO276&lt;&gt;"",'[1]Game Input'!$AO276,"")</f>
        <v>0</v>
      </c>
      <c r="P276" s="9">
        <f>IF('[1]Game Input'!$AP276&lt;&gt;"",'[1]Game Input'!$AP276,"")</f>
        <v>0</v>
      </c>
      <c r="Q276" s="9">
        <f>IF('[1]Game Input'!$AQ276&lt;&gt;"",'[1]Game Input'!$AQ276,"")</f>
        <v>0</v>
      </c>
      <c r="R276" s="9">
        <f>IF('[1]Game Input'!$AR276&lt;&gt;"",'[1]Game Input'!$AR276,"")</f>
        <v>0</v>
      </c>
      <c r="S276" s="9">
        <f>IF('[1]Game Input'!$AS276&lt;&gt;"",'[1]Game Input'!$AS276,"")</f>
        <v>0</v>
      </c>
      <c r="T276" s="10" t="str">
        <f>IF('[1]Game Input'!$BA276&lt;&gt;"",'[1]Game Input'!$BA276,"")</f>
        <v>WATERLOO</v>
      </c>
      <c r="U276" s="9">
        <f>IF('[1]Game Input'!$BU276&lt;&gt;"",'[1]Game Input'!$BU276,"")</f>
        <v>8</v>
      </c>
      <c r="V276" s="9">
        <f>IF('[1]Game Input'!$BV276&lt;&gt;"",'[1]Game Input'!$BV276,"")</f>
        <v>4</v>
      </c>
      <c r="W276" s="9">
        <f>IF('[1]Game Input'!$CB276&lt;&gt;"",'[1]Game Input'!$CB276,"")</f>
        <v>0</v>
      </c>
      <c r="X276" s="9">
        <f>IF('[1]Game Input'!$CC276&lt;&gt;"",'[1]Game Input'!$CC276,"")</f>
        <v>0</v>
      </c>
      <c r="Y276" s="9">
        <f>IF('[1]Game Input'!$CF276&lt;&gt;"",'[1]Game Input'!$CF276,"")</f>
        <v>4</v>
      </c>
      <c r="Z276" s="9">
        <f>IF('[1]Game Input'!$CG276&lt;&gt;"",'[1]Game Input'!$CG276,"")</f>
        <v>0</v>
      </c>
      <c r="AA276" s="9">
        <f>IF('[1]Game Input'!$CH276&lt;&gt;"",'[1]Game Input'!$CH276,"")</f>
        <v>0</v>
      </c>
      <c r="AB276" s="9">
        <f>IF('[1]Game Input'!$CI276&lt;&gt;"",'[1]Game Input'!$CI276,"")</f>
        <v>0</v>
      </c>
      <c r="AC276" s="9">
        <f>IF('[1]Game Input'!$CJ276&lt;&gt;"",'[1]Game Input'!$CJ276,"")</f>
        <v>0</v>
      </c>
      <c r="AD276" s="9">
        <f>IF('[1]Game Input'!$CK276&lt;&gt;"",'[1]Game Input'!$CK276,"")</f>
        <v>0</v>
      </c>
      <c r="AE276" s="8"/>
      <c r="AF276" s="8"/>
      <c r="AG276" s="8"/>
      <c r="AH276" s="8"/>
    </row>
    <row r="277" spans="1:34" x14ac:dyDescent="0.2">
      <c r="A277" s="6">
        <f>IF('[1]Game Input'!$A277&lt;&gt;"",'[1]Game Input'!$A277,"")</f>
        <v>43481</v>
      </c>
      <c r="B277" s="6" t="str">
        <f>IF(A277&gt;$B$1,VLOOKUP(MONTH($A277),DOTWMonth,2,FALSE),"")</f>
        <v>January</v>
      </c>
      <c r="C277" s="10" t="str">
        <f>IF(A277&gt;$B$1,VLOOKUP(WEEKDAY($A277),DOTWMonth,3,FALSE),"")</f>
        <v>Wednesday</v>
      </c>
      <c r="D277" s="7">
        <f>IF('[1]Game Input'!$B277&lt;&gt;"",'[1]Game Input'!$B277,"")</f>
        <v>0.83680555555555547</v>
      </c>
      <c r="E277" s="7">
        <f>IF('[1]Game Input'!$C277&lt;&gt;"",'[1]Game Input'!$C277,"")</f>
        <v>0.79513888888888884</v>
      </c>
      <c r="F277" s="8" t="str">
        <f>IF('[1]Game Input'!$D277&lt;&gt;"",'[1]Game Input'!$D277,"")</f>
        <v>Standard</v>
      </c>
      <c r="G277" s="8" t="str">
        <f>IF('[1]Game Input'!$G277&lt;&gt;"",'[1]Game Input'!$G277,"")</f>
        <v>FGO @ SF</v>
      </c>
      <c r="H277" s="8" t="str">
        <f>IF('[1]Game Input'!$H277&lt;&gt;"",'[1]Game Input'!$H277,"")</f>
        <v>Vs. Conference</v>
      </c>
      <c r="I277" s="8" t="str">
        <f>IF('[1]Game Input'!$I277&lt;&gt;"",'[1]Game Input'!$I277,"")</f>
        <v>FARGO</v>
      </c>
      <c r="J277" s="9">
        <f>IF('[1]Game Input'!$AC277&lt;&gt;"",'[1]Game Input'!$AC277,"")</f>
        <v>14</v>
      </c>
      <c r="K277" s="9">
        <f>IF('[1]Game Input'!$AD277&lt;&gt;"",'[1]Game Input'!$AD277,"")</f>
        <v>7</v>
      </c>
      <c r="L277" s="9">
        <f>IF('[1]Game Input'!$AJ277&lt;&gt;"",'[1]Game Input'!$AJ277,"")</f>
        <v>0</v>
      </c>
      <c r="M277" s="9">
        <f>IF('[1]Game Input'!$AK277&lt;&gt;"",'[1]Game Input'!$AK277,"")</f>
        <v>0</v>
      </c>
      <c r="N277" s="9">
        <f>IF('[1]Game Input'!$AN277&lt;&gt;"",'[1]Game Input'!$AN277,"")</f>
        <v>7</v>
      </c>
      <c r="O277" s="9">
        <f>IF('[1]Game Input'!$AO277&lt;&gt;"",'[1]Game Input'!$AO277,"")</f>
        <v>0</v>
      </c>
      <c r="P277" s="9">
        <f>IF('[1]Game Input'!$AP277&lt;&gt;"",'[1]Game Input'!$AP277,"")</f>
        <v>0</v>
      </c>
      <c r="Q277" s="9">
        <f>IF('[1]Game Input'!$AQ277&lt;&gt;"",'[1]Game Input'!$AQ277,"")</f>
        <v>0</v>
      </c>
      <c r="R277" s="9">
        <f>IF('[1]Game Input'!$AR277&lt;&gt;"",'[1]Game Input'!$AR277,"")</f>
        <v>0</v>
      </c>
      <c r="S277" s="9">
        <f>IF('[1]Game Input'!$AS277&lt;&gt;"",'[1]Game Input'!$AS277,"")</f>
        <v>0</v>
      </c>
      <c r="T277" s="10" t="str">
        <f>IF('[1]Game Input'!$BA277&lt;&gt;"",'[1]Game Input'!$BA277,"")</f>
        <v>SIOUX FALLS</v>
      </c>
      <c r="U277" s="9">
        <f>IF('[1]Game Input'!$BU277&lt;&gt;"",'[1]Game Input'!$BU277,"")</f>
        <v>10</v>
      </c>
      <c r="V277" s="9">
        <f>IF('[1]Game Input'!$BV277&lt;&gt;"",'[1]Game Input'!$BV277,"")</f>
        <v>5</v>
      </c>
      <c r="W277" s="9">
        <f>IF('[1]Game Input'!$CB277&lt;&gt;"",'[1]Game Input'!$CB277,"")</f>
        <v>0</v>
      </c>
      <c r="X277" s="9">
        <f>IF('[1]Game Input'!$CC277&lt;&gt;"",'[1]Game Input'!$CC277,"")</f>
        <v>0</v>
      </c>
      <c r="Y277" s="9">
        <f>IF('[1]Game Input'!$CF277&lt;&gt;"",'[1]Game Input'!$CF277,"")</f>
        <v>5</v>
      </c>
      <c r="Z277" s="9">
        <f>IF('[1]Game Input'!$CG277&lt;&gt;"",'[1]Game Input'!$CG277,"")</f>
        <v>0</v>
      </c>
      <c r="AA277" s="9">
        <f>IF('[1]Game Input'!$CH277&lt;&gt;"",'[1]Game Input'!$CH277,"")</f>
        <v>0</v>
      </c>
      <c r="AB277" s="9">
        <f>IF('[1]Game Input'!$CI277&lt;&gt;"",'[1]Game Input'!$CI277,"")</f>
        <v>0</v>
      </c>
      <c r="AC277" s="9">
        <f>IF('[1]Game Input'!$CJ277&lt;&gt;"",'[1]Game Input'!$CJ277,"")</f>
        <v>0</v>
      </c>
      <c r="AD277" s="9">
        <f>IF('[1]Game Input'!$CK277&lt;&gt;"",'[1]Game Input'!$CK277,"")</f>
        <v>0</v>
      </c>
      <c r="AE277" s="8"/>
      <c r="AF277" s="8"/>
      <c r="AG277" s="8"/>
      <c r="AH277" s="8"/>
    </row>
    <row r="278" spans="1:34" x14ac:dyDescent="0.2">
      <c r="A278" s="6">
        <f>IF('[1]Game Input'!$A278&lt;&gt;"",'[1]Game Input'!$A278,"")</f>
        <v>43482</v>
      </c>
      <c r="B278" s="6" t="str">
        <f>IF(A278&gt;$B$1,VLOOKUP(MONTH($A278),DOTWMonth,2,FALSE),"")</f>
        <v>January</v>
      </c>
      <c r="C278" s="10" t="str">
        <f>IF(A278&gt;$B$1,VLOOKUP(WEEKDAY($A278),DOTWMonth,3,FALSE),"")</f>
        <v>Thursday</v>
      </c>
      <c r="D278" s="7">
        <f>IF('[1]Game Input'!$B278&lt;&gt;"",'[1]Game Input'!$B278,"")</f>
        <v>0.83680555555555547</v>
      </c>
      <c r="E278" s="7">
        <f>IF('[1]Game Input'!$C278&lt;&gt;"",'[1]Game Input'!$C278,"")</f>
        <v>0.79513888888888884</v>
      </c>
      <c r="F278" s="8" t="str">
        <f>IF('[1]Game Input'!$D278&lt;&gt;"",'[1]Game Input'!$D278,"")</f>
        <v>Standard</v>
      </c>
      <c r="G278" s="8" t="str">
        <f>IF('[1]Game Input'!$G278&lt;&gt;"",'[1]Game Input'!$G278,"")</f>
        <v>LIN @ MAD</v>
      </c>
      <c r="H278" s="8" t="str">
        <f>IF('[1]Game Input'!$H278&lt;&gt;"",'[1]Game Input'!$H278,"")</f>
        <v>Vs. Non-Conference</v>
      </c>
      <c r="I278" s="8" t="str">
        <f>IF('[1]Game Input'!$I278&lt;&gt;"",'[1]Game Input'!$I278,"")</f>
        <v>LINCOLN</v>
      </c>
      <c r="J278" s="9">
        <f>IF('[1]Game Input'!$AC278&lt;&gt;"",'[1]Game Input'!$AC278,"")</f>
        <v>6</v>
      </c>
      <c r="K278" s="9">
        <f>IF('[1]Game Input'!$AD278&lt;&gt;"",'[1]Game Input'!$AD278,"")</f>
        <v>3</v>
      </c>
      <c r="L278" s="9">
        <f>IF('[1]Game Input'!$AJ278&lt;&gt;"",'[1]Game Input'!$AJ278,"")</f>
        <v>0</v>
      </c>
      <c r="M278" s="9">
        <f>IF('[1]Game Input'!$AK278&lt;&gt;"",'[1]Game Input'!$AK278,"")</f>
        <v>0</v>
      </c>
      <c r="N278" s="9">
        <f>IF('[1]Game Input'!$AN278&lt;&gt;"",'[1]Game Input'!$AN278,"")</f>
        <v>3</v>
      </c>
      <c r="O278" s="9">
        <f>IF('[1]Game Input'!$AO278&lt;&gt;"",'[1]Game Input'!$AO278,"")</f>
        <v>0</v>
      </c>
      <c r="P278" s="9">
        <f>IF('[1]Game Input'!$AP278&lt;&gt;"",'[1]Game Input'!$AP278,"")</f>
        <v>0</v>
      </c>
      <c r="Q278" s="9">
        <f>IF('[1]Game Input'!$AQ278&lt;&gt;"",'[1]Game Input'!$AQ278,"")</f>
        <v>0</v>
      </c>
      <c r="R278" s="9">
        <f>IF('[1]Game Input'!$AR278&lt;&gt;"",'[1]Game Input'!$AR278,"")</f>
        <v>0</v>
      </c>
      <c r="S278" s="9">
        <f>IF('[1]Game Input'!$AS278&lt;&gt;"",'[1]Game Input'!$AS278,"")</f>
        <v>0</v>
      </c>
      <c r="T278" s="10" t="str">
        <f>IF('[1]Game Input'!$BA278&lt;&gt;"",'[1]Game Input'!$BA278,"")</f>
        <v>MADISON</v>
      </c>
      <c r="U278" s="9">
        <f>IF('[1]Game Input'!$BU278&lt;&gt;"",'[1]Game Input'!$BU278,"")</f>
        <v>12</v>
      </c>
      <c r="V278" s="9">
        <f>IF('[1]Game Input'!$BV278&lt;&gt;"",'[1]Game Input'!$BV278,"")</f>
        <v>6</v>
      </c>
      <c r="W278" s="9">
        <f>IF('[1]Game Input'!$CB278&lt;&gt;"",'[1]Game Input'!$CB278,"")</f>
        <v>0</v>
      </c>
      <c r="X278" s="9">
        <f>IF('[1]Game Input'!$CC278&lt;&gt;"",'[1]Game Input'!$CC278,"")</f>
        <v>0</v>
      </c>
      <c r="Y278" s="9">
        <f>IF('[1]Game Input'!$CF278&lt;&gt;"",'[1]Game Input'!$CF278,"")</f>
        <v>6</v>
      </c>
      <c r="Z278" s="9">
        <f>IF('[1]Game Input'!$CG278&lt;&gt;"",'[1]Game Input'!$CG278,"")</f>
        <v>0</v>
      </c>
      <c r="AA278" s="9">
        <f>IF('[1]Game Input'!$CH278&lt;&gt;"",'[1]Game Input'!$CH278,"")</f>
        <v>0</v>
      </c>
      <c r="AB278" s="9">
        <f>IF('[1]Game Input'!$CI278&lt;&gt;"",'[1]Game Input'!$CI278,"")</f>
        <v>0</v>
      </c>
      <c r="AC278" s="9">
        <f>IF('[1]Game Input'!$CJ278&lt;&gt;"",'[1]Game Input'!$CJ278,"")</f>
        <v>0</v>
      </c>
      <c r="AD278" s="9">
        <f>IF('[1]Game Input'!$CK278&lt;&gt;"",'[1]Game Input'!$CK278,"")</f>
        <v>0</v>
      </c>
      <c r="AE278" s="8"/>
      <c r="AF278" s="8"/>
      <c r="AG278" s="8"/>
      <c r="AH278" s="8"/>
    </row>
    <row r="279" spans="1:34" x14ac:dyDescent="0.2">
      <c r="A279" s="6">
        <f>IF('[1]Game Input'!$A279&lt;&gt;"",'[1]Game Input'!$A279,"")</f>
        <v>43483</v>
      </c>
      <c r="B279" s="6" t="str">
        <f>IF(A279&gt;$B$1,VLOOKUP(MONTH($A279),DOTWMonth,2,FALSE),"")</f>
        <v>January</v>
      </c>
      <c r="C279" s="10" t="str">
        <f>IF(A279&gt;$B$1,VLOOKUP(WEEKDAY($A279),DOTWMonth,3,FALSE),"")</f>
        <v>Friday</v>
      </c>
      <c r="D279" s="7">
        <f>IF('[1]Game Input'!$B279&lt;&gt;"",'[1]Game Input'!$B279,"")</f>
        <v>0.79513888888888884</v>
      </c>
      <c r="E279" s="7">
        <f>IF('[1]Game Input'!$C279&lt;&gt;"",'[1]Game Input'!$C279,"")</f>
        <v>0.75347222222222221</v>
      </c>
      <c r="F279" s="8" t="str">
        <f>IF('[1]Game Input'!$D279&lt;&gt;"",'[1]Game Input'!$D279,"")</f>
        <v>Standard</v>
      </c>
      <c r="G279" s="8" t="str">
        <f>IF('[1]Game Input'!$G279&lt;&gt;"",'[1]Game Input'!$G279,"")</f>
        <v>CR @ YNG</v>
      </c>
      <c r="H279" s="8" t="str">
        <f>IF('[1]Game Input'!$H279&lt;&gt;"",'[1]Game Input'!$H279,"")</f>
        <v>Vs. Conference</v>
      </c>
      <c r="I279" s="8" t="str">
        <f>IF('[1]Game Input'!$I279&lt;&gt;"",'[1]Game Input'!$I279,"")</f>
        <v>CEDAR RAPIDS</v>
      </c>
      <c r="J279" s="9">
        <f>IF('[1]Game Input'!$AC279&lt;&gt;"",'[1]Game Input'!$AC279,"")</f>
        <v>6</v>
      </c>
      <c r="K279" s="9">
        <f>IF('[1]Game Input'!$AD279&lt;&gt;"",'[1]Game Input'!$AD279,"")</f>
        <v>3</v>
      </c>
      <c r="L279" s="9">
        <f>IF('[1]Game Input'!$AJ279&lt;&gt;"",'[1]Game Input'!$AJ279,"")</f>
        <v>0</v>
      </c>
      <c r="M279" s="9">
        <f>IF('[1]Game Input'!$AK279&lt;&gt;"",'[1]Game Input'!$AK279,"")</f>
        <v>0</v>
      </c>
      <c r="N279" s="9">
        <f>IF('[1]Game Input'!$AN279&lt;&gt;"",'[1]Game Input'!$AN279,"")</f>
        <v>3</v>
      </c>
      <c r="O279" s="9">
        <f>IF('[1]Game Input'!$AO279&lt;&gt;"",'[1]Game Input'!$AO279,"")</f>
        <v>0</v>
      </c>
      <c r="P279" s="9">
        <f>IF('[1]Game Input'!$AP279&lt;&gt;"",'[1]Game Input'!$AP279,"")</f>
        <v>0</v>
      </c>
      <c r="Q279" s="9">
        <f>IF('[1]Game Input'!$AQ279&lt;&gt;"",'[1]Game Input'!$AQ279,"")</f>
        <v>0</v>
      </c>
      <c r="R279" s="9">
        <f>IF('[1]Game Input'!$AR279&lt;&gt;"",'[1]Game Input'!$AR279,"")</f>
        <v>0</v>
      </c>
      <c r="S279" s="9">
        <f>IF('[1]Game Input'!$AS279&lt;&gt;"",'[1]Game Input'!$AS279,"")</f>
        <v>0</v>
      </c>
      <c r="T279" s="10" t="str">
        <f>IF('[1]Game Input'!$BA279&lt;&gt;"",'[1]Game Input'!$BA279,"")</f>
        <v>YOUNGSTOWN</v>
      </c>
      <c r="U279" s="9">
        <f>IF('[1]Game Input'!$BU279&lt;&gt;"",'[1]Game Input'!$BU279,"")</f>
        <v>10</v>
      </c>
      <c r="V279" s="9">
        <f>IF('[1]Game Input'!$BV279&lt;&gt;"",'[1]Game Input'!$BV279,"")</f>
        <v>5</v>
      </c>
      <c r="W279" s="9">
        <f>IF('[1]Game Input'!$CB279&lt;&gt;"",'[1]Game Input'!$CB279,"")</f>
        <v>0</v>
      </c>
      <c r="X279" s="9">
        <f>IF('[1]Game Input'!$CC279&lt;&gt;"",'[1]Game Input'!$CC279,"")</f>
        <v>0</v>
      </c>
      <c r="Y279" s="9">
        <f>IF('[1]Game Input'!$CF279&lt;&gt;"",'[1]Game Input'!$CF279,"")</f>
        <v>5</v>
      </c>
      <c r="Z279" s="9">
        <f>IF('[1]Game Input'!$CG279&lt;&gt;"",'[1]Game Input'!$CG279,"")</f>
        <v>0</v>
      </c>
      <c r="AA279" s="9">
        <f>IF('[1]Game Input'!$CH279&lt;&gt;"",'[1]Game Input'!$CH279,"")</f>
        <v>0</v>
      </c>
      <c r="AB279" s="9">
        <f>IF('[1]Game Input'!$CI279&lt;&gt;"",'[1]Game Input'!$CI279,"")</f>
        <v>0</v>
      </c>
      <c r="AC279" s="9">
        <f>IF('[1]Game Input'!$CJ279&lt;&gt;"",'[1]Game Input'!$CJ279,"")</f>
        <v>0</v>
      </c>
      <c r="AD279" s="9">
        <f>IF('[1]Game Input'!$CK279&lt;&gt;"",'[1]Game Input'!$CK279,"")</f>
        <v>0</v>
      </c>
      <c r="AE279" s="8" t="s">
        <v>157</v>
      </c>
      <c r="AF279" s="8" t="s">
        <v>93</v>
      </c>
      <c r="AG279" s="8" t="s">
        <v>158</v>
      </c>
      <c r="AH279" s="8" t="s">
        <v>155</v>
      </c>
    </row>
    <row r="280" spans="1:34" x14ac:dyDescent="0.2">
      <c r="A280" s="6">
        <f>IF('[1]Game Input'!$A280&lt;&gt;"",'[1]Game Input'!$A280,"")</f>
        <v>43483</v>
      </c>
      <c r="B280" s="6" t="str">
        <f>IF(A280&gt;$B$1,VLOOKUP(MONTH($A280),DOTWMonth,2,FALSE),"")</f>
        <v>January</v>
      </c>
      <c r="C280" s="10" t="str">
        <f>IF(A280&gt;$B$1,VLOOKUP(WEEKDAY($A280),DOTWMonth,3,FALSE),"")</f>
        <v>Friday</v>
      </c>
      <c r="D280" s="7">
        <f>IF('[1]Game Input'!$B280&lt;&gt;"",'[1]Game Input'!$B280,"")</f>
        <v>0.83680555555555547</v>
      </c>
      <c r="E280" s="7">
        <f>IF('[1]Game Input'!$C280&lt;&gt;"",'[1]Game Input'!$C280,"")</f>
        <v>0.79513888888888884</v>
      </c>
      <c r="F280" s="8" t="str">
        <f>IF('[1]Game Input'!$D280&lt;&gt;"",'[1]Game Input'!$D280,"")</f>
        <v>Standard</v>
      </c>
      <c r="G280" s="8" t="str">
        <f>IF('[1]Game Input'!$G280&lt;&gt;"",'[1]Game Input'!$G280,"")</f>
        <v>CIL @ CHI</v>
      </c>
      <c r="H280" s="8" t="str">
        <f>IF('[1]Game Input'!$H280&lt;&gt;"",'[1]Game Input'!$H280,"")</f>
        <v>Vs. Conference</v>
      </c>
      <c r="I280" s="8" t="str">
        <f>IF('[1]Game Input'!$I280&lt;&gt;"",'[1]Game Input'!$I280,"")</f>
        <v>CENTRAL ILLINOIS</v>
      </c>
      <c r="J280" s="9">
        <f>IF('[1]Game Input'!$AC280&lt;&gt;"",'[1]Game Input'!$AC280,"")</f>
        <v>6</v>
      </c>
      <c r="K280" s="9">
        <f>IF('[1]Game Input'!$AD280&lt;&gt;"",'[1]Game Input'!$AD280,"")</f>
        <v>3</v>
      </c>
      <c r="L280" s="9">
        <f>IF('[1]Game Input'!$AJ280&lt;&gt;"",'[1]Game Input'!$AJ280,"")</f>
        <v>0</v>
      </c>
      <c r="M280" s="9">
        <f>IF('[1]Game Input'!$AK280&lt;&gt;"",'[1]Game Input'!$AK280,"")</f>
        <v>0</v>
      </c>
      <c r="N280" s="9">
        <f>IF('[1]Game Input'!$AN280&lt;&gt;"",'[1]Game Input'!$AN280,"")</f>
        <v>3</v>
      </c>
      <c r="O280" s="9">
        <f>IF('[1]Game Input'!$AO280&lt;&gt;"",'[1]Game Input'!$AO280,"")</f>
        <v>0</v>
      </c>
      <c r="P280" s="9">
        <f>IF('[1]Game Input'!$AP280&lt;&gt;"",'[1]Game Input'!$AP280,"")</f>
        <v>0</v>
      </c>
      <c r="Q280" s="9">
        <f>IF('[1]Game Input'!$AQ280&lt;&gt;"",'[1]Game Input'!$AQ280,"")</f>
        <v>0</v>
      </c>
      <c r="R280" s="9">
        <f>IF('[1]Game Input'!$AR280&lt;&gt;"",'[1]Game Input'!$AR280,"")</f>
        <v>0</v>
      </c>
      <c r="S280" s="9">
        <f>IF('[1]Game Input'!$AS280&lt;&gt;"",'[1]Game Input'!$AS280,"")</f>
        <v>0</v>
      </c>
      <c r="T280" s="10" t="str">
        <f>IF('[1]Game Input'!$BA280&lt;&gt;"",'[1]Game Input'!$BA280,"")</f>
        <v>CHICAGO</v>
      </c>
      <c r="U280" s="9">
        <f>IF('[1]Game Input'!$BU280&lt;&gt;"",'[1]Game Input'!$BU280,"")</f>
        <v>7</v>
      </c>
      <c r="V280" s="9">
        <f>IF('[1]Game Input'!$BV280&lt;&gt;"",'[1]Game Input'!$BV280,"")</f>
        <v>2</v>
      </c>
      <c r="W280" s="9">
        <f>IF('[1]Game Input'!$CB280&lt;&gt;"",'[1]Game Input'!$CB280,"")</f>
        <v>0</v>
      </c>
      <c r="X280" s="9">
        <f>IF('[1]Game Input'!$CC280&lt;&gt;"",'[1]Game Input'!$CC280,"")</f>
        <v>0</v>
      </c>
      <c r="Y280" s="9">
        <f>IF('[1]Game Input'!$CF280&lt;&gt;"",'[1]Game Input'!$CF280,"")</f>
        <v>1</v>
      </c>
      <c r="Z280" s="9">
        <f>IF('[1]Game Input'!$CG280&lt;&gt;"",'[1]Game Input'!$CG280,"")</f>
        <v>1</v>
      </c>
      <c r="AA280" s="9">
        <f>IF('[1]Game Input'!$CH280&lt;&gt;"",'[1]Game Input'!$CH280,"")</f>
        <v>0</v>
      </c>
      <c r="AB280" s="9">
        <f>IF('[1]Game Input'!$CI280&lt;&gt;"",'[1]Game Input'!$CI280,"")</f>
        <v>0</v>
      </c>
      <c r="AC280" s="9">
        <f>IF('[1]Game Input'!$CJ280&lt;&gt;"",'[1]Game Input'!$CJ280,"")</f>
        <v>0</v>
      </c>
      <c r="AD280" s="9">
        <f>IF('[1]Game Input'!$CK280&lt;&gt;"",'[1]Game Input'!$CK280,"")</f>
        <v>0</v>
      </c>
      <c r="AE280" s="8" t="s">
        <v>95</v>
      </c>
      <c r="AF280" s="8" t="s">
        <v>127</v>
      </c>
      <c r="AG280" s="8" t="s">
        <v>113</v>
      </c>
      <c r="AH280" s="8" t="s">
        <v>141</v>
      </c>
    </row>
    <row r="281" spans="1:34" x14ac:dyDescent="0.2">
      <c r="A281" s="6">
        <f>IF('[1]Game Input'!$A281&lt;&gt;"",'[1]Game Input'!$A281,"")</f>
        <v>43483</v>
      </c>
      <c r="B281" s="6" t="str">
        <f>IF(A281&gt;$B$1,VLOOKUP(MONTH($A281),DOTWMonth,2,FALSE),"")</f>
        <v>January</v>
      </c>
      <c r="C281" s="10" t="str">
        <f>IF(A281&gt;$B$1,VLOOKUP(WEEKDAY($A281),DOTWMonth,3,FALSE),"")</f>
        <v>Friday</v>
      </c>
      <c r="D281" s="7">
        <f>IF('[1]Game Input'!$B281&lt;&gt;"",'[1]Game Input'!$B281,"")</f>
        <v>0.83680555555555547</v>
      </c>
      <c r="E281" s="7">
        <f>IF('[1]Game Input'!$C281&lt;&gt;"",'[1]Game Input'!$C281,"")</f>
        <v>0.79513888888888884</v>
      </c>
      <c r="F281" s="8" t="str">
        <f>IF('[1]Game Input'!$D281&lt;&gt;"",'[1]Game Input'!$D281,"")</f>
        <v>Standard</v>
      </c>
      <c r="G281" s="8" t="str">
        <f>IF('[1]Game Input'!$G281&lt;&gt;"",'[1]Game Input'!$G281,"")</f>
        <v>SF @ FGO</v>
      </c>
      <c r="H281" s="8" t="str">
        <f>IF('[1]Game Input'!$H281&lt;&gt;"",'[1]Game Input'!$H281,"")</f>
        <v>Vs. Conference</v>
      </c>
      <c r="I281" s="8" t="str">
        <f>IF('[1]Game Input'!$I281&lt;&gt;"",'[1]Game Input'!$I281,"")</f>
        <v>SIOUX FALLS</v>
      </c>
      <c r="J281" s="9">
        <f>IF('[1]Game Input'!$AC281&lt;&gt;"",'[1]Game Input'!$AC281,"")</f>
        <v>12</v>
      </c>
      <c r="K281" s="9">
        <f>IF('[1]Game Input'!$AD281&lt;&gt;"",'[1]Game Input'!$AD281,"")</f>
        <v>6</v>
      </c>
      <c r="L281" s="9">
        <f>IF('[1]Game Input'!$AJ281&lt;&gt;"",'[1]Game Input'!$AJ281,"")</f>
        <v>0</v>
      </c>
      <c r="M281" s="9">
        <f>IF('[1]Game Input'!$AK281&lt;&gt;"",'[1]Game Input'!$AK281,"")</f>
        <v>0</v>
      </c>
      <c r="N281" s="9">
        <f>IF('[1]Game Input'!$AN281&lt;&gt;"",'[1]Game Input'!$AN281,"")</f>
        <v>6</v>
      </c>
      <c r="O281" s="9">
        <f>IF('[1]Game Input'!$AO281&lt;&gt;"",'[1]Game Input'!$AO281,"")</f>
        <v>0</v>
      </c>
      <c r="P281" s="9">
        <f>IF('[1]Game Input'!$AP281&lt;&gt;"",'[1]Game Input'!$AP281,"")</f>
        <v>0</v>
      </c>
      <c r="Q281" s="9">
        <f>IF('[1]Game Input'!$AQ281&lt;&gt;"",'[1]Game Input'!$AQ281,"")</f>
        <v>0</v>
      </c>
      <c r="R281" s="9">
        <f>IF('[1]Game Input'!$AR281&lt;&gt;"",'[1]Game Input'!$AR281,"")</f>
        <v>0</v>
      </c>
      <c r="S281" s="9">
        <f>IF('[1]Game Input'!$AS281&lt;&gt;"",'[1]Game Input'!$AS281,"")</f>
        <v>0</v>
      </c>
      <c r="T281" s="10" t="str">
        <f>IF('[1]Game Input'!$BA281&lt;&gt;"",'[1]Game Input'!$BA281,"")</f>
        <v>FARGO</v>
      </c>
      <c r="U281" s="9">
        <f>IF('[1]Game Input'!$BU281&lt;&gt;"",'[1]Game Input'!$BU281,"")</f>
        <v>12</v>
      </c>
      <c r="V281" s="9">
        <f>IF('[1]Game Input'!$BV281&lt;&gt;"",'[1]Game Input'!$BV281,"")</f>
        <v>6</v>
      </c>
      <c r="W281" s="9">
        <f>IF('[1]Game Input'!$CB281&lt;&gt;"",'[1]Game Input'!$CB281,"")</f>
        <v>0</v>
      </c>
      <c r="X281" s="9">
        <f>IF('[1]Game Input'!$CC281&lt;&gt;"",'[1]Game Input'!$CC281,"")</f>
        <v>0</v>
      </c>
      <c r="Y281" s="9">
        <f>IF('[1]Game Input'!$CF281&lt;&gt;"",'[1]Game Input'!$CF281,"")</f>
        <v>6</v>
      </c>
      <c r="Z281" s="9">
        <f>IF('[1]Game Input'!$CG281&lt;&gt;"",'[1]Game Input'!$CG281,"")</f>
        <v>0</v>
      </c>
      <c r="AA281" s="9">
        <f>IF('[1]Game Input'!$CH281&lt;&gt;"",'[1]Game Input'!$CH281,"")</f>
        <v>0</v>
      </c>
      <c r="AB281" s="9">
        <f>IF('[1]Game Input'!$CI281&lt;&gt;"",'[1]Game Input'!$CI281,"")</f>
        <v>0</v>
      </c>
      <c r="AC281" s="9">
        <f>IF('[1]Game Input'!$CJ281&lt;&gt;"",'[1]Game Input'!$CJ281,"")</f>
        <v>0</v>
      </c>
      <c r="AD281" s="9">
        <f>IF('[1]Game Input'!$CK281&lt;&gt;"",'[1]Game Input'!$CK281,"")</f>
        <v>0</v>
      </c>
      <c r="AE281" s="8"/>
      <c r="AF281" s="8"/>
      <c r="AG281" s="8"/>
      <c r="AH281" s="8"/>
    </row>
    <row r="282" spans="1:34" x14ac:dyDescent="0.2">
      <c r="A282" s="6">
        <f>IF('[1]Game Input'!$A282&lt;&gt;"",'[1]Game Input'!$A282,"")</f>
        <v>43483</v>
      </c>
      <c r="B282" s="6" t="str">
        <f>IF(A282&gt;$B$1,VLOOKUP(MONTH($A282),DOTWMonth,2,FALSE),"")</f>
        <v>January</v>
      </c>
      <c r="C282" s="10" t="str">
        <f>IF(A282&gt;$B$1,VLOOKUP(WEEKDAY($A282),DOTWMonth,3,FALSE),"")</f>
        <v>Friday</v>
      </c>
      <c r="D282" s="7">
        <f>IF('[1]Game Input'!$B282&lt;&gt;"",'[1]Game Input'!$B282,"")</f>
        <v>0.83680555555555547</v>
      </c>
      <c r="E282" s="7">
        <f>IF('[1]Game Input'!$C282&lt;&gt;"",'[1]Game Input'!$C282,"")</f>
        <v>0.79513888888888884</v>
      </c>
      <c r="F282" s="8" t="str">
        <f>IF('[1]Game Input'!$D282&lt;&gt;"",'[1]Game Input'!$D282,"")</f>
        <v>Standard</v>
      </c>
      <c r="G282" s="8" t="str">
        <f>IF('[1]Game Input'!$G282&lt;&gt;"",'[1]Game Input'!$G282,"")</f>
        <v>USA @ GB</v>
      </c>
      <c r="H282" s="8" t="str">
        <f>IF('[1]Game Input'!$H282&lt;&gt;"",'[1]Game Input'!$H282,"")</f>
        <v>Vs. Conference</v>
      </c>
      <c r="I282" s="8" t="str">
        <f>IF('[1]Game Input'!$I282&lt;&gt;"",'[1]Game Input'!$I282,"")</f>
        <v>TEAM USA</v>
      </c>
      <c r="J282" s="9">
        <f>IF('[1]Game Input'!$AC282&lt;&gt;"",'[1]Game Input'!$AC282,"")</f>
        <v>12</v>
      </c>
      <c r="K282" s="9">
        <f>IF('[1]Game Input'!$AD282&lt;&gt;"",'[1]Game Input'!$AD282,"")</f>
        <v>6</v>
      </c>
      <c r="L282" s="9">
        <f>IF('[1]Game Input'!$AJ282&lt;&gt;"",'[1]Game Input'!$AJ282,"")</f>
        <v>0</v>
      </c>
      <c r="M282" s="9">
        <f>IF('[1]Game Input'!$AK282&lt;&gt;"",'[1]Game Input'!$AK282,"")</f>
        <v>0</v>
      </c>
      <c r="N282" s="9">
        <f>IF('[1]Game Input'!$AN282&lt;&gt;"",'[1]Game Input'!$AN282,"")</f>
        <v>6</v>
      </c>
      <c r="O282" s="9">
        <f>IF('[1]Game Input'!$AO282&lt;&gt;"",'[1]Game Input'!$AO282,"")</f>
        <v>0</v>
      </c>
      <c r="P282" s="9">
        <f>IF('[1]Game Input'!$AP282&lt;&gt;"",'[1]Game Input'!$AP282,"")</f>
        <v>0</v>
      </c>
      <c r="Q282" s="9">
        <f>IF('[1]Game Input'!$AQ282&lt;&gt;"",'[1]Game Input'!$AQ282,"")</f>
        <v>0</v>
      </c>
      <c r="R282" s="9">
        <f>IF('[1]Game Input'!$AR282&lt;&gt;"",'[1]Game Input'!$AR282,"")</f>
        <v>0</v>
      </c>
      <c r="S282" s="9">
        <f>IF('[1]Game Input'!$AS282&lt;&gt;"",'[1]Game Input'!$AS282,"")</f>
        <v>0</v>
      </c>
      <c r="T282" s="10" t="str">
        <f>IF('[1]Game Input'!$BA282&lt;&gt;"",'[1]Game Input'!$BA282,"")</f>
        <v>GREEN BAY</v>
      </c>
      <c r="U282" s="9">
        <f>IF('[1]Game Input'!$BU282&lt;&gt;"",'[1]Game Input'!$BU282,"")</f>
        <v>10</v>
      </c>
      <c r="V282" s="9">
        <f>IF('[1]Game Input'!$BV282&lt;&gt;"",'[1]Game Input'!$BV282,"")</f>
        <v>5</v>
      </c>
      <c r="W282" s="9">
        <f>IF('[1]Game Input'!$CB282&lt;&gt;"",'[1]Game Input'!$CB282,"")</f>
        <v>0</v>
      </c>
      <c r="X282" s="9">
        <f>IF('[1]Game Input'!$CC282&lt;&gt;"",'[1]Game Input'!$CC282,"")</f>
        <v>0</v>
      </c>
      <c r="Y282" s="9">
        <f>IF('[1]Game Input'!$CF282&lt;&gt;"",'[1]Game Input'!$CF282,"")</f>
        <v>5</v>
      </c>
      <c r="Z282" s="9">
        <f>IF('[1]Game Input'!$CG282&lt;&gt;"",'[1]Game Input'!$CG282,"")</f>
        <v>0</v>
      </c>
      <c r="AA282" s="9">
        <f>IF('[1]Game Input'!$CH282&lt;&gt;"",'[1]Game Input'!$CH282,"")</f>
        <v>0</v>
      </c>
      <c r="AB282" s="9">
        <f>IF('[1]Game Input'!$CI282&lt;&gt;"",'[1]Game Input'!$CI282,"")</f>
        <v>0</v>
      </c>
      <c r="AC282" s="9">
        <f>IF('[1]Game Input'!$CJ282&lt;&gt;"",'[1]Game Input'!$CJ282,"")</f>
        <v>0</v>
      </c>
      <c r="AD282" s="9">
        <f>IF('[1]Game Input'!$CK282&lt;&gt;"",'[1]Game Input'!$CK282,"")</f>
        <v>0</v>
      </c>
      <c r="AE282" s="8"/>
      <c r="AF282" s="8"/>
      <c r="AG282" s="8"/>
      <c r="AH282" s="8"/>
    </row>
    <row r="283" spans="1:34" x14ac:dyDescent="0.2">
      <c r="A283" s="6">
        <f>IF('[1]Game Input'!$A283&lt;&gt;"",'[1]Game Input'!$A283,"")</f>
        <v>43483</v>
      </c>
      <c r="B283" s="6" t="str">
        <f>IF(A283&gt;$B$1,VLOOKUP(MONTH($A283),DOTWMonth,2,FALSE),"")</f>
        <v>January</v>
      </c>
      <c r="C283" s="10" t="str">
        <f>IF(A283&gt;$B$1,VLOOKUP(WEEKDAY($A283),DOTWMonth,3,FALSE),"")</f>
        <v>Friday</v>
      </c>
      <c r="D283" s="7">
        <f>IF('[1]Game Input'!$B283&lt;&gt;"",'[1]Game Input'!$B283,"")</f>
        <v>0.83680555555555547</v>
      </c>
      <c r="E283" s="7">
        <f>IF('[1]Game Input'!$C283&lt;&gt;"",'[1]Game Input'!$C283,"")</f>
        <v>0.79513888888888884</v>
      </c>
      <c r="F283" s="8" t="str">
        <f>IF('[1]Game Input'!$D283&lt;&gt;"",'[1]Game Input'!$D283,"")</f>
        <v>Standard</v>
      </c>
      <c r="G283" s="8" t="str">
        <f>IF('[1]Game Input'!$G283&lt;&gt;"",'[1]Game Input'!$G283,"")</f>
        <v>WAT @ DUB</v>
      </c>
      <c r="H283" s="8" t="str">
        <f>IF('[1]Game Input'!$H283&lt;&gt;"",'[1]Game Input'!$H283,"")</f>
        <v>Vs. Non-Conference</v>
      </c>
      <c r="I283" s="8" t="str">
        <f>IF('[1]Game Input'!$I283&lt;&gt;"",'[1]Game Input'!$I283,"")</f>
        <v>WATERLOO</v>
      </c>
      <c r="J283" s="9">
        <f>IF('[1]Game Input'!$AC283&lt;&gt;"",'[1]Game Input'!$AC283,"")</f>
        <v>6</v>
      </c>
      <c r="K283" s="9">
        <f>IF('[1]Game Input'!$AD283&lt;&gt;"",'[1]Game Input'!$AD283,"")</f>
        <v>3</v>
      </c>
      <c r="L283" s="9">
        <f>IF('[1]Game Input'!$AJ283&lt;&gt;"",'[1]Game Input'!$AJ283,"")</f>
        <v>0</v>
      </c>
      <c r="M283" s="9">
        <f>IF('[1]Game Input'!$AK283&lt;&gt;"",'[1]Game Input'!$AK283,"")</f>
        <v>0</v>
      </c>
      <c r="N283" s="9">
        <f>IF('[1]Game Input'!$AN283&lt;&gt;"",'[1]Game Input'!$AN283,"")</f>
        <v>3</v>
      </c>
      <c r="O283" s="9">
        <f>IF('[1]Game Input'!$AO283&lt;&gt;"",'[1]Game Input'!$AO283,"")</f>
        <v>0</v>
      </c>
      <c r="P283" s="9">
        <f>IF('[1]Game Input'!$AP283&lt;&gt;"",'[1]Game Input'!$AP283,"")</f>
        <v>0</v>
      </c>
      <c r="Q283" s="9">
        <f>IF('[1]Game Input'!$AQ283&lt;&gt;"",'[1]Game Input'!$AQ283,"")</f>
        <v>0</v>
      </c>
      <c r="R283" s="9">
        <f>IF('[1]Game Input'!$AR283&lt;&gt;"",'[1]Game Input'!$AR283,"")</f>
        <v>0</v>
      </c>
      <c r="S283" s="9">
        <f>IF('[1]Game Input'!$AS283&lt;&gt;"",'[1]Game Input'!$AS283,"")</f>
        <v>0</v>
      </c>
      <c r="T283" s="10" t="str">
        <f>IF('[1]Game Input'!$BA283&lt;&gt;"",'[1]Game Input'!$BA283,"")</f>
        <v>DUBUQUE</v>
      </c>
      <c r="U283" s="9">
        <f>IF('[1]Game Input'!$BU283&lt;&gt;"",'[1]Game Input'!$BU283,"")</f>
        <v>10</v>
      </c>
      <c r="V283" s="9">
        <f>IF('[1]Game Input'!$BV283&lt;&gt;"",'[1]Game Input'!$BV283,"")</f>
        <v>5</v>
      </c>
      <c r="W283" s="9">
        <f>IF('[1]Game Input'!$CB283&lt;&gt;"",'[1]Game Input'!$CB283,"")</f>
        <v>0</v>
      </c>
      <c r="X283" s="9">
        <f>IF('[1]Game Input'!$CC283&lt;&gt;"",'[1]Game Input'!$CC283,"")</f>
        <v>0</v>
      </c>
      <c r="Y283" s="9">
        <f>IF('[1]Game Input'!$CF283&lt;&gt;"",'[1]Game Input'!$CF283,"")</f>
        <v>5</v>
      </c>
      <c r="Z283" s="9">
        <f>IF('[1]Game Input'!$CG283&lt;&gt;"",'[1]Game Input'!$CG283,"")</f>
        <v>0</v>
      </c>
      <c r="AA283" s="9">
        <f>IF('[1]Game Input'!$CH283&lt;&gt;"",'[1]Game Input'!$CH283,"")</f>
        <v>0</v>
      </c>
      <c r="AB283" s="9">
        <f>IF('[1]Game Input'!$CI283&lt;&gt;"",'[1]Game Input'!$CI283,"")</f>
        <v>0</v>
      </c>
      <c r="AC283" s="9">
        <f>IF('[1]Game Input'!$CJ283&lt;&gt;"",'[1]Game Input'!$CJ283,"")</f>
        <v>0</v>
      </c>
      <c r="AD283" s="9">
        <f>IF('[1]Game Input'!$CK283&lt;&gt;"",'[1]Game Input'!$CK283,"")</f>
        <v>0</v>
      </c>
      <c r="AE283" s="8"/>
      <c r="AF283" s="8"/>
      <c r="AG283" s="8"/>
      <c r="AH283" s="8"/>
    </row>
    <row r="284" spans="1:34" x14ac:dyDescent="0.2">
      <c r="A284" s="6">
        <f>IF('[1]Game Input'!$A284&lt;&gt;"",'[1]Game Input'!$A284,"")</f>
        <v>43483</v>
      </c>
      <c r="B284" s="6" t="str">
        <f>IF(A284&gt;$B$1,VLOOKUP(MONTH($A284),DOTWMonth,2,FALSE),"")</f>
        <v>January</v>
      </c>
      <c r="C284" s="10" t="str">
        <f>IF(A284&gt;$B$1,VLOOKUP(WEEKDAY($A284),DOTWMonth,3,FALSE),"")</f>
        <v>Friday</v>
      </c>
      <c r="D284" s="7">
        <f>IF('[1]Game Input'!$B284&lt;&gt;"",'[1]Game Input'!$B284,"")</f>
        <v>0.83680555555555547</v>
      </c>
      <c r="E284" s="7">
        <f>IF('[1]Game Input'!$C284&lt;&gt;"",'[1]Game Input'!$C284,"")</f>
        <v>0.79513888888888884</v>
      </c>
      <c r="F284" s="8" t="str">
        <f>IF('[1]Game Input'!$D284&lt;&gt;"",'[1]Game Input'!$D284,"")</f>
        <v>Standard</v>
      </c>
      <c r="G284" s="8" t="str">
        <f>IF('[1]Game Input'!$G284&lt;&gt;"",'[1]Game Input'!$G284,"")</f>
        <v>SC @ MAD</v>
      </c>
      <c r="H284" s="8" t="str">
        <f>IF('[1]Game Input'!$H284&lt;&gt;"",'[1]Game Input'!$H284,"")</f>
        <v>Vs. Non-Conference</v>
      </c>
      <c r="I284" s="8" t="str">
        <f>IF('[1]Game Input'!$I284&lt;&gt;"",'[1]Game Input'!$I284,"")</f>
        <v>SIOUX CITY</v>
      </c>
      <c r="J284" s="9">
        <f>IF('[1]Game Input'!$AC284&lt;&gt;"",'[1]Game Input'!$AC284,"")</f>
        <v>2</v>
      </c>
      <c r="K284" s="9">
        <f>IF('[1]Game Input'!$AD284&lt;&gt;"",'[1]Game Input'!$AD284,"")</f>
        <v>1</v>
      </c>
      <c r="L284" s="9">
        <f>IF('[1]Game Input'!$AJ284&lt;&gt;"",'[1]Game Input'!$AJ284,"")</f>
        <v>0</v>
      </c>
      <c r="M284" s="9">
        <f>IF('[1]Game Input'!$AK284&lt;&gt;"",'[1]Game Input'!$AK284,"")</f>
        <v>0</v>
      </c>
      <c r="N284" s="9">
        <f>IF('[1]Game Input'!$AN284&lt;&gt;"",'[1]Game Input'!$AN284,"")</f>
        <v>1</v>
      </c>
      <c r="O284" s="9">
        <f>IF('[1]Game Input'!$AO284&lt;&gt;"",'[1]Game Input'!$AO284,"")</f>
        <v>0</v>
      </c>
      <c r="P284" s="9">
        <f>IF('[1]Game Input'!$AP284&lt;&gt;"",'[1]Game Input'!$AP284,"")</f>
        <v>0</v>
      </c>
      <c r="Q284" s="9">
        <f>IF('[1]Game Input'!$AQ284&lt;&gt;"",'[1]Game Input'!$AQ284,"")</f>
        <v>0</v>
      </c>
      <c r="R284" s="9">
        <f>IF('[1]Game Input'!$AR284&lt;&gt;"",'[1]Game Input'!$AR284,"")</f>
        <v>0</v>
      </c>
      <c r="S284" s="9">
        <f>IF('[1]Game Input'!$AS284&lt;&gt;"",'[1]Game Input'!$AS284,"")</f>
        <v>0</v>
      </c>
      <c r="T284" s="10" t="str">
        <f>IF('[1]Game Input'!$BA284&lt;&gt;"",'[1]Game Input'!$BA284,"")</f>
        <v>MADISON</v>
      </c>
      <c r="U284" s="9">
        <f>IF('[1]Game Input'!$BU284&lt;&gt;"",'[1]Game Input'!$BU284,"")</f>
        <v>6</v>
      </c>
      <c r="V284" s="9">
        <f>IF('[1]Game Input'!$BV284&lt;&gt;"",'[1]Game Input'!$BV284,"")</f>
        <v>3</v>
      </c>
      <c r="W284" s="9">
        <f>IF('[1]Game Input'!$CB284&lt;&gt;"",'[1]Game Input'!$CB284,"")</f>
        <v>0</v>
      </c>
      <c r="X284" s="9">
        <f>IF('[1]Game Input'!$CC284&lt;&gt;"",'[1]Game Input'!$CC284,"")</f>
        <v>0</v>
      </c>
      <c r="Y284" s="9">
        <f>IF('[1]Game Input'!$CF284&lt;&gt;"",'[1]Game Input'!$CF284,"")</f>
        <v>3</v>
      </c>
      <c r="Z284" s="9">
        <f>IF('[1]Game Input'!$CG284&lt;&gt;"",'[1]Game Input'!$CG284,"")</f>
        <v>0</v>
      </c>
      <c r="AA284" s="9">
        <f>IF('[1]Game Input'!$CH284&lt;&gt;"",'[1]Game Input'!$CH284,"")</f>
        <v>0</v>
      </c>
      <c r="AB284" s="9">
        <f>IF('[1]Game Input'!$CI284&lt;&gt;"",'[1]Game Input'!$CI284,"")</f>
        <v>0</v>
      </c>
      <c r="AC284" s="9">
        <f>IF('[1]Game Input'!$CJ284&lt;&gt;"",'[1]Game Input'!$CJ284,"")</f>
        <v>0</v>
      </c>
      <c r="AD284" s="9">
        <f>IF('[1]Game Input'!$CK284&lt;&gt;"",'[1]Game Input'!$CK284,"")</f>
        <v>0</v>
      </c>
      <c r="AE284" s="8"/>
      <c r="AF284" s="8"/>
      <c r="AG284" s="8"/>
      <c r="AH284" s="8"/>
    </row>
    <row r="285" spans="1:34" x14ac:dyDescent="0.2">
      <c r="A285" s="6">
        <f>IF('[1]Game Input'!$A285&lt;&gt;"",'[1]Game Input'!$A285,"")</f>
        <v>43483</v>
      </c>
      <c r="B285" s="6" t="str">
        <f>IF(A285&gt;$B$1,VLOOKUP(MONTH($A285),DOTWMonth,2,FALSE),"")</f>
        <v>January</v>
      </c>
      <c r="C285" s="10" t="str">
        <f>IF(A285&gt;$B$1,VLOOKUP(WEEKDAY($A285),DOTWMonth,3,FALSE),"")</f>
        <v>Friday</v>
      </c>
      <c r="D285" s="7">
        <f>IF('[1]Game Input'!$B285&lt;&gt;"",'[1]Game Input'!$B285,"")</f>
        <v>0.83680555555555547</v>
      </c>
      <c r="E285" s="7">
        <f>IF('[1]Game Input'!$C285&lt;&gt;"",'[1]Game Input'!$C285,"")</f>
        <v>0.79513888888888884</v>
      </c>
      <c r="F285" s="8" t="str">
        <f>IF('[1]Game Input'!$D285&lt;&gt;"",'[1]Game Input'!$D285,"")</f>
        <v>Standard</v>
      </c>
      <c r="G285" s="8" t="str">
        <f>IF('[1]Game Input'!$G285&lt;&gt;"",'[1]Game Input'!$G285,"")</f>
        <v>MUS @ TC</v>
      </c>
      <c r="H285" s="8" t="str">
        <f>IF('[1]Game Input'!$H285&lt;&gt;"",'[1]Game Input'!$H285,"")</f>
        <v>Vs. Non-Conference</v>
      </c>
      <c r="I285" s="8" t="str">
        <f>IF('[1]Game Input'!$I285&lt;&gt;"",'[1]Game Input'!$I285,"")</f>
        <v>MUSKEGON</v>
      </c>
      <c r="J285" s="9">
        <f>IF('[1]Game Input'!$AC285&lt;&gt;"",'[1]Game Input'!$AC285,"")</f>
        <v>8</v>
      </c>
      <c r="K285" s="9">
        <f>IF('[1]Game Input'!$AD285&lt;&gt;"",'[1]Game Input'!$AD285,"")</f>
        <v>4</v>
      </c>
      <c r="L285" s="9">
        <f>IF('[1]Game Input'!$AJ285&lt;&gt;"",'[1]Game Input'!$AJ285,"")</f>
        <v>0</v>
      </c>
      <c r="M285" s="9">
        <f>IF('[1]Game Input'!$AK285&lt;&gt;"",'[1]Game Input'!$AK285,"")</f>
        <v>0</v>
      </c>
      <c r="N285" s="9">
        <f>IF('[1]Game Input'!$AN285&lt;&gt;"",'[1]Game Input'!$AN285,"")</f>
        <v>4</v>
      </c>
      <c r="O285" s="9">
        <f>IF('[1]Game Input'!$AO285&lt;&gt;"",'[1]Game Input'!$AO285,"")</f>
        <v>0</v>
      </c>
      <c r="P285" s="9">
        <f>IF('[1]Game Input'!$AP285&lt;&gt;"",'[1]Game Input'!$AP285,"")</f>
        <v>0</v>
      </c>
      <c r="Q285" s="9">
        <f>IF('[1]Game Input'!$AQ285&lt;&gt;"",'[1]Game Input'!$AQ285,"")</f>
        <v>0</v>
      </c>
      <c r="R285" s="9">
        <f>IF('[1]Game Input'!$AR285&lt;&gt;"",'[1]Game Input'!$AR285,"")</f>
        <v>0</v>
      </c>
      <c r="S285" s="9">
        <f>IF('[1]Game Input'!$AS285&lt;&gt;"",'[1]Game Input'!$AS285,"")</f>
        <v>0</v>
      </c>
      <c r="T285" s="10" t="str">
        <f>IF('[1]Game Input'!$BA285&lt;&gt;"",'[1]Game Input'!$BA285,"")</f>
        <v>TRI-CITY</v>
      </c>
      <c r="U285" s="9">
        <f>IF('[1]Game Input'!$BU285&lt;&gt;"",'[1]Game Input'!$BU285,"")</f>
        <v>6</v>
      </c>
      <c r="V285" s="9">
        <f>IF('[1]Game Input'!$BV285&lt;&gt;"",'[1]Game Input'!$BV285,"")</f>
        <v>3</v>
      </c>
      <c r="W285" s="9">
        <f>IF('[1]Game Input'!$CB285&lt;&gt;"",'[1]Game Input'!$CB285,"")</f>
        <v>0</v>
      </c>
      <c r="X285" s="9">
        <f>IF('[1]Game Input'!$CC285&lt;&gt;"",'[1]Game Input'!$CC285,"")</f>
        <v>0</v>
      </c>
      <c r="Y285" s="9">
        <f>IF('[1]Game Input'!$CF285&lt;&gt;"",'[1]Game Input'!$CF285,"")</f>
        <v>3</v>
      </c>
      <c r="Z285" s="9">
        <f>IF('[1]Game Input'!$CG285&lt;&gt;"",'[1]Game Input'!$CG285,"")</f>
        <v>0</v>
      </c>
      <c r="AA285" s="9">
        <f>IF('[1]Game Input'!$CH285&lt;&gt;"",'[1]Game Input'!$CH285,"")</f>
        <v>0</v>
      </c>
      <c r="AB285" s="9">
        <f>IF('[1]Game Input'!$CI285&lt;&gt;"",'[1]Game Input'!$CI285,"")</f>
        <v>0</v>
      </c>
      <c r="AC285" s="9">
        <f>IF('[1]Game Input'!$CJ285&lt;&gt;"",'[1]Game Input'!$CJ285,"")</f>
        <v>0</v>
      </c>
      <c r="AD285" s="9">
        <f>IF('[1]Game Input'!$CK285&lt;&gt;"",'[1]Game Input'!$CK285,"")</f>
        <v>0</v>
      </c>
      <c r="AE285" s="8"/>
      <c r="AF285" s="8"/>
      <c r="AG285" s="8"/>
      <c r="AH285" s="8"/>
    </row>
    <row r="286" spans="1:34" x14ac:dyDescent="0.2">
      <c r="A286" s="6">
        <f>IF('[1]Game Input'!$A286&lt;&gt;"",'[1]Game Input'!$A286,"")</f>
        <v>43484</v>
      </c>
      <c r="B286" s="6" t="str">
        <f>IF(A286&gt;$B$1,VLOOKUP(MONTH($A286),DOTWMonth,2,FALSE),"")</f>
        <v>January</v>
      </c>
      <c r="C286" s="10" t="str">
        <f>IF(A286&gt;$B$1,VLOOKUP(WEEKDAY($A286),DOTWMonth,3,FALSE),"")</f>
        <v>Saturday</v>
      </c>
      <c r="D286" s="7">
        <f>IF('[1]Game Input'!$B286&lt;&gt;"",'[1]Game Input'!$B286,"")</f>
        <v>0.71180555555555547</v>
      </c>
      <c r="E286" s="7">
        <f>IF('[1]Game Input'!$C286&lt;&gt;"",'[1]Game Input'!$C286,"")</f>
        <v>0.67013888888888884</v>
      </c>
      <c r="F286" s="8" t="str">
        <f>IF('[1]Game Input'!$D286&lt;&gt;"",'[1]Game Input'!$D286,"")</f>
        <v>Standard</v>
      </c>
      <c r="G286" s="8" t="str">
        <f>IF('[1]Game Input'!$G286&lt;&gt;"",'[1]Game Input'!$G286,"")</f>
        <v>CR @ YNG</v>
      </c>
      <c r="H286" s="8" t="str">
        <f>IF('[1]Game Input'!$H286&lt;&gt;"",'[1]Game Input'!$H286,"")</f>
        <v>Vs. Conference</v>
      </c>
      <c r="I286" s="8" t="str">
        <f>IF('[1]Game Input'!$I286&lt;&gt;"",'[1]Game Input'!$I286,"")</f>
        <v>CEDAR RAPIDS</v>
      </c>
      <c r="J286" s="9">
        <f>IF('[1]Game Input'!$AC286&lt;&gt;"",'[1]Game Input'!$AC286,"")</f>
        <v>8</v>
      </c>
      <c r="K286" s="9">
        <f>IF('[1]Game Input'!$AD286&lt;&gt;"",'[1]Game Input'!$AD286,"")</f>
        <v>4</v>
      </c>
      <c r="L286" s="9">
        <f>IF('[1]Game Input'!$AJ286&lt;&gt;"",'[1]Game Input'!$AJ286,"")</f>
        <v>0</v>
      </c>
      <c r="M286" s="9">
        <f>IF('[1]Game Input'!$AK286&lt;&gt;"",'[1]Game Input'!$AK286,"")</f>
        <v>0</v>
      </c>
      <c r="N286" s="9">
        <f>IF('[1]Game Input'!$AN286&lt;&gt;"",'[1]Game Input'!$AN286,"")</f>
        <v>4</v>
      </c>
      <c r="O286" s="9">
        <f>IF('[1]Game Input'!$AO286&lt;&gt;"",'[1]Game Input'!$AO286,"")</f>
        <v>0</v>
      </c>
      <c r="P286" s="9">
        <f>IF('[1]Game Input'!$AP286&lt;&gt;"",'[1]Game Input'!$AP286,"")</f>
        <v>0</v>
      </c>
      <c r="Q286" s="9">
        <f>IF('[1]Game Input'!$AQ286&lt;&gt;"",'[1]Game Input'!$AQ286,"")</f>
        <v>0</v>
      </c>
      <c r="R286" s="9">
        <f>IF('[1]Game Input'!$AR286&lt;&gt;"",'[1]Game Input'!$AR286,"")</f>
        <v>0</v>
      </c>
      <c r="S286" s="9">
        <f>IF('[1]Game Input'!$AS286&lt;&gt;"",'[1]Game Input'!$AS286,"")</f>
        <v>0</v>
      </c>
      <c r="T286" s="10" t="str">
        <f>IF('[1]Game Input'!$BA286&lt;&gt;"",'[1]Game Input'!$BA286,"")</f>
        <v>YOUNGSTOWN</v>
      </c>
      <c r="U286" s="9">
        <f>IF('[1]Game Input'!$BU286&lt;&gt;"",'[1]Game Input'!$BU286,"")</f>
        <v>20</v>
      </c>
      <c r="V286" s="9">
        <f>IF('[1]Game Input'!$BV286&lt;&gt;"",'[1]Game Input'!$BV286,"")</f>
        <v>6</v>
      </c>
      <c r="W286" s="9">
        <f>IF('[1]Game Input'!$CB286&lt;&gt;"",'[1]Game Input'!$CB286,"")</f>
        <v>0</v>
      </c>
      <c r="X286" s="9">
        <f>IF('[1]Game Input'!$CC286&lt;&gt;"",'[1]Game Input'!$CC286,"")</f>
        <v>0</v>
      </c>
      <c r="Y286" s="9">
        <f>IF('[1]Game Input'!$CF286&lt;&gt;"",'[1]Game Input'!$CF286,"")</f>
        <v>5</v>
      </c>
      <c r="Z286" s="9">
        <f>IF('[1]Game Input'!$CG286&lt;&gt;"",'[1]Game Input'!$CG286,"")</f>
        <v>0</v>
      </c>
      <c r="AA286" s="9">
        <f>IF('[1]Game Input'!$CH286&lt;&gt;"",'[1]Game Input'!$CH286,"")</f>
        <v>1</v>
      </c>
      <c r="AB286" s="9">
        <f>IF('[1]Game Input'!$CI286&lt;&gt;"",'[1]Game Input'!$CI286,"")</f>
        <v>0</v>
      </c>
      <c r="AC286" s="9">
        <f>IF('[1]Game Input'!$CJ286&lt;&gt;"",'[1]Game Input'!$CJ286,"")</f>
        <v>0</v>
      </c>
      <c r="AD286" s="9">
        <f>IF('[1]Game Input'!$CK286&lt;&gt;"",'[1]Game Input'!$CK286,"")</f>
        <v>0</v>
      </c>
      <c r="AE286" s="8" t="s">
        <v>157</v>
      </c>
      <c r="AF286" s="8" t="s">
        <v>93</v>
      </c>
      <c r="AG286" s="8" t="s">
        <v>158</v>
      </c>
      <c r="AH286" s="8" t="s">
        <v>159</v>
      </c>
    </row>
    <row r="287" spans="1:34" x14ac:dyDescent="0.2">
      <c r="A287" s="6">
        <f>IF('[1]Game Input'!$A287&lt;&gt;"",'[1]Game Input'!$A287,"")</f>
        <v>43484</v>
      </c>
      <c r="B287" s="6" t="str">
        <f>IF(A287&gt;$B$1,VLOOKUP(MONTH($A287),DOTWMonth,2,FALSE),"")</f>
        <v>January</v>
      </c>
      <c r="C287" s="10" t="str">
        <f>IF(A287&gt;$B$1,VLOOKUP(WEEKDAY($A287),DOTWMonth,3,FALSE),"")</f>
        <v>Saturday</v>
      </c>
      <c r="D287" s="7">
        <f>IF('[1]Game Input'!$B287&lt;&gt;"",'[1]Game Input'!$B287,"")</f>
        <v>0.83680555555555547</v>
      </c>
      <c r="E287" s="7">
        <f>IF('[1]Game Input'!$C287&lt;&gt;"",'[1]Game Input'!$C287,"")</f>
        <v>0.79513888888888884</v>
      </c>
      <c r="F287" s="8" t="str">
        <f>IF('[1]Game Input'!$D287&lt;&gt;"",'[1]Game Input'!$D287,"")</f>
        <v>Standard</v>
      </c>
      <c r="G287" s="8" t="str">
        <f>IF('[1]Game Input'!$G287&lt;&gt;"",'[1]Game Input'!$G287,"")</f>
        <v>SF @ FGO</v>
      </c>
      <c r="H287" s="8" t="str">
        <f>IF('[1]Game Input'!$H287&lt;&gt;"",'[1]Game Input'!$H287,"")</f>
        <v>Vs. Conference</v>
      </c>
      <c r="I287" s="8" t="str">
        <f>IF('[1]Game Input'!$I287&lt;&gt;"",'[1]Game Input'!$I287,"")</f>
        <v>SIOUX FALLS</v>
      </c>
      <c r="J287" s="9">
        <f>IF('[1]Game Input'!$AC287&lt;&gt;"",'[1]Game Input'!$AC287,"")</f>
        <v>42</v>
      </c>
      <c r="K287" s="9">
        <f>IF('[1]Game Input'!$AD287&lt;&gt;"",'[1]Game Input'!$AD287,"")</f>
        <v>10</v>
      </c>
      <c r="L287" s="9">
        <f>IF('[1]Game Input'!$AJ287&lt;&gt;"",'[1]Game Input'!$AJ287,"")</f>
        <v>0</v>
      </c>
      <c r="M287" s="9">
        <f>IF('[1]Game Input'!$AK287&lt;&gt;"",'[1]Game Input'!$AK287,"")</f>
        <v>0</v>
      </c>
      <c r="N287" s="9">
        <f>IF('[1]Game Input'!$AN287&lt;&gt;"",'[1]Game Input'!$AN287,"")</f>
        <v>6</v>
      </c>
      <c r="O287" s="9">
        <f>IF('[1]Game Input'!$AO287&lt;&gt;"",'[1]Game Input'!$AO287,"")</f>
        <v>2</v>
      </c>
      <c r="P287" s="9">
        <f>IF('[1]Game Input'!$AP287&lt;&gt;"",'[1]Game Input'!$AP287,"")</f>
        <v>2</v>
      </c>
      <c r="Q287" s="9">
        <f>IF('[1]Game Input'!$AQ287&lt;&gt;"",'[1]Game Input'!$AQ287,"")</f>
        <v>0</v>
      </c>
      <c r="R287" s="9">
        <f>IF('[1]Game Input'!$AR287&lt;&gt;"",'[1]Game Input'!$AR287,"")</f>
        <v>0</v>
      </c>
      <c r="S287" s="9">
        <f>IF('[1]Game Input'!$AS287&lt;&gt;"",'[1]Game Input'!$AS287,"")</f>
        <v>0</v>
      </c>
      <c r="T287" s="10" t="str">
        <f>IF('[1]Game Input'!$BA287&lt;&gt;"",'[1]Game Input'!$BA287,"")</f>
        <v>FARGO</v>
      </c>
      <c r="U287" s="9">
        <f>IF('[1]Game Input'!$BU287&lt;&gt;"",'[1]Game Input'!$BU287,"")</f>
        <v>44</v>
      </c>
      <c r="V287" s="9">
        <f>IF('[1]Game Input'!$BV287&lt;&gt;"",'[1]Game Input'!$BV287,"")</f>
        <v>11</v>
      </c>
      <c r="W287" s="9">
        <f>IF('[1]Game Input'!$CB287&lt;&gt;"",'[1]Game Input'!$CB287,"")</f>
        <v>0</v>
      </c>
      <c r="X287" s="9">
        <f>IF('[1]Game Input'!$CC287&lt;&gt;"",'[1]Game Input'!$CC287,"")</f>
        <v>0</v>
      </c>
      <c r="Y287" s="9">
        <f>IF('[1]Game Input'!$CF287&lt;&gt;"",'[1]Game Input'!$CF287,"")</f>
        <v>7</v>
      </c>
      <c r="Z287" s="9">
        <f>IF('[1]Game Input'!$CG287&lt;&gt;"",'[1]Game Input'!$CG287,"")</f>
        <v>2</v>
      </c>
      <c r="AA287" s="9">
        <f>IF('[1]Game Input'!$CH287&lt;&gt;"",'[1]Game Input'!$CH287,"")</f>
        <v>2</v>
      </c>
      <c r="AB287" s="9">
        <f>IF('[1]Game Input'!$CI287&lt;&gt;"",'[1]Game Input'!$CI287,"")</f>
        <v>0</v>
      </c>
      <c r="AC287" s="9">
        <f>IF('[1]Game Input'!$CJ287&lt;&gt;"",'[1]Game Input'!$CJ287,"")</f>
        <v>0</v>
      </c>
      <c r="AD287" s="9">
        <f>IF('[1]Game Input'!$CK287&lt;&gt;"",'[1]Game Input'!$CK287,"")</f>
        <v>0</v>
      </c>
      <c r="AE287" s="8"/>
      <c r="AF287" s="8"/>
      <c r="AG287" s="8"/>
      <c r="AH287" s="8"/>
    </row>
    <row r="288" spans="1:34" x14ac:dyDescent="0.2">
      <c r="A288" s="6">
        <f>IF('[1]Game Input'!$A288&lt;&gt;"",'[1]Game Input'!$A288,"")</f>
        <v>43484</v>
      </c>
      <c r="B288" s="6" t="str">
        <f>IF(A288&gt;$B$1,VLOOKUP(MONTH($A288),DOTWMonth,2,FALSE),"")</f>
        <v>January</v>
      </c>
      <c r="C288" s="10" t="str">
        <f>IF(A288&gt;$B$1,VLOOKUP(WEEKDAY($A288),DOTWMonth,3,FALSE),"")</f>
        <v>Saturday</v>
      </c>
      <c r="D288" s="7">
        <f>IF('[1]Game Input'!$B288&lt;&gt;"",'[1]Game Input'!$B288,"")</f>
        <v>0.83680555555555547</v>
      </c>
      <c r="E288" s="7">
        <f>IF('[1]Game Input'!$C288&lt;&gt;"",'[1]Game Input'!$C288,"")</f>
        <v>0.79513888888888884</v>
      </c>
      <c r="F288" s="8" t="str">
        <f>IF('[1]Game Input'!$D288&lt;&gt;"",'[1]Game Input'!$D288,"")</f>
        <v>Standard</v>
      </c>
      <c r="G288" s="8" t="str">
        <f>IF('[1]Game Input'!$G288&lt;&gt;"",'[1]Game Input'!$G288,"")</f>
        <v>USA @ GB</v>
      </c>
      <c r="H288" s="8" t="str">
        <f>IF('[1]Game Input'!$H288&lt;&gt;"",'[1]Game Input'!$H288,"")</f>
        <v>Vs. Conference</v>
      </c>
      <c r="I288" s="8" t="str">
        <f>IF('[1]Game Input'!$I288&lt;&gt;"",'[1]Game Input'!$I288,"")</f>
        <v>TEAM USA</v>
      </c>
      <c r="J288" s="9">
        <f>IF('[1]Game Input'!$AC288&lt;&gt;"",'[1]Game Input'!$AC288,"")</f>
        <v>10</v>
      </c>
      <c r="K288" s="9">
        <f>IF('[1]Game Input'!$AD288&lt;&gt;"",'[1]Game Input'!$AD288,"")</f>
        <v>5</v>
      </c>
      <c r="L288" s="9">
        <f>IF('[1]Game Input'!$AJ288&lt;&gt;"",'[1]Game Input'!$AJ288,"")</f>
        <v>0</v>
      </c>
      <c r="M288" s="9">
        <f>IF('[1]Game Input'!$AK288&lt;&gt;"",'[1]Game Input'!$AK288,"")</f>
        <v>0</v>
      </c>
      <c r="N288" s="9">
        <f>IF('[1]Game Input'!$AN288&lt;&gt;"",'[1]Game Input'!$AN288,"")</f>
        <v>5</v>
      </c>
      <c r="O288" s="9">
        <f>IF('[1]Game Input'!$AO288&lt;&gt;"",'[1]Game Input'!$AO288,"")</f>
        <v>0</v>
      </c>
      <c r="P288" s="9">
        <f>IF('[1]Game Input'!$AP288&lt;&gt;"",'[1]Game Input'!$AP288,"")</f>
        <v>0</v>
      </c>
      <c r="Q288" s="9">
        <f>IF('[1]Game Input'!$AQ288&lt;&gt;"",'[1]Game Input'!$AQ288,"")</f>
        <v>0</v>
      </c>
      <c r="R288" s="9">
        <f>IF('[1]Game Input'!$AR288&lt;&gt;"",'[1]Game Input'!$AR288,"")</f>
        <v>0</v>
      </c>
      <c r="S288" s="9">
        <f>IF('[1]Game Input'!$AS288&lt;&gt;"",'[1]Game Input'!$AS288,"")</f>
        <v>0</v>
      </c>
      <c r="T288" s="10" t="str">
        <f>IF('[1]Game Input'!$BA288&lt;&gt;"",'[1]Game Input'!$BA288,"")</f>
        <v>GREEN BAY</v>
      </c>
      <c r="U288" s="9">
        <f>IF('[1]Game Input'!$BU288&lt;&gt;"",'[1]Game Input'!$BU288,"")</f>
        <v>33</v>
      </c>
      <c r="V288" s="9">
        <f>IF('[1]Game Input'!$BV288&lt;&gt;"",'[1]Game Input'!$BV288,"")</f>
        <v>11</v>
      </c>
      <c r="W288" s="9">
        <f>IF('[1]Game Input'!$CB288&lt;&gt;"",'[1]Game Input'!$CB288,"")</f>
        <v>0</v>
      </c>
      <c r="X288" s="9">
        <f>IF('[1]Game Input'!$CC288&lt;&gt;"",'[1]Game Input'!$CC288,"")</f>
        <v>0</v>
      </c>
      <c r="Y288" s="9">
        <f>IF('[1]Game Input'!$CF288&lt;&gt;"",'[1]Game Input'!$CF288,"")</f>
        <v>9</v>
      </c>
      <c r="Z288" s="9">
        <f>IF('[1]Game Input'!$CG288&lt;&gt;"",'[1]Game Input'!$CG288,"")</f>
        <v>1</v>
      </c>
      <c r="AA288" s="9">
        <f>IF('[1]Game Input'!$CH288&lt;&gt;"",'[1]Game Input'!$CH288,"")</f>
        <v>0</v>
      </c>
      <c r="AB288" s="9">
        <f>IF('[1]Game Input'!$CI288&lt;&gt;"",'[1]Game Input'!$CI288,"")</f>
        <v>1</v>
      </c>
      <c r="AC288" s="9">
        <f>IF('[1]Game Input'!$CJ288&lt;&gt;"",'[1]Game Input'!$CJ288,"")</f>
        <v>0</v>
      </c>
      <c r="AD288" s="9">
        <f>IF('[1]Game Input'!$CK288&lt;&gt;"",'[1]Game Input'!$CK288,"")</f>
        <v>0</v>
      </c>
      <c r="AE288" s="8"/>
      <c r="AF288" s="8"/>
      <c r="AG288" s="8"/>
      <c r="AH288" s="8"/>
    </row>
    <row r="289" spans="1:34" x14ac:dyDescent="0.2">
      <c r="A289" s="6">
        <f>IF('[1]Game Input'!$A289&lt;&gt;"",'[1]Game Input'!$A289,"")</f>
        <v>43484</v>
      </c>
      <c r="B289" s="6" t="str">
        <f>IF(A289&gt;$B$1,VLOOKUP(MONTH($A289),DOTWMonth,2,FALSE),"")</f>
        <v>January</v>
      </c>
      <c r="C289" s="10" t="str">
        <f>IF(A289&gt;$B$1,VLOOKUP(WEEKDAY($A289),DOTWMonth,3,FALSE),"")</f>
        <v>Saturday</v>
      </c>
      <c r="D289" s="7">
        <f>IF('[1]Game Input'!$B289&lt;&gt;"",'[1]Game Input'!$B289,"")</f>
        <v>0.83680555555555547</v>
      </c>
      <c r="E289" s="7">
        <f>IF('[1]Game Input'!$C289&lt;&gt;"",'[1]Game Input'!$C289,"")</f>
        <v>0.79513888888888884</v>
      </c>
      <c r="F289" s="8" t="str">
        <f>IF('[1]Game Input'!$D289&lt;&gt;"",'[1]Game Input'!$D289,"")</f>
        <v>Standard</v>
      </c>
      <c r="G289" s="8" t="str">
        <f>IF('[1]Game Input'!$G289&lt;&gt;"",'[1]Game Input'!$G289,"")</f>
        <v>LIN @ OMA</v>
      </c>
      <c r="H289" s="8" t="str">
        <f>IF('[1]Game Input'!$H289&lt;&gt;"",'[1]Game Input'!$H289,"")</f>
        <v>Vs. Conference</v>
      </c>
      <c r="I289" s="8" t="str">
        <f>IF('[1]Game Input'!$I289&lt;&gt;"",'[1]Game Input'!$I289,"")</f>
        <v>LINCOLN</v>
      </c>
      <c r="J289" s="9">
        <f>IF('[1]Game Input'!$AC289&lt;&gt;"",'[1]Game Input'!$AC289,"")</f>
        <v>24</v>
      </c>
      <c r="K289" s="9">
        <f>IF('[1]Game Input'!$AD289&lt;&gt;"",'[1]Game Input'!$AD289,"")</f>
        <v>8</v>
      </c>
      <c r="L289" s="9">
        <f>IF('[1]Game Input'!$AJ289&lt;&gt;"",'[1]Game Input'!$AJ289,"")</f>
        <v>0</v>
      </c>
      <c r="M289" s="9">
        <f>IF('[1]Game Input'!$AK289&lt;&gt;"",'[1]Game Input'!$AK289,"")</f>
        <v>0</v>
      </c>
      <c r="N289" s="9">
        <f>IF('[1]Game Input'!$AN289&lt;&gt;"",'[1]Game Input'!$AN289,"")</f>
        <v>7</v>
      </c>
      <c r="O289" s="9">
        <f>IF('[1]Game Input'!$AO289&lt;&gt;"",'[1]Game Input'!$AO289,"")</f>
        <v>0</v>
      </c>
      <c r="P289" s="9">
        <f>IF('[1]Game Input'!$AP289&lt;&gt;"",'[1]Game Input'!$AP289,"")</f>
        <v>1</v>
      </c>
      <c r="Q289" s="9">
        <f>IF('[1]Game Input'!$AQ289&lt;&gt;"",'[1]Game Input'!$AQ289,"")</f>
        <v>0</v>
      </c>
      <c r="R289" s="9">
        <f>IF('[1]Game Input'!$AR289&lt;&gt;"",'[1]Game Input'!$AR289,"")</f>
        <v>0</v>
      </c>
      <c r="S289" s="9">
        <f>IF('[1]Game Input'!$AS289&lt;&gt;"",'[1]Game Input'!$AS289,"")</f>
        <v>0</v>
      </c>
      <c r="T289" s="10" t="str">
        <f>IF('[1]Game Input'!$BA289&lt;&gt;"",'[1]Game Input'!$BA289,"")</f>
        <v>OMAHA</v>
      </c>
      <c r="U289" s="9">
        <f>IF('[1]Game Input'!$BU289&lt;&gt;"",'[1]Game Input'!$BU289,"")</f>
        <v>16</v>
      </c>
      <c r="V289" s="9">
        <f>IF('[1]Game Input'!$BV289&lt;&gt;"",'[1]Game Input'!$BV289,"")</f>
        <v>8</v>
      </c>
      <c r="W289" s="9">
        <f>IF('[1]Game Input'!$CB289&lt;&gt;"",'[1]Game Input'!$CB289,"")</f>
        <v>0</v>
      </c>
      <c r="X289" s="9">
        <f>IF('[1]Game Input'!$CC289&lt;&gt;"",'[1]Game Input'!$CC289,"")</f>
        <v>0</v>
      </c>
      <c r="Y289" s="9">
        <f>IF('[1]Game Input'!$CF289&lt;&gt;"",'[1]Game Input'!$CF289,"")</f>
        <v>8</v>
      </c>
      <c r="Z289" s="9">
        <f>IF('[1]Game Input'!$CG289&lt;&gt;"",'[1]Game Input'!$CG289,"")</f>
        <v>0</v>
      </c>
      <c r="AA289" s="9">
        <f>IF('[1]Game Input'!$CH289&lt;&gt;"",'[1]Game Input'!$CH289,"")</f>
        <v>0</v>
      </c>
      <c r="AB289" s="9">
        <f>IF('[1]Game Input'!$CI289&lt;&gt;"",'[1]Game Input'!$CI289,"")</f>
        <v>0</v>
      </c>
      <c r="AC289" s="9">
        <f>IF('[1]Game Input'!$CJ289&lt;&gt;"",'[1]Game Input'!$CJ289,"")</f>
        <v>0</v>
      </c>
      <c r="AD289" s="9">
        <f>IF('[1]Game Input'!$CK289&lt;&gt;"",'[1]Game Input'!$CK289,"")</f>
        <v>0</v>
      </c>
      <c r="AE289" s="8"/>
      <c r="AF289" s="8"/>
      <c r="AG289" s="8"/>
      <c r="AH289" s="8"/>
    </row>
    <row r="290" spans="1:34" x14ac:dyDescent="0.2">
      <c r="A290" s="6">
        <f>IF('[1]Game Input'!$A290&lt;&gt;"",'[1]Game Input'!$A290,"")</f>
        <v>43484</v>
      </c>
      <c r="B290" s="6" t="str">
        <f>IF(A290&gt;$B$1,VLOOKUP(MONTH($A290),DOTWMonth,2,FALSE),"")</f>
        <v>January</v>
      </c>
      <c r="C290" s="10" t="str">
        <f>IF(A290&gt;$B$1,VLOOKUP(WEEKDAY($A290),DOTWMonth,3,FALSE),"")</f>
        <v>Saturday</v>
      </c>
      <c r="D290" s="7">
        <f>IF('[1]Game Input'!$B290&lt;&gt;"",'[1]Game Input'!$B290,"")</f>
        <v>0.83680555555555547</v>
      </c>
      <c r="E290" s="7">
        <f>IF('[1]Game Input'!$C290&lt;&gt;"",'[1]Game Input'!$C290,"")</f>
        <v>0.79513888888888884</v>
      </c>
      <c r="F290" s="8" t="str">
        <f>IF('[1]Game Input'!$D290&lt;&gt;"",'[1]Game Input'!$D290,"")</f>
        <v>Standard</v>
      </c>
      <c r="G290" s="8" t="str">
        <f>IF('[1]Game Input'!$G290&lt;&gt;"",'[1]Game Input'!$G290,"")</f>
        <v>SC @ CHI</v>
      </c>
      <c r="H290" s="8" t="str">
        <f>IF('[1]Game Input'!$H290&lt;&gt;"",'[1]Game Input'!$H290,"")</f>
        <v>Vs. Non-Conference</v>
      </c>
      <c r="I290" s="8" t="str">
        <f>IF('[1]Game Input'!$I290&lt;&gt;"",'[1]Game Input'!$I290,"")</f>
        <v>SIOUX CITY</v>
      </c>
      <c r="J290" s="9">
        <f>IF('[1]Game Input'!$AC290&lt;&gt;"",'[1]Game Input'!$AC290,"")</f>
        <v>25</v>
      </c>
      <c r="K290" s="9">
        <f>IF('[1]Game Input'!$AD290&lt;&gt;"",'[1]Game Input'!$AD290,"")</f>
        <v>5</v>
      </c>
      <c r="L290" s="9">
        <f>IF('[1]Game Input'!$AJ290&lt;&gt;"",'[1]Game Input'!$AJ290,"")</f>
        <v>0</v>
      </c>
      <c r="M290" s="9">
        <f>IF('[1]Game Input'!$AK290&lt;&gt;"",'[1]Game Input'!$AK290,"")</f>
        <v>0</v>
      </c>
      <c r="N290" s="9">
        <f>IF('[1]Game Input'!$AN290&lt;&gt;"",'[1]Game Input'!$AN290,"")</f>
        <v>2</v>
      </c>
      <c r="O290" s="9">
        <f>IF('[1]Game Input'!$AO290&lt;&gt;"",'[1]Game Input'!$AO290,"")</f>
        <v>1</v>
      </c>
      <c r="P290" s="9">
        <f>IF('[1]Game Input'!$AP290&lt;&gt;"",'[1]Game Input'!$AP290,"")</f>
        <v>1</v>
      </c>
      <c r="Q290" s="9">
        <f>IF('[1]Game Input'!$AQ290&lt;&gt;"",'[1]Game Input'!$AQ290,"")</f>
        <v>1</v>
      </c>
      <c r="R290" s="9">
        <f>IF('[1]Game Input'!$AR290&lt;&gt;"",'[1]Game Input'!$AR290,"")</f>
        <v>0</v>
      </c>
      <c r="S290" s="9">
        <f>IF('[1]Game Input'!$AS290&lt;&gt;"",'[1]Game Input'!$AS290,"")</f>
        <v>0</v>
      </c>
      <c r="T290" s="10" t="str">
        <f>IF('[1]Game Input'!$BA290&lt;&gt;"",'[1]Game Input'!$BA290,"")</f>
        <v>CHICAGO</v>
      </c>
      <c r="U290" s="9">
        <f>IF('[1]Game Input'!$BU290&lt;&gt;"",'[1]Game Input'!$BU290,"")</f>
        <v>20</v>
      </c>
      <c r="V290" s="9">
        <f>IF('[1]Game Input'!$BV290&lt;&gt;"",'[1]Game Input'!$BV290,"")</f>
        <v>6</v>
      </c>
      <c r="W290" s="9">
        <f>IF('[1]Game Input'!$CB290&lt;&gt;"",'[1]Game Input'!$CB290,"")</f>
        <v>0</v>
      </c>
      <c r="X290" s="9">
        <f>IF('[1]Game Input'!$CC290&lt;&gt;"",'[1]Game Input'!$CC290,"")</f>
        <v>0</v>
      </c>
      <c r="Y290" s="9">
        <f>IF('[1]Game Input'!$CF290&lt;&gt;"",'[1]Game Input'!$CF290,"")</f>
        <v>5</v>
      </c>
      <c r="Z290" s="9">
        <f>IF('[1]Game Input'!$CG290&lt;&gt;"",'[1]Game Input'!$CG290,"")</f>
        <v>0</v>
      </c>
      <c r="AA290" s="9">
        <f>IF('[1]Game Input'!$CH290&lt;&gt;"",'[1]Game Input'!$CH290,"")</f>
        <v>1</v>
      </c>
      <c r="AB290" s="9">
        <f>IF('[1]Game Input'!$CI290&lt;&gt;"",'[1]Game Input'!$CI290,"")</f>
        <v>0</v>
      </c>
      <c r="AC290" s="9">
        <f>IF('[1]Game Input'!$CJ290&lt;&gt;"",'[1]Game Input'!$CJ290,"")</f>
        <v>0</v>
      </c>
      <c r="AD290" s="9">
        <f>IF('[1]Game Input'!$CK290&lt;&gt;"",'[1]Game Input'!$CK290,"")</f>
        <v>0</v>
      </c>
      <c r="AE290" s="8"/>
      <c r="AF290" s="8"/>
      <c r="AG290" s="8"/>
      <c r="AH290" s="8"/>
    </row>
    <row r="291" spans="1:34" x14ac:dyDescent="0.2">
      <c r="A291" s="6">
        <f>IF('[1]Game Input'!$A291&lt;&gt;"",'[1]Game Input'!$A291,"")</f>
        <v>43484</v>
      </c>
      <c r="B291" s="6" t="str">
        <f>IF(A291&gt;$B$1,VLOOKUP(MONTH($A291),DOTWMonth,2,FALSE),"")</f>
        <v>January</v>
      </c>
      <c r="C291" s="10" t="str">
        <f>IF(A291&gt;$B$1,VLOOKUP(WEEKDAY($A291),DOTWMonth,3,FALSE),"")</f>
        <v>Saturday</v>
      </c>
      <c r="D291" s="7">
        <f>IF('[1]Game Input'!$B291&lt;&gt;"",'[1]Game Input'!$B291,"")</f>
        <v>0.83680555555555547</v>
      </c>
      <c r="E291" s="7">
        <f>IF('[1]Game Input'!$C291&lt;&gt;"",'[1]Game Input'!$C291,"")</f>
        <v>0.79513888888888884</v>
      </c>
      <c r="F291" s="8" t="str">
        <f>IF('[1]Game Input'!$D291&lt;&gt;"",'[1]Game Input'!$D291,"")</f>
        <v>Standard</v>
      </c>
      <c r="G291" s="8" t="str">
        <f>IF('[1]Game Input'!$G291&lt;&gt;"",'[1]Game Input'!$G291,"")</f>
        <v>MUS @ TC</v>
      </c>
      <c r="H291" s="8" t="str">
        <f>IF('[1]Game Input'!$H291&lt;&gt;"",'[1]Game Input'!$H291,"")</f>
        <v>Vs. Non-Conference</v>
      </c>
      <c r="I291" s="8" t="str">
        <f>IF('[1]Game Input'!$I291&lt;&gt;"",'[1]Game Input'!$I291,"")</f>
        <v>MUSKEGON</v>
      </c>
      <c r="J291" s="9">
        <f>IF('[1]Game Input'!$AC291&lt;&gt;"",'[1]Game Input'!$AC291,"")</f>
        <v>0</v>
      </c>
      <c r="K291" s="9">
        <f>IF('[1]Game Input'!$AD291&lt;&gt;"",'[1]Game Input'!$AD291,"")</f>
        <v>10</v>
      </c>
      <c r="L291" s="9">
        <f>IF('[1]Game Input'!$AJ291&lt;&gt;"",'[1]Game Input'!$AJ291,"")</f>
        <v>0</v>
      </c>
      <c r="M291" s="9">
        <f>IF('[1]Game Input'!$AK291&lt;&gt;"",'[1]Game Input'!$AK291,"")</f>
        <v>0</v>
      </c>
      <c r="N291" s="9">
        <f>IF('[1]Game Input'!$AN291&lt;&gt;"",'[1]Game Input'!$AN291,"")</f>
        <v>10</v>
      </c>
      <c r="O291" s="9">
        <f>IF('[1]Game Input'!$AO291&lt;&gt;"",'[1]Game Input'!$AO291,"")</f>
        <v>0</v>
      </c>
      <c r="P291" s="9">
        <f>IF('[1]Game Input'!$AP291&lt;&gt;"",'[1]Game Input'!$AP291,"")</f>
        <v>0</v>
      </c>
      <c r="Q291" s="9">
        <f>IF('[1]Game Input'!$AQ291&lt;&gt;"",'[1]Game Input'!$AQ291,"")</f>
        <v>0</v>
      </c>
      <c r="R291" s="9">
        <f>IF('[1]Game Input'!$AR291&lt;&gt;"",'[1]Game Input'!$AR291,"")</f>
        <v>0</v>
      </c>
      <c r="S291" s="9">
        <f>IF('[1]Game Input'!$AS291&lt;&gt;"",'[1]Game Input'!$AS291,"")</f>
        <v>0</v>
      </c>
      <c r="T291" s="10" t="str">
        <f>IF('[1]Game Input'!$BA291&lt;&gt;"",'[1]Game Input'!$BA291,"")</f>
        <v>TRI-CITY</v>
      </c>
      <c r="U291" s="9">
        <f>IF('[1]Game Input'!$BU291&lt;&gt;"",'[1]Game Input'!$BU291,"")</f>
        <v>22</v>
      </c>
      <c r="V291" s="9">
        <f>IF('[1]Game Input'!$BV291&lt;&gt;"",'[1]Game Input'!$BV291,"")</f>
        <v>11</v>
      </c>
      <c r="W291" s="9">
        <f>IF('[1]Game Input'!$CB291&lt;&gt;"",'[1]Game Input'!$CB291,"")</f>
        <v>0</v>
      </c>
      <c r="X291" s="9">
        <f>IF('[1]Game Input'!$CC291&lt;&gt;"",'[1]Game Input'!$CC291,"")</f>
        <v>0</v>
      </c>
      <c r="Y291" s="9">
        <f>IF('[1]Game Input'!$CF291&lt;&gt;"",'[1]Game Input'!$CF291,"")</f>
        <v>11</v>
      </c>
      <c r="Z291" s="9">
        <f>IF('[1]Game Input'!$CG291&lt;&gt;"",'[1]Game Input'!$CG291,"")</f>
        <v>0</v>
      </c>
      <c r="AA291" s="9">
        <f>IF('[1]Game Input'!$CH291&lt;&gt;"",'[1]Game Input'!$CH291,"")</f>
        <v>0</v>
      </c>
      <c r="AB291" s="9">
        <f>IF('[1]Game Input'!$CI291&lt;&gt;"",'[1]Game Input'!$CI291,"")</f>
        <v>0</v>
      </c>
      <c r="AC291" s="9">
        <f>IF('[1]Game Input'!$CJ291&lt;&gt;"",'[1]Game Input'!$CJ291,"")</f>
        <v>0</v>
      </c>
      <c r="AD291" s="9">
        <f>IF('[1]Game Input'!$CK291&lt;&gt;"",'[1]Game Input'!$CK291,"")</f>
        <v>0</v>
      </c>
      <c r="AE291" s="8"/>
      <c r="AF291" s="8"/>
      <c r="AG291" s="8"/>
      <c r="AH291" s="8"/>
    </row>
    <row r="292" spans="1:34" x14ac:dyDescent="0.2">
      <c r="A292" s="6">
        <f>IF('[1]Game Input'!$A292&lt;&gt;"",'[1]Game Input'!$A292,"")</f>
        <v>43484</v>
      </c>
      <c r="B292" s="6" t="str">
        <f>IF(A292&gt;$B$1,VLOOKUP(MONTH($A292),DOTWMonth,2,FALSE),"")</f>
        <v>January</v>
      </c>
      <c r="C292" s="10" t="str">
        <f>IF(A292&gt;$B$1,VLOOKUP(WEEKDAY($A292),DOTWMonth,3,FALSE),"")</f>
        <v>Saturday</v>
      </c>
      <c r="D292" s="7">
        <f>IF('[1]Game Input'!$B292&lt;&gt;"",'[1]Game Input'!$B292,"")</f>
        <v>0.83680555555555547</v>
      </c>
      <c r="E292" s="7">
        <f>IF('[1]Game Input'!$C292&lt;&gt;"",'[1]Game Input'!$C292,"")</f>
        <v>0.79513888888888884</v>
      </c>
      <c r="F292" s="8" t="str">
        <f>IF('[1]Game Input'!$D292&lt;&gt;"",'[1]Game Input'!$D292,"")</f>
        <v>Standard</v>
      </c>
      <c r="G292" s="8" t="str">
        <f>IF('[1]Game Input'!$G292&lt;&gt;"",'[1]Game Input'!$G292,"")</f>
        <v>DUB @ WAT</v>
      </c>
      <c r="H292" s="8" t="str">
        <f>IF('[1]Game Input'!$H292&lt;&gt;"",'[1]Game Input'!$H292,"")</f>
        <v>Vs. Non-Conference</v>
      </c>
      <c r="I292" s="8" t="str">
        <f>IF('[1]Game Input'!$I292&lt;&gt;"",'[1]Game Input'!$I292,"")</f>
        <v>DUBUQUE</v>
      </c>
      <c r="J292" s="9">
        <f>IF('[1]Game Input'!$AC292&lt;&gt;"",'[1]Game Input'!$AC292,"")</f>
        <v>0</v>
      </c>
      <c r="K292" s="9">
        <f>IF('[1]Game Input'!$AD292&lt;&gt;"",'[1]Game Input'!$AD292,"")</f>
        <v>6</v>
      </c>
      <c r="L292" s="9">
        <f>IF('[1]Game Input'!$AJ292&lt;&gt;"",'[1]Game Input'!$AJ292,"")</f>
        <v>0</v>
      </c>
      <c r="M292" s="9">
        <f>IF('[1]Game Input'!$AK292&lt;&gt;"",'[1]Game Input'!$AK292,"")</f>
        <v>0</v>
      </c>
      <c r="N292" s="9">
        <f>IF('[1]Game Input'!$AN292&lt;&gt;"",'[1]Game Input'!$AN292,"")</f>
        <v>6</v>
      </c>
      <c r="O292" s="9">
        <f>IF('[1]Game Input'!$AO292&lt;&gt;"",'[1]Game Input'!$AO292,"")</f>
        <v>0</v>
      </c>
      <c r="P292" s="9">
        <f>IF('[1]Game Input'!$AP292&lt;&gt;"",'[1]Game Input'!$AP292,"")</f>
        <v>0</v>
      </c>
      <c r="Q292" s="9">
        <f>IF('[1]Game Input'!$AQ292&lt;&gt;"",'[1]Game Input'!$AQ292,"")</f>
        <v>0</v>
      </c>
      <c r="R292" s="9">
        <f>IF('[1]Game Input'!$AR292&lt;&gt;"",'[1]Game Input'!$AR292,"")</f>
        <v>0</v>
      </c>
      <c r="S292" s="9">
        <f>IF('[1]Game Input'!$AS292&lt;&gt;"",'[1]Game Input'!$AS292,"")</f>
        <v>0</v>
      </c>
      <c r="T292" s="10" t="str">
        <f>IF('[1]Game Input'!$BA292&lt;&gt;"",'[1]Game Input'!$BA292,"")</f>
        <v>WATERLOO</v>
      </c>
      <c r="U292" s="9">
        <f>IF('[1]Game Input'!$BU292&lt;&gt;"",'[1]Game Input'!$BU292,"")</f>
        <v>8</v>
      </c>
      <c r="V292" s="9">
        <f>IF('[1]Game Input'!$BV292&lt;&gt;"",'[1]Game Input'!$BV292,"")</f>
        <v>4</v>
      </c>
      <c r="W292" s="9">
        <f>IF('[1]Game Input'!$CB292&lt;&gt;"",'[1]Game Input'!$CB292,"")</f>
        <v>0</v>
      </c>
      <c r="X292" s="9">
        <f>IF('[1]Game Input'!$CC292&lt;&gt;"",'[1]Game Input'!$CC292,"")</f>
        <v>0</v>
      </c>
      <c r="Y292" s="9">
        <f>IF('[1]Game Input'!$CF292&lt;&gt;"",'[1]Game Input'!$CF292,"")</f>
        <v>4</v>
      </c>
      <c r="Z292" s="9">
        <f>IF('[1]Game Input'!$CG292&lt;&gt;"",'[1]Game Input'!$CG292,"")</f>
        <v>0</v>
      </c>
      <c r="AA292" s="9">
        <f>IF('[1]Game Input'!$CH292&lt;&gt;"",'[1]Game Input'!$CH292,"")</f>
        <v>0</v>
      </c>
      <c r="AB292" s="9">
        <f>IF('[1]Game Input'!$CI292&lt;&gt;"",'[1]Game Input'!$CI292,"")</f>
        <v>0</v>
      </c>
      <c r="AC292" s="9">
        <f>IF('[1]Game Input'!$CJ292&lt;&gt;"",'[1]Game Input'!$CJ292,"")</f>
        <v>0</v>
      </c>
      <c r="AD292" s="9">
        <f>IF('[1]Game Input'!$CK292&lt;&gt;"",'[1]Game Input'!$CK292,"")</f>
        <v>0</v>
      </c>
      <c r="AE292" s="8"/>
      <c r="AF292" s="8"/>
      <c r="AG292" s="8"/>
      <c r="AH292" s="8"/>
    </row>
    <row r="293" spans="1:34" x14ac:dyDescent="0.2">
      <c r="A293" s="6">
        <f>IF('[1]Game Input'!$A293&lt;&gt;"",'[1]Game Input'!$A293,"")</f>
        <v>43485</v>
      </c>
      <c r="B293" s="6" t="str">
        <f>IF(A293&gt;$B$1,VLOOKUP(MONTH($A293),DOTWMonth,2,FALSE),"")</f>
        <v>January</v>
      </c>
      <c r="C293" s="10" t="str">
        <f>IF(A293&gt;$B$1,VLOOKUP(WEEKDAY($A293),DOTWMonth,3,FALSE),"")</f>
        <v>Sunday</v>
      </c>
      <c r="D293" s="7">
        <f>IF('[1]Game Input'!$B293&lt;&gt;"",'[1]Game Input'!$B293,"")</f>
        <v>0.62847222222222221</v>
      </c>
      <c r="E293" s="7">
        <f>IF('[1]Game Input'!$C293&lt;&gt;"",'[1]Game Input'!$C293,"")</f>
        <v>0.58680555555555558</v>
      </c>
      <c r="F293" s="8" t="str">
        <f>IF('[1]Game Input'!$D293&lt;&gt;"",'[1]Game Input'!$D293,"")</f>
        <v>Standard</v>
      </c>
      <c r="G293" s="8" t="str">
        <f>IF('[1]Game Input'!$G293&lt;&gt;"",'[1]Game Input'!$G293,"")</f>
        <v>MUS @ LIN</v>
      </c>
      <c r="H293" s="8" t="str">
        <f>IF('[1]Game Input'!$H293&lt;&gt;"",'[1]Game Input'!$H293,"")</f>
        <v>Vs. Non-Conference</v>
      </c>
      <c r="I293" s="8" t="str">
        <f>IF('[1]Game Input'!$I293&lt;&gt;"",'[1]Game Input'!$I293,"")</f>
        <v>MUSKEGON</v>
      </c>
      <c r="J293" s="9">
        <f>IF('[1]Game Input'!$AC293&lt;&gt;"",'[1]Game Input'!$AC293,"")</f>
        <v>0</v>
      </c>
      <c r="K293" s="9">
        <f>IF('[1]Game Input'!$AD293&lt;&gt;"",'[1]Game Input'!$AD293,"")</f>
        <v>4</v>
      </c>
      <c r="L293" s="9">
        <f>IF('[1]Game Input'!$AJ293&lt;&gt;"",'[1]Game Input'!$AJ293,"")</f>
        <v>0</v>
      </c>
      <c r="M293" s="9">
        <f>IF('[1]Game Input'!$AK293&lt;&gt;"",'[1]Game Input'!$AK293,"")</f>
        <v>0</v>
      </c>
      <c r="N293" s="9">
        <f>IF('[1]Game Input'!$AN293&lt;&gt;"",'[1]Game Input'!$AN293,"")</f>
        <v>4</v>
      </c>
      <c r="O293" s="9">
        <f>IF('[1]Game Input'!$AO293&lt;&gt;"",'[1]Game Input'!$AO293,"")</f>
        <v>0</v>
      </c>
      <c r="P293" s="9">
        <f>IF('[1]Game Input'!$AP293&lt;&gt;"",'[1]Game Input'!$AP293,"")</f>
        <v>0</v>
      </c>
      <c r="Q293" s="9">
        <f>IF('[1]Game Input'!$AQ293&lt;&gt;"",'[1]Game Input'!$AQ293,"")</f>
        <v>0</v>
      </c>
      <c r="R293" s="9">
        <f>IF('[1]Game Input'!$AR293&lt;&gt;"",'[1]Game Input'!$AR293,"")</f>
        <v>0</v>
      </c>
      <c r="S293" s="9">
        <f>IF('[1]Game Input'!$AS293&lt;&gt;"",'[1]Game Input'!$AS293,"")</f>
        <v>0</v>
      </c>
      <c r="T293" s="10" t="str">
        <f>IF('[1]Game Input'!$BA293&lt;&gt;"",'[1]Game Input'!$BA293,"")</f>
        <v>LINCOLN</v>
      </c>
      <c r="U293" s="9">
        <f>IF('[1]Game Input'!$BU293&lt;&gt;"",'[1]Game Input'!$BU293,"")</f>
        <v>10</v>
      </c>
      <c r="V293" s="9">
        <f>IF('[1]Game Input'!$BV293&lt;&gt;"",'[1]Game Input'!$BV293,"")</f>
        <v>5</v>
      </c>
      <c r="W293" s="9">
        <f>IF('[1]Game Input'!$CB293&lt;&gt;"",'[1]Game Input'!$CB293,"")</f>
        <v>0</v>
      </c>
      <c r="X293" s="9">
        <f>IF('[1]Game Input'!$CC293&lt;&gt;"",'[1]Game Input'!$CC293,"")</f>
        <v>0</v>
      </c>
      <c r="Y293" s="9">
        <f>IF('[1]Game Input'!$CF293&lt;&gt;"",'[1]Game Input'!$CF293,"")</f>
        <v>5</v>
      </c>
      <c r="Z293" s="9">
        <f>IF('[1]Game Input'!$CG293&lt;&gt;"",'[1]Game Input'!$CG293,"")</f>
        <v>0</v>
      </c>
      <c r="AA293" s="9">
        <f>IF('[1]Game Input'!$CH293&lt;&gt;"",'[1]Game Input'!$CH293,"")</f>
        <v>0</v>
      </c>
      <c r="AB293" s="9">
        <f>IF('[1]Game Input'!$CI293&lt;&gt;"",'[1]Game Input'!$CI293,"")</f>
        <v>0</v>
      </c>
      <c r="AC293" s="9">
        <f>IF('[1]Game Input'!$CJ293&lt;&gt;"",'[1]Game Input'!$CJ293,"")</f>
        <v>0</v>
      </c>
      <c r="AD293" s="9">
        <f>IF('[1]Game Input'!$CK293&lt;&gt;"",'[1]Game Input'!$CK293,"")</f>
        <v>0</v>
      </c>
      <c r="AE293" s="8"/>
      <c r="AF293" s="8"/>
      <c r="AG293" s="8"/>
      <c r="AH293" s="8"/>
    </row>
    <row r="294" spans="1:34" x14ac:dyDescent="0.2">
      <c r="A294" s="6">
        <f>IF('[1]Game Input'!$A294&lt;&gt;"",'[1]Game Input'!$A294,"")</f>
        <v>43486</v>
      </c>
      <c r="B294" s="6" t="str">
        <f>IF(A294&gt;$B$1,VLOOKUP(MONTH($A294),DOTWMonth,2,FALSE),"")</f>
        <v>January</v>
      </c>
      <c r="C294" s="10" t="str">
        <f>IF(A294&gt;$B$1,VLOOKUP(WEEKDAY($A294),DOTWMonth,3,FALSE),"")</f>
        <v>Monday</v>
      </c>
      <c r="D294" s="7">
        <f>IF('[1]Game Input'!$B294&lt;&gt;"",'[1]Game Input'!$B294,"")</f>
        <v>0.58333333333333337</v>
      </c>
      <c r="E294" s="7">
        <f>IF('[1]Game Input'!$C294&lt;&gt;"",'[1]Game Input'!$C294,"")</f>
        <v>0.54166666666666674</v>
      </c>
      <c r="F294" s="8" t="str">
        <f>IF('[1]Game Input'!$D294&lt;&gt;"",'[1]Game Input'!$D294,"")</f>
        <v>Standard</v>
      </c>
      <c r="G294" s="8" t="str">
        <f>IF('[1]Game Input'!$G294&lt;&gt;"",'[1]Game Input'!$G294,"")</f>
        <v>CHI @ USA</v>
      </c>
      <c r="H294" s="8" t="str">
        <f>IF('[1]Game Input'!$H294&lt;&gt;"",'[1]Game Input'!$H294,"")</f>
        <v>Vs. Conference</v>
      </c>
      <c r="I294" s="8" t="str">
        <f>IF('[1]Game Input'!$I294&lt;&gt;"",'[1]Game Input'!$I294,"")</f>
        <v>CHICAGO</v>
      </c>
      <c r="J294" s="9">
        <f>IF('[1]Game Input'!$AC294&lt;&gt;"",'[1]Game Input'!$AC294,"")</f>
        <v>6</v>
      </c>
      <c r="K294" s="9">
        <f>IF('[1]Game Input'!$AD294&lt;&gt;"",'[1]Game Input'!$AD294,"")</f>
        <v>3</v>
      </c>
      <c r="L294" s="9">
        <f>IF('[1]Game Input'!$AJ294&lt;&gt;"",'[1]Game Input'!$AJ294,"")</f>
        <v>0</v>
      </c>
      <c r="M294" s="9">
        <f>IF('[1]Game Input'!$AK294&lt;&gt;"",'[1]Game Input'!$AK294,"")</f>
        <v>0</v>
      </c>
      <c r="N294" s="9">
        <f>IF('[1]Game Input'!$AN294&lt;&gt;"",'[1]Game Input'!$AN294,"")</f>
        <v>3</v>
      </c>
      <c r="O294" s="9">
        <f>IF('[1]Game Input'!$AO294&lt;&gt;"",'[1]Game Input'!$AO294,"")</f>
        <v>0</v>
      </c>
      <c r="P294" s="9">
        <f>IF('[1]Game Input'!$AP294&lt;&gt;"",'[1]Game Input'!$AP294,"")</f>
        <v>0</v>
      </c>
      <c r="Q294" s="9">
        <f>IF('[1]Game Input'!$AQ294&lt;&gt;"",'[1]Game Input'!$AQ294,"")</f>
        <v>0</v>
      </c>
      <c r="R294" s="9">
        <f>IF('[1]Game Input'!$AR294&lt;&gt;"",'[1]Game Input'!$AR294,"")</f>
        <v>0</v>
      </c>
      <c r="S294" s="9">
        <f>IF('[1]Game Input'!$AS294&lt;&gt;"",'[1]Game Input'!$AS294,"")</f>
        <v>0</v>
      </c>
      <c r="T294" s="10" t="str">
        <f>IF('[1]Game Input'!$BA294&lt;&gt;"",'[1]Game Input'!$BA294,"")</f>
        <v>TEAM USA</v>
      </c>
      <c r="U294" s="9">
        <f>IF('[1]Game Input'!$BU294&lt;&gt;"",'[1]Game Input'!$BU294,"")</f>
        <v>4</v>
      </c>
      <c r="V294" s="9">
        <f>IF('[1]Game Input'!$BV294&lt;&gt;"",'[1]Game Input'!$BV294,"")</f>
        <v>2</v>
      </c>
      <c r="W294" s="9">
        <f>IF('[1]Game Input'!$CB294&lt;&gt;"",'[1]Game Input'!$CB294,"")</f>
        <v>0</v>
      </c>
      <c r="X294" s="9">
        <f>IF('[1]Game Input'!$CC294&lt;&gt;"",'[1]Game Input'!$CC294,"")</f>
        <v>0</v>
      </c>
      <c r="Y294" s="9">
        <f>IF('[1]Game Input'!$CF294&lt;&gt;"",'[1]Game Input'!$CF294,"")</f>
        <v>2</v>
      </c>
      <c r="Z294" s="9">
        <f>IF('[1]Game Input'!$CG294&lt;&gt;"",'[1]Game Input'!$CG294,"")</f>
        <v>0</v>
      </c>
      <c r="AA294" s="9">
        <f>IF('[1]Game Input'!$CH294&lt;&gt;"",'[1]Game Input'!$CH294,"")</f>
        <v>0</v>
      </c>
      <c r="AB294" s="9">
        <f>IF('[1]Game Input'!$CI294&lt;&gt;"",'[1]Game Input'!$CI294,"")</f>
        <v>0</v>
      </c>
      <c r="AC294" s="9">
        <f>IF('[1]Game Input'!$CJ294&lt;&gt;"",'[1]Game Input'!$CJ294,"")</f>
        <v>0</v>
      </c>
      <c r="AD294" s="9">
        <f>IF('[1]Game Input'!$CK294&lt;&gt;"",'[1]Game Input'!$CK294,"")</f>
        <v>0</v>
      </c>
      <c r="AE294" s="8"/>
      <c r="AF294" s="8"/>
      <c r="AG294" s="8"/>
      <c r="AH294" s="8"/>
    </row>
    <row r="295" spans="1:34" x14ac:dyDescent="0.2">
      <c r="A295" s="6">
        <f>IF('[1]Game Input'!$A295&lt;&gt;"",'[1]Game Input'!$A295,"")</f>
        <v>43486</v>
      </c>
      <c r="B295" s="6" t="str">
        <f>IF(A295&gt;$B$1,VLOOKUP(MONTH($A295),DOTWMonth,2,FALSE),"")</f>
        <v>January</v>
      </c>
      <c r="C295" s="10" t="str">
        <f>IF(A295&gt;$B$1,VLOOKUP(WEEKDAY($A295),DOTWMonth,3,FALSE),"")</f>
        <v>Monday</v>
      </c>
      <c r="D295" s="7">
        <f>IF('[1]Game Input'!$B295&lt;&gt;"",'[1]Game Input'!$B295,"")</f>
        <v>0.58819444444444446</v>
      </c>
      <c r="E295" s="7">
        <f>IF('[1]Game Input'!$C295&lt;&gt;"",'[1]Game Input'!$C295,"")</f>
        <v>0.54652777777777783</v>
      </c>
      <c r="F295" s="8" t="str">
        <f>IF('[1]Game Input'!$D295&lt;&gt;"",'[1]Game Input'!$D295,"")</f>
        <v>Standard</v>
      </c>
      <c r="G295" s="8" t="str">
        <f>IF('[1]Game Input'!$G295&lt;&gt;"",'[1]Game Input'!$G295,"")</f>
        <v>MAD @ CIL</v>
      </c>
      <c r="H295" s="8" t="str">
        <f>IF('[1]Game Input'!$H295&lt;&gt;"",'[1]Game Input'!$H295,"")</f>
        <v>Vs. Conference</v>
      </c>
      <c r="I295" s="8" t="str">
        <f>IF('[1]Game Input'!$I295&lt;&gt;"",'[1]Game Input'!$I295,"")</f>
        <v>MADISON</v>
      </c>
      <c r="J295" s="9">
        <f>IF('[1]Game Input'!$AC295&lt;&gt;"",'[1]Game Input'!$AC295,"")</f>
        <v>16</v>
      </c>
      <c r="K295" s="9">
        <f>IF('[1]Game Input'!$AD295&lt;&gt;"",'[1]Game Input'!$AD295,"")</f>
        <v>8</v>
      </c>
      <c r="L295" s="9">
        <f>IF('[1]Game Input'!$AJ295&lt;&gt;"",'[1]Game Input'!$AJ295,"")</f>
        <v>0</v>
      </c>
      <c r="M295" s="9">
        <f>IF('[1]Game Input'!$AK295&lt;&gt;"",'[1]Game Input'!$AK295,"")</f>
        <v>0</v>
      </c>
      <c r="N295" s="9">
        <f>IF('[1]Game Input'!$AN295&lt;&gt;"",'[1]Game Input'!$AN295,"")</f>
        <v>8</v>
      </c>
      <c r="O295" s="9">
        <f>IF('[1]Game Input'!$AO295&lt;&gt;"",'[1]Game Input'!$AO295,"")</f>
        <v>0</v>
      </c>
      <c r="P295" s="9">
        <f>IF('[1]Game Input'!$AP295&lt;&gt;"",'[1]Game Input'!$AP295,"")</f>
        <v>0</v>
      </c>
      <c r="Q295" s="9">
        <f>IF('[1]Game Input'!$AQ295&lt;&gt;"",'[1]Game Input'!$AQ295,"")</f>
        <v>0</v>
      </c>
      <c r="R295" s="9">
        <f>IF('[1]Game Input'!$AR295&lt;&gt;"",'[1]Game Input'!$AR295,"")</f>
        <v>0</v>
      </c>
      <c r="S295" s="9">
        <f>IF('[1]Game Input'!$AS295&lt;&gt;"",'[1]Game Input'!$AS295,"")</f>
        <v>0</v>
      </c>
      <c r="T295" s="10" t="str">
        <f>IF('[1]Game Input'!$BA295&lt;&gt;"",'[1]Game Input'!$BA295,"")</f>
        <v>CENTRAL ILLINOIS</v>
      </c>
      <c r="U295" s="9">
        <f>IF('[1]Game Input'!$BU295&lt;&gt;"",'[1]Game Input'!$BU295,"")</f>
        <v>14</v>
      </c>
      <c r="V295" s="9">
        <f>IF('[1]Game Input'!$BV295&lt;&gt;"",'[1]Game Input'!$BV295,"")</f>
        <v>7</v>
      </c>
      <c r="W295" s="9">
        <f>IF('[1]Game Input'!$CB295&lt;&gt;"",'[1]Game Input'!$CB295,"")</f>
        <v>0</v>
      </c>
      <c r="X295" s="9">
        <f>IF('[1]Game Input'!$CC295&lt;&gt;"",'[1]Game Input'!$CC295,"")</f>
        <v>0</v>
      </c>
      <c r="Y295" s="9">
        <f>IF('[1]Game Input'!$CF295&lt;&gt;"",'[1]Game Input'!$CF295,"")</f>
        <v>7</v>
      </c>
      <c r="Z295" s="9">
        <f>IF('[1]Game Input'!$CG295&lt;&gt;"",'[1]Game Input'!$CG295,"")</f>
        <v>0</v>
      </c>
      <c r="AA295" s="9">
        <f>IF('[1]Game Input'!$CH295&lt;&gt;"",'[1]Game Input'!$CH295,"")</f>
        <v>0</v>
      </c>
      <c r="AB295" s="9">
        <f>IF('[1]Game Input'!$CI295&lt;&gt;"",'[1]Game Input'!$CI295,"")</f>
        <v>0</v>
      </c>
      <c r="AC295" s="9">
        <f>IF('[1]Game Input'!$CJ295&lt;&gt;"",'[1]Game Input'!$CJ295,"")</f>
        <v>0</v>
      </c>
      <c r="AD295" s="9">
        <f>IF('[1]Game Input'!$CK295&lt;&gt;"",'[1]Game Input'!$CK295,"")</f>
        <v>0</v>
      </c>
      <c r="AE295" s="8" t="s">
        <v>156</v>
      </c>
      <c r="AF295" s="8" t="s">
        <v>91</v>
      </c>
      <c r="AG295" s="8" t="s">
        <v>113</v>
      </c>
      <c r="AH295" s="8" t="s">
        <v>121</v>
      </c>
    </row>
    <row r="296" spans="1:34" x14ac:dyDescent="0.2">
      <c r="A296" s="6">
        <f>IF('[1]Game Input'!$A296&lt;&gt;"",'[1]Game Input'!$A296,"")</f>
        <v>43489</v>
      </c>
      <c r="B296" s="6" t="str">
        <f>IF(A296&gt;$B$1,VLOOKUP(MONTH($A296),DOTWMonth,2,FALSE),"")</f>
        <v>January</v>
      </c>
      <c r="C296" s="10" t="str">
        <f>IF(A296&gt;$B$1,VLOOKUP(WEEKDAY($A296),DOTWMonth,3,FALSE),"")</f>
        <v>Thursday</v>
      </c>
      <c r="D296" s="7">
        <f>IF('[1]Game Input'!$B296&lt;&gt;"",'[1]Game Input'!$B296,"")</f>
        <v>0.83680555555555547</v>
      </c>
      <c r="E296" s="7">
        <f>IF('[1]Game Input'!$C296&lt;&gt;"",'[1]Game Input'!$C296,"")</f>
        <v>0.79513888888888884</v>
      </c>
      <c r="F296" s="8" t="str">
        <f>IF('[1]Game Input'!$D296&lt;&gt;"",'[1]Game Input'!$D296,"")</f>
        <v>Standard</v>
      </c>
      <c r="G296" s="8" t="str">
        <f>IF('[1]Game Input'!$G296&lt;&gt;"",'[1]Game Input'!$G296,"")</f>
        <v>OMA @ WAT</v>
      </c>
      <c r="H296" s="8" t="str">
        <f>IF('[1]Game Input'!$H296&lt;&gt;"",'[1]Game Input'!$H296,"")</f>
        <v>Vs. Conference</v>
      </c>
      <c r="I296" s="8" t="str">
        <f>IF('[1]Game Input'!$I296&lt;&gt;"",'[1]Game Input'!$I296,"")</f>
        <v>OMAHA</v>
      </c>
      <c r="J296" s="9">
        <f>IF('[1]Game Input'!$AC296&lt;&gt;"",'[1]Game Input'!$AC296,"")</f>
        <v>27</v>
      </c>
      <c r="K296" s="9">
        <f>IF('[1]Game Input'!$AD296&lt;&gt;"",'[1]Game Input'!$AD296,"")</f>
        <v>8</v>
      </c>
      <c r="L296" s="9">
        <f>IF('[1]Game Input'!$AJ296&lt;&gt;"",'[1]Game Input'!$AJ296,"")</f>
        <v>0</v>
      </c>
      <c r="M296" s="9">
        <f>IF('[1]Game Input'!$AK296&lt;&gt;"",'[1]Game Input'!$AK296,"")</f>
        <v>0</v>
      </c>
      <c r="N296" s="9">
        <f>IF('[1]Game Input'!$AN296&lt;&gt;"",'[1]Game Input'!$AN296,"")</f>
        <v>6</v>
      </c>
      <c r="O296" s="9">
        <f>IF('[1]Game Input'!$AO296&lt;&gt;"",'[1]Game Input'!$AO296,"")</f>
        <v>1</v>
      </c>
      <c r="P296" s="9">
        <f>IF('[1]Game Input'!$AP296&lt;&gt;"",'[1]Game Input'!$AP296,"")</f>
        <v>0</v>
      </c>
      <c r="Q296" s="9">
        <f>IF('[1]Game Input'!$AQ296&lt;&gt;"",'[1]Game Input'!$AQ296,"")</f>
        <v>1</v>
      </c>
      <c r="R296" s="9">
        <f>IF('[1]Game Input'!$AR296&lt;&gt;"",'[1]Game Input'!$AR296,"")</f>
        <v>0</v>
      </c>
      <c r="S296" s="9">
        <f>IF('[1]Game Input'!$AS296&lt;&gt;"",'[1]Game Input'!$AS296,"")</f>
        <v>0</v>
      </c>
      <c r="T296" s="10" t="str">
        <f>IF('[1]Game Input'!$BA296&lt;&gt;"",'[1]Game Input'!$BA296,"")</f>
        <v>WATERLOO</v>
      </c>
      <c r="U296" s="9">
        <f>IF('[1]Game Input'!$BU296&lt;&gt;"",'[1]Game Input'!$BU296,"")</f>
        <v>6</v>
      </c>
      <c r="V296" s="9">
        <f>IF('[1]Game Input'!$BV296&lt;&gt;"",'[1]Game Input'!$BV296,"")</f>
        <v>3</v>
      </c>
      <c r="W296" s="9">
        <f>IF('[1]Game Input'!$CB296&lt;&gt;"",'[1]Game Input'!$CB296,"")</f>
        <v>0</v>
      </c>
      <c r="X296" s="9">
        <f>IF('[1]Game Input'!$CC296&lt;&gt;"",'[1]Game Input'!$CC296,"")</f>
        <v>0</v>
      </c>
      <c r="Y296" s="9">
        <f>IF('[1]Game Input'!$CF296&lt;&gt;"",'[1]Game Input'!$CF296,"")</f>
        <v>3</v>
      </c>
      <c r="Z296" s="9">
        <f>IF('[1]Game Input'!$CG296&lt;&gt;"",'[1]Game Input'!$CG296,"")</f>
        <v>0</v>
      </c>
      <c r="AA296" s="9">
        <f>IF('[1]Game Input'!$CH296&lt;&gt;"",'[1]Game Input'!$CH296,"")</f>
        <v>0</v>
      </c>
      <c r="AB296" s="9">
        <f>IF('[1]Game Input'!$CI296&lt;&gt;"",'[1]Game Input'!$CI296,"")</f>
        <v>0</v>
      </c>
      <c r="AC296" s="9">
        <f>IF('[1]Game Input'!$CJ296&lt;&gt;"",'[1]Game Input'!$CJ296,"")</f>
        <v>0</v>
      </c>
      <c r="AD296" s="9">
        <f>IF('[1]Game Input'!$CK296&lt;&gt;"",'[1]Game Input'!$CK296,"")</f>
        <v>0</v>
      </c>
      <c r="AE296" s="8"/>
      <c r="AF296" s="8"/>
      <c r="AG296" s="8"/>
      <c r="AH296" s="8"/>
    </row>
    <row r="297" spans="1:34" x14ac:dyDescent="0.2">
      <c r="A297" s="6">
        <f>IF('[1]Game Input'!$A297&lt;&gt;"",'[1]Game Input'!$A297,"")</f>
        <v>43490</v>
      </c>
      <c r="B297" s="6" t="str">
        <f>IF(A297&gt;$B$1,VLOOKUP(MONTH($A297),DOTWMonth,2,FALSE),"")</f>
        <v>January</v>
      </c>
      <c r="C297" s="10" t="str">
        <f>IF(A297&gt;$B$1,VLOOKUP(WEEKDAY($A297),DOTWMonth,3,FALSE),"")</f>
        <v>Friday</v>
      </c>
      <c r="D297" s="7">
        <f>IF('[1]Game Input'!$B297&lt;&gt;"",'[1]Game Input'!$B297,"")</f>
        <v>0.79166666666666663</v>
      </c>
      <c r="E297" s="7">
        <f>IF('[1]Game Input'!$C297&lt;&gt;"",'[1]Game Input'!$C297,"")</f>
        <v>0.75</v>
      </c>
      <c r="F297" s="8" t="str">
        <f>IF('[1]Game Input'!$D297&lt;&gt;"",'[1]Game Input'!$D297,"")</f>
        <v>Standard</v>
      </c>
      <c r="G297" s="8" t="str">
        <f>IF('[1]Game Input'!$G297&lt;&gt;"",'[1]Game Input'!$G297,"")</f>
        <v>CIL @ USA</v>
      </c>
      <c r="H297" s="8" t="str">
        <f>IF('[1]Game Input'!$H297&lt;&gt;"",'[1]Game Input'!$H297,"")</f>
        <v>Vs. Conference</v>
      </c>
      <c r="I297" s="8" t="str">
        <f>IF('[1]Game Input'!$I297&lt;&gt;"",'[1]Game Input'!$I297,"")</f>
        <v>CENTRAL ILLINOIS</v>
      </c>
      <c r="J297" s="9">
        <f>IF('[1]Game Input'!$AC297&lt;&gt;"",'[1]Game Input'!$AC297,"")</f>
        <v>6</v>
      </c>
      <c r="K297" s="9">
        <f>IF('[1]Game Input'!$AD297&lt;&gt;"",'[1]Game Input'!$AD297,"")</f>
        <v>3</v>
      </c>
      <c r="L297" s="9">
        <f>IF('[1]Game Input'!$AJ297&lt;&gt;"",'[1]Game Input'!$AJ297,"")</f>
        <v>0</v>
      </c>
      <c r="M297" s="9">
        <f>IF('[1]Game Input'!$AK297&lt;&gt;"",'[1]Game Input'!$AK297,"")</f>
        <v>0</v>
      </c>
      <c r="N297" s="9">
        <f>IF('[1]Game Input'!$AN297&lt;&gt;"",'[1]Game Input'!$AN297,"")</f>
        <v>3</v>
      </c>
      <c r="O297" s="9">
        <f>IF('[1]Game Input'!$AO297&lt;&gt;"",'[1]Game Input'!$AO297,"")</f>
        <v>0</v>
      </c>
      <c r="P297" s="9">
        <f>IF('[1]Game Input'!$AP297&lt;&gt;"",'[1]Game Input'!$AP297,"")</f>
        <v>0</v>
      </c>
      <c r="Q297" s="9">
        <f>IF('[1]Game Input'!$AQ297&lt;&gt;"",'[1]Game Input'!$AQ297,"")</f>
        <v>0</v>
      </c>
      <c r="R297" s="9">
        <f>IF('[1]Game Input'!$AR297&lt;&gt;"",'[1]Game Input'!$AR297,"")</f>
        <v>0</v>
      </c>
      <c r="S297" s="9">
        <f>IF('[1]Game Input'!$AS297&lt;&gt;"",'[1]Game Input'!$AS297,"")</f>
        <v>0</v>
      </c>
      <c r="T297" s="10" t="str">
        <f>IF('[1]Game Input'!$BA297&lt;&gt;"",'[1]Game Input'!$BA297,"")</f>
        <v>TEAM USA</v>
      </c>
      <c r="U297" s="9">
        <f>IF('[1]Game Input'!$BU297&lt;&gt;"",'[1]Game Input'!$BU297,"")</f>
        <v>4</v>
      </c>
      <c r="V297" s="9">
        <f>IF('[1]Game Input'!$BV297&lt;&gt;"",'[1]Game Input'!$BV297,"")</f>
        <v>2</v>
      </c>
      <c r="W297" s="9">
        <f>IF('[1]Game Input'!$CB297&lt;&gt;"",'[1]Game Input'!$CB297,"")</f>
        <v>0</v>
      </c>
      <c r="X297" s="9">
        <f>IF('[1]Game Input'!$CC297&lt;&gt;"",'[1]Game Input'!$CC297,"")</f>
        <v>0</v>
      </c>
      <c r="Y297" s="9">
        <f>IF('[1]Game Input'!$CF297&lt;&gt;"",'[1]Game Input'!$CF297,"")</f>
        <v>2</v>
      </c>
      <c r="Z297" s="9">
        <f>IF('[1]Game Input'!$CG297&lt;&gt;"",'[1]Game Input'!$CG297,"")</f>
        <v>0</v>
      </c>
      <c r="AA297" s="9">
        <f>IF('[1]Game Input'!$CH297&lt;&gt;"",'[1]Game Input'!$CH297,"")</f>
        <v>0</v>
      </c>
      <c r="AB297" s="9">
        <f>IF('[1]Game Input'!$CI297&lt;&gt;"",'[1]Game Input'!$CI297,"")</f>
        <v>0</v>
      </c>
      <c r="AC297" s="9">
        <f>IF('[1]Game Input'!$CJ297&lt;&gt;"",'[1]Game Input'!$CJ297,"")</f>
        <v>0</v>
      </c>
      <c r="AD297" s="9">
        <f>IF('[1]Game Input'!$CK297&lt;&gt;"",'[1]Game Input'!$CK297,"")</f>
        <v>0</v>
      </c>
      <c r="AE297" s="8" t="s">
        <v>95</v>
      </c>
      <c r="AF297" s="8"/>
      <c r="AG297" s="8" t="s">
        <v>121</v>
      </c>
      <c r="AH297" s="8" t="s">
        <v>135</v>
      </c>
    </row>
    <row r="298" spans="1:34" x14ac:dyDescent="0.2">
      <c r="A298" s="6">
        <f>IF('[1]Game Input'!$A298&lt;&gt;"",'[1]Game Input'!$A298,"")</f>
        <v>43490</v>
      </c>
      <c r="B298" s="6" t="str">
        <f>IF(A298&gt;$B$1,VLOOKUP(MONTH($A298),DOTWMonth,2,FALSE),"")</f>
        <v>January</v>
      </c>
      <c r="C298" s="10" t="str">
        <f>IF(A298&gt;$B$1,VLOOKUP(WEEKDAY($A298),DOTWMonth,3,FALSE),"")</f>
        <v>Friday</v>
      </c>
      <c r="D298" s="7">
        <f>IF('[1]Game Input'!$B298&lt;&gt;"",'[1]Game Input'!$B298,"")</f>
        <v>0.80208333333333337</v>
      </c>
      <c r="E298" s="7">
        <f>IF('[1]Game Input'!$C298&lt;&gt;"",'[1]Game Input'!$C298,"")</f>
        <v>0.76041666666666674</v>
      </c>
      <c r="F298" s="8" t="str">
        <f>IF('[1]Game Input'!$D298&lt;&gt;"",'[1]Game Input'!$D298,"")</f>
        <v>Standard</v>
      </c>
      <c r="G298" s="8" t="str">
        <f>IF('[1]Game Input'!$G298&lt;&gt;"",'[1]Game Input'!$G298,"")</f>
        <v>FGO @ MUS</v>
      </c>
      <c r="H298" s="8" t="str">
        <f>IF('[1]Game Input'!$H298&lt;&gt;"",'[1]Game Input'!$H298,"")</f>
        <v>Vs. Non-Conference</v>
      </c>
      <c r="I298" s="8" t="str">
        <f>IF('[1]Game Input'!$I298&lt;&gt;"",'[1]Game Input'!$I298,"")</f>
        <v>FARGO</v>
      </c>
      <c r="J298" s="9">
        <f>IF('[1]Game Input'!$AC298&lt;&gt;"",'[1]Game Input'!$AC298,"")</f>
        <v>16</v>
      </c>
      <c r="K298" s="9">
        <f>IF('[1]Game Input'!$AD298&lt;&gt;"",'[1]Game Input'!$AD298,"")</f>
        <v>8</v>
      </c>
      <c r="L298" s="9">
        <f>IF('[1]Game Input'!$AJ298&lt;&gt;"",'[1]Game Input'!$AJ298,"")</f>
        <v>0</v>
      </c>
      <c r="M298" s="9">
        <f>IF('[1]Game Input'!$AK298&lt;&gt;"",'[1]Game Input'!$AK298,"")</f>
        <v>0</v>
      </c>
      <c r="N298" s="9">
        <f>IF('[1]Game Input'!$AN298&lt;&gt;"",'[1]Game Input'!$AN298,"")</f>
        <v>8</v>
      </c>
      <c r="O298" s="9">
        <f>IF('[1]Game Input'!$AO298&lt;&gt;"",'[1]Game Input'!$AO298,"")</f>
        <v>0</v>
      </c>
      <c r="P298" s="9">
        <f>IF('[1]Game Input'!$AP298&lt;&gt;"",'[1]Game Input'!$AP298,"")</f>
        <v>0</v>
      </c>
      <c r="Q298" s="9">
        <f>IF('[1]Game Input'!$AQ298&lt;&gt;"",'[1]Game Input'!$AQ298,"")</f>
        <v>0</v>
      </c>
      <c r="R298" s="9">
        <f>IF('[1]Game Input'!$AR298&lt;&gt;"",'[1]Game Input'!$AR298,"")</f>
        <v>0</v>
      </c>
      <c r="S298" s="9">
        <f>IF('[1]Game Input'!$AS298&lt;&gt;"",'[1]Game Input'!$AS298,"")</f>
        <v>0</v>
      </c>
      <c r="T298" s="10" t="str">
        <f>IF('[1]Game Input'!$BA298&lt;&gt;"",'[1]Game Input'!$BA298,"")</f>
        <v>MUSKEGON</v>
      </c>
      <c r="U298" s="9">
        <f>IF('[1]Game Input'!$BU298&lt;&gt;"",'[1]Game Input'!$BU298,"")</f>
        <v>24</v>
      </c>
      <c r="V298" s="9">
        <f>IF('[1]Game Input'!$BV298&lt;&gt;"",'[1]Game Input'!$BV298,"")</f>
        <v>8</v>
      </c>
      <c r="W298" s="9">
        <f>IF('[1]Game Input'!$CB298&lt;&gt;"",'[1]Game Input'!$CB298,"")</f>
        <v>0</v>
      </c>
      <c r="X298" s="9">
        <f>IF('[1]Game Input'!$CC298&lt;&gt;"",'[1]Game Input'!$CC298,"")</f>
        <v>0</v>
      </c>
      <c r="Y298" s="9">
        <f>IF('[1]Game Input'!$CF298&lt;&gt;"",'[1]Game Input'!$CF298,"")</f>
        <v>7</v>
      </c>
      <c r="Z298" s="9">
        <f>IF('[1]Game Input'!$CG298&lt;&gt;"",'[1]Game Input'!$CG298,"")</f>
        <v>0</v>
      </c>
      <c r="AA298" s="9">
        <f>IF('[1]Game Input'!$CH298&lt;&gt;"",'[1]Game Input'!$CH298,"")</f>
        <v>1</v>
      </c>
      <c r="AB298" s="9">
        <f>IF('[1]Game Input'!$CI298&lt;&gt;"",'[1]Game Input'!$CI298,"")</f>
        <v>0</v>
      </c>
      <c r="AC298" s="9">
        <f>IF('[1]Game Input'!$CJ298&lt;&gt;"",'[1]Game Input'!$CJ298,"")</f>
        <v>0</v>
      </c>
      <c r="AD298" s="9">
        <f>IF('[1]Game Input'!$CK298&lt;&gt;"",'[1]Game Input'!$CK298,"")</f>
        <v>0</v>
      </c>
      <c r="AE298" s="8"/>
      <c r="AF298" s="8"/>
      <c r="AG298" s="8"/>
      <c r="AH298" s="8"/>
    </row>
    <row r="299" spans="1:34" x14ac:dyDescent="0.2">
      <c r="A299" s="6">
        <f>IF('[1]Game Input'!$A299&lt;&gt;"",'[1]Game Input'!$A299,"")</f>
        <v>43490</v>
      </c>
      <c r="B299" s="6" t="str">
        <f>IF(A299&gt;$B$1,VLOOKUP(MONTH($A299),DOTWMonth,2,FALSE),"")</f>
        <v>January</v>
      </c>
      <c r="C299" s="10" t="str">
        <f>IF(A299&gt;$B$1,VLOOKUP(WEEKDAY($A299),DOTWMonth,3,FALSE),"")</f>
        <v>Friday</v>
      </c>
      <c r="D299" s="7">
        <f>IF('[1]Game Input'!$B299&lt;&gt;"",'[1]Game Input'!$B299,"")</f>
        <v>0.83680555555555547</v>
      </c>
      <c r="E299" s="7">
        <f>IF('[1]Game Input'!$C299&lt;&gt;"",'[1]Game Input'!$C299,"")</f>
        <v>0.79513888888888884</v>
      </c>
      <c r="F299" s="8" t="str">
        <f>IF('[1]Game Input'!$D299&lt;&gt;"",'[1]Game Input'!$D299,"")</f>
        <v>Standard</v>
      </c>
      <c r="G299" s="8" t="str">
        <f>IF('[1]Game Input'!$G299&lt;&gt;"",'[1]Game Input'!$G299,"")</f>
        <v>DUB @ MAD</v>
      </c>
      <c r="H299" s="8" t="str">
        <f>IF('[1]Game Input'!$H299&lt;&gt;"",'[1]Game Input'!$H299,"")</f>
        <v>Vs. Conference</v>
      </c>
      <c r="I299" s="8" t="str">
        <f>IF('[1]Game Input'!$I299&lt;&gt;"",'[1]Game Input'!$I299,"")</f>
        <v>DUBUQUE</v>
      </c>
      <c r="J299" s="9">
        <f>IF('[1]Game Input'!$AC299&lt;&gt;"",'[1]Game Input'!$AC299,"")</f>
        <v>6</v>
      </c>
      <c r="K299" s="9">
        <f>IF('[1]Game Input'!$AD299&lt;&gt;"",'[1]Game Input'!$AD299,"")</f>
        <v>3</v>
      </c>
      <c r="L299" s="9">
        <f>IF('[1]Game Input'!$AJ299&lt;&gt;"",'[1]Game Input'!$AJ299,"")</f>
        <v>0</v>
      </c>
      <c r="M299" s="9">
        <f>IF('[1]Game Input'!$AK299&lt;&gt;"",'[1]Game Input'!$AK299,"")</f>
        <v>0</v>
      </c>
      <c r="N299" s="9">
        <f>IF('[1]Game Input'!$AN299&lt;&gt;"",'[1]Game Input'!$AN299,"")</f>
        <v>3</v>
      </c>
      <c r="O299" s="9">
        <f>IF('[1]Game Input'!$AO299&lt;&gt;"",'[1]Game Input'!$AO299,"")</f>
        <v>0</v>
      </c>
      <c r="P299" s="9">
        <f>IF('[1]Game Input'!$AP299&lt;&gt;"",'[1]Game Input'!$AP299,"")</f>
        <v>0</v>
      </c>
      <c r="Q299" s="9">
        <f>IF('[1]Game Input'!$AQ299&lt;&gt;"",'[1]Game Input'!$AQ299,"")</f>
        <v>0</v>
      </c>
      <c r="R299" s="9">
        <f>IF('[1]Game Input'!$AR299&lt;&gt;"",'[1]Game Input'!$AR299,"")</f>
        <v>0</v>
      </c>
      <c r="S299" s="9">
        <f>IF('[1]Game Input'!$AS299&lt;&gt;"",'[1]Game Input'!$AS299,"")</f>
        <v>0</v>
      </c>
      <c r="T299" s="10" t="str">
        <f>IF('[1]Game Input'!$BA299&lt;&gt;"",'[1]Game Input'!$BA299,"")</f>
        <v>MADISON</v>
      </c>
      <c r="U299" s="9">
        <f>IF('[1]Game Input'!$BU299&lt;&gt;"",'[1]Game Input'!$BU299,"")</f>
        <v>12</v>
      </c>
      <c r="V299" s="9">
        <f>IF('[1]Game Input'!$BV299&lt;&gt;"",'[1]Game Input'!$BV299,"")</f>
        <v>6</v>
      </c>
      <c r="W299" s="9">
        <f>IF('[1]Game Input'!$CB299&lt;&gt;"",'[1]Game Input'!$CB299,"")</f>
        <v>0</v>
      </c>
      <c r="X299" s="9">
        <f>IF('[1]Game Input'!$CC299&lt;&gt;"",'[1]Game Input'!$CC299,"")</f>
        <v>0</v>
      </c>
      <c r="Y299" s="9">
        <f>IF('[1]Game Input'!$CF299&lt;&gt;"",'[1]Game Input'!$CF299,"")</f>
        <v>6</v>
      </c>
      <c r="Z299" s="9">
        <f>IF('[1]Game Input'!$CG299&lt;&gt;"",'[1]Game Input'!$CG299,"")</f>
        <v>0</v>
      </c>
      <c r="AA299" s="9">
        <f>IF('[1]Game Input'!$CH299&lt;&gt;"",'[1]Game Input'!$CH299,"")</f>
        <v>0</v>
      </c>
      <c r="AB299" s="9">
        <f>IF('[1]Game Input'!$CI299&lt;&gt;"",'[1]Game Input'!$CI299,"")</f>
        <v>0</v>
      </c>
      <c r="AC299" s="9">
        <f>IF('[1]Game Input'!$CJ299&lt;&gt;"",'[1]Game Input'!$CJ299,"")</f>
        <v>0</v>
      </c>
      <c r="AD299" s="9">
        <f>IF('[1]Game Input'!$CK299&lt;&gt;"",'[1]Game Input'!$CK299,"")</f>
        <v>0</v>
      </c>
      <c r="AE299" s="8"/>
      <c r="AF299" s="8"/>
      <c r="AG299" s="8"/>
      <c r="AH299" s="8"/>
    </row>
    <row r="300" spans="1:34" x14ac:dyDescent="0.2">
      <c r="A300" s="6">
        <f>IF('[1]Game Input'!$A300&lt;&gt;"",'[1]Game Input'!$A300,"")</f>
        <v>43490</v>
      </c>
      <c r="B300" s="6" t="str">
        <f>IF(A300&gt;$B$1,VLOOKUP(MONTH($A300),DOTWMonth,2,FALSE),"")</f>
        <v>January</v>
      </c>
      <c r="C300" s="10" t="str">
        <f>IF(A300&gt;$B$1,VLOOKUP(WEEKDAY($A300),DOTWMonth,3,FALSE),"")</f>
        <v>Friday</v>
      </c>
      <c r="D300" s="7">
        <f>IF('[1]Game Input'!$B300&lt;&gt;"",'[1]Game Input'!$B300,"")</f>
        <v>0.83680555555555547</v>
      </c>
      <c r="E300" s="7">
        <f>IF('[1]Game Input'!$C300&lt;&gt;"",'[1]Game Input'!$C300,"")</f>
        <v>0.79513888888888884</v>
      </c>
      <c r="F300" s="8" t="str">
        <f>IF('[1]Game Input'!$D300&lt;&gt;"",'[1]Game Input'!$D300,"")</f>
        <v>Standard</v>
      </c>
      <c r="G300" s="8" t="str">
        <f>IF('[1]Game Input'!$G300&lt;&gt;"",'[1]Game Input'!$G300,"")</f>
        <v>DM @ SC</v>
      </c>
      <c r="H300" s="8" t="str">
        <f>IF('[1]Game Input'!$H300&lt;&gt;"",'[1]Game Input'!$H300,"")</f>
        <v>Vs. Conference</v>
      </c>
      <c r="I300" s="8" t="str">
        <f>IF('[1]Game Input'!$I300&lt;&gt;"",'[1]Game Input'!$I300,"")</f>
        <v>DES MOINES</v>
      </c>
      <c r="J300" s="9">
        <f>IF('[1]Game Input'!$AC300&lt;&gt;"",'[1]Game Input'!$AC300,"")</f>
        <v>23</v>
      </c>
      <c r="K300" s="9">
        <f>IF('[1]Game Input'!$AD300&lt;&gt;"",'[1]Game Input'!$AD300,"")</f>
        <v>6</v>
      </c>
      <c r="L300" s="9">
        <f>IF('[1]Game Input'!$AJ300&lt;&gt;"",'[1]Game Input'!$AJ300,"")</f>
        <v>0</v>
      </c>
      <c r="M300" s="9">
        <f>IF('[1]Game Input'!$AK300&lt;&gt;"",'[1]Game Input'!$AK300,"")</f>
        <v>0</v>
      </c>
      <c r="N300" s="9">
        <f>IF('[1]Game Input'!$AN300&lt;&gt;"",'[1]Game Input'!$AN300,"")</f>
        <v>4</v>
      </c>
      <c r="O300" s="9">
        <f>IF('[1]Game Input'!$AO300&lt;&gt;"",'[1]Game Input'!$AO300,"")</f>
        <v>1</v>
      </c>
      <c r="P300" s="9">
        <f>IF('[1]Game Input'!$AP300&lt;&gt;"",'[1]Game Input'!$AP300,"")</f>
        <v>1</v>
      </c>
      <c r="Q300" s="9">
        <f>IF('[1]Game Input'!$AQ300&lt;&gt;"",'[1]Game Input'!$AQ300,"")</f>
        <v>0</v>
      </c>
      <c r="R300" s="9">
        <f>IF('[1]Game Input'!$AR300&lt;&gt;"",'[1]Game Input'!$AR300,"")</f>
        <v>0</v>
      </c>
      <c r="S300" s="9">
        <f>IF('[1]Game Input'!$AS300&lt;&gt;"",'[1]Game Input'!$AS300,"")</f>
        <v>0</v>
      </c>
      <c r="T300" s="10" t="str">
        <f>IF('[1]Game Input'!$BA300&lt;&gt;"",'[1]Game Input'!$BA300,"")</f>
        <v>SIOUX CITY</v>
      </c>
      <c r="U300" s="9">
        <f>IF('[1]Game Input'!$BU300&lt;&gt;"",'[1]Game Input'!$BU300,"")</f>
        <v>23</v>
      </c>
      <c r="V300" s="9">
        <f>IF('[1]Game Input'!$BV300&lt;&gt;"",'[1]Game Input'!$BV300,"")</f>
        <v>6</v>
      </c>
      <c r="W300" s="9">
        <f>IF('[1]Game Input'!$CB300&lt;&gt;"",'[1]Game Input'!$CB300,"")</f>
        <v>0</v>
      </c>
      <c r="X300" s="9">
        <f>IF('[1]Game Input'!$CC300&lt;&gt;"",'[1]Game Input'!$CC300,"")</f>
        <v>0</v>
      </c>
      <c r="Y300" s="9">
        <f>IF('[1]Game Input'!$CF300&lt;&gt;"",'[1]Game Input'!$CF300,"")</f>
        <v>4</v>
      </c>
      <c r="Z300" s="9">
        <f>IF('[1]Game Input'!$CG300&lt;&gt;"",'[1]Game Input'!$CG300,"")</f>
        <v>1</v>
      </c>
      <c r="AA300" s="9">
        <f>IF('[1]Game Input'!$CH300&lt;&gt;"",'[1]Game Input'!$CH300,"")</f>
        <v>1</v>
      </c>
      <c r="AB300" s="9">
        <f>IF('[1]Game Input'!$CI300&lt;&gt;"",'[1]Game Input'!$CI300,"")</f>
        <v>0</v>
      </c>
      <c r="AC300" s="9">
        <f>IF('[1]Game Input'!$CJ300&lt;&gt;"",'[1]Game Input'!$CJ300,"")</f>
        <v>0</v>
      </c>
      <c r="AD300" s="9">
        <f>IF('[1]Game Input'!$CK300&lt;&gt;"",'[1]Game Input'!$CK300,"")</f>
        <v>0</v>
      </c>
      <c r="AE300" s="8" t="s">
        <v>103</v>
      </c>
      <c r="AF300" s="8" t="s">
        <v>98</v>
      </c>
      <c r="AG300" s="8" t="s">
        <v>140</v>
      </c>
      <c r="AH300" s="8" t="s">
        <v>134</v>
      </c>
    </row>
    <row r="301" spans="1:34" x14ac:dyDescent="0.2">
      <c r="A301" s="6">
        <f>IF('[1]Game Input'!$A301&lt;&gt;"",'[1]Game Input'!$A301,"")</f>
        <v>43490</v>
      </c>
      <c r="B301" s="6" t="str">
        <f>IF(A301&gt;$B$1,VLOOKUP(MONTH($A301),DOTWMonth,2,FALSE),"")</f>
        <v>January</v>
      </c>
      <c r="C301" s="10" t="str">
        <f>IF(A301&gt;$B$1,VLOOKUP(WEEKDAY($A301),DOTWMonth,3,FALSE),"")</f>
        <v>Friday</v>
      </c>
      <c r="D301" s="7">
        <f>IF('[1]Game Input'!$B301&lt;&gt;"",'[1]Game Input'!$B301,"")</f>
        <v>0.83680555555555547</v>
      </c>
      <c r="E301" s="7">
        <f>IF('[1]Game Input'!$C301&lt;&gt;"",'[1]Game Input'!$C301,"")</f>
        <v>0.79513888888888884</v>
      </c>
      <c r="F301" s="8" t="str">
        <f>IF('[1]Game Input'!$D301&lt;&gt;"",'[1]Game Input'!$D301,"")</f>
        <v>Standard</v>
      </c>
      <c r="G301" s="8" t="str">
        <f>IF('[1]Game Input'!$G301&lt;&gt;"",'[1]Game Input'!$G301,"")</f>
        <v>SF @ CR</v>
      </c>
      <c r="H301" s="8" t="str">
        <f>IF('[1]Game Input'!$H301&lt;&gt;"",'[1]Game Input'!$H301,"")</f>
        <v>Vs. Non-Conference</v>
      </c>
      <c r="I301" s="8" t="str">
        <f>IF('[1]Game Input'!$I301&lt;&gt;"",'[1]Game Input'!$I301,"")</f>
        <v>SIOUX FALLS</v>
      </c>
      <c r="J301" s="9">
        <f>IF('[1]Game Input'!$AC301&lt;&gt;"",'[1]Game Input'!$AC301,"")</f>
        <v>33</v>
      </c>
      <c r="K301" s="9">
        <f>IF('[1]Game Input'!$AD301&lt;&gt;"",'[1]Game Input'!$AD301,"")</f>
        <v>11</v>
      </c>
      <c r="L301" s="9">
        <f>IF('[1]Game Input'!$AJ301&lt;&gt;"",'[1]Game Input'!$AJ301,"")</f>
        <v>0</v>
      </c>
      <c r="M301" s="9">
        <f>IF('[1]Game Input'!$AK301&lt;&gt;"",'[1]Game Input'!$AK301,"")</f>
        <v>0</v>
      </c>
      <c r="N301" s="9">
        <f>IF('[1]Game Input'!$AN301&lt;&gt;"",'[1]Game Input'!$AN301,"")</f>
        <v>9</v>
      </c>
      <c r="O301" s="9">
        <f>IF('[1]Game Input'!$AO301&lt;&gt;"",'[1]Game Input'!$AO301,"")</f>
        <v>1</v>
      </c>
      <c r="P301" s="9">
        <f>IF('[1]Game Input'!$AP301&lt;&gt;"",'[1]Game Input'!$AP301,"")</f>
        <v>0</v>
      </c>
      <c r="Q301" s="9">
        <f>IF('[1]Game Input'!$AQ301&lt;&gt;"",'[1]Game Input'!$AQ301,"")</f>
        <v>1</v>
      </c>
      <c r="R301" s="9">
        <f>IF('[1]Game Input'!$AR301&lt;&gt;"",'[1]Game Input'!$AR301,"")</f>
        <v>0</v>
      </c>
      <c r="S301" s="9">
        <f>IF('[1]Game Input'!$AS301&lt;&gt;"",'[1]Game Input'!$AS301,"")</f>
        <v>0</v>
      </c>
      <c r="T301" s="10" t="str">
        <f>IF('[1]Game Input'!$BA301&lt;&gt;"",'[1]Game Input'!$BA301,"")</f>
        <v>CEDAR RAPIDS</v>
      </c>
      <c r="U301" s="9">
        <f>IF('[1]Game Input'!$BU301&lt;&gt;"",'[1]Game Input'!$BU301,"")</f>
        <v>31</v>
      </c>
      <c r="V301" s="9">
        <f>IF('[1]Game Input'!$BV301&lt;&gt;"",'[1]Game Input'!$BV301,"")</f>
        <v>10</v>
      </c>
      <c r="W301" s="9">
        <f>IF('[1]Game Input'!$CB301&lt;&gt;"",'[1]Game Input'!$CB301,"")</f>
        <v>0</v>
      </c>
      <c r="X301" s="9">
        <f>IF('[1]Game Input'!$CC301&lt;&gt;"",'[1]Game Input'!$CC301,"")</f>
        <v>0</v>
      </c>
      <c r="Y301" s="9">
        <f>IF('[1]Game Input'!$CF301&lt;&gt;"",'[1]Game Input'!$CF301,"")</f>
        <v>8</v>
      </c>
      <c r="Z301" s="9">
        <f>IF('[1]Game Input'!$CG301&lt;&gt;"",'[1]Game Input'!$CG301,"")</f>
        <v>1</v>
      </c>
      <c r="AA301" s="9">
        <f>IF('[1]Game Input'!$CH301&lt;&gt;"",'[1]Game Input'!$CH301,"")</f>
        <v>0</v>
      </c>
      <c r="AB301" s="9">
        <f>IF('[1]Game Input'!$CI301&lt;&gt;"",'[1]Game Input'!$CI301,"")</f>
        <v>1</v>
      </c>
      <c r="AC301" s="9">
        <f>IF('[1]Game Input'!$CJ301&lt;&gt;"",'[1]Game Input'!$CJ301,"")</f>
        <v>0</v>
      </c>
      <c r="AD301" s="9">
        <f>IF('[1]Game Input'!$CK301&lt;&gt;"",'[1]Game Input'!$CK301,"")</f>
        <v>0</v>
      </c>
      <c r="AE301" s="8" t="s">
        <v>102</v>
      </c>
      <c r="AF301" s="8"/>
      <c r="AG301" s="8" t="s">
        <v>116</v>
      </c>
      <c r="AH301" s="8" t="s">
        <v>117</v>
      </c>
    </row>
    <row r="302" spans="1:34" x14ac:dyDescent="0.2">
      <c r="A302" s="6">
        <f>IF('[1]Game Input'!$A302&lt;&gt;"",'[1]Game Input'!$A302,"")</f>
        <v>43490</v>
      </c>
      <c r="B302" s="6" t="str">
        <f>IF(A302&gt;$B$1,VLOOKUP(MONTH($A302),DOTWMonth,2,FALSE),"")</f>
        <v>January</v>
      </c>
      <c r="C302" s="10" t="str">
        <f>IF(A302&gt;$B$1,VLOOKUP(WEEKDAY($A302),DOTWMonth,3,FALSE),"")</f>
        <v>Friday</v>
      </c>
      <c r="D302" s="7">
        <f>IF('[1]Game Input'!$B302&lt;&gt;"",'[1]Game Input'!$B302,"")</f>
        <v>0.83680555555555547</v>
      </c>
      <c r="E302" s="7">
        <f>IF('[1]Game Input'!$C302&lt;&gt;"",'[1]Game Input'!$C302,"")</f>
        <v>0.79513888888888884</v>
      </c>
      <c r="F302" s="8" t="str">
        <f>IF('[1]Game Input'!$D302&lt;&gt;"",'[1]Game Input'!$D302,"")</f>
        <v>Standard</v>
      </c>
      <c r="G302" s="8" t="str">
        <f>IF('[1]Game Input'!$G302&lt;&gt;"",'[1]Game Input'!$G302,"")</f>
        <v>LIN @ GB</v>
      </c>
      <c r="H302" s="8" t="str">
        <f>IF('[1]Game Input'!$H302&lt;&gt;"",'[1]Game Input'!$H302,"")</f>
        <v>Vs. Non-Conference</v>
      </c>
      <c r="I302" s="8" t="str">
        <f>IF('[1]Game Input'!$I302&lt;&gt;"",'[1]Game Input'!$I302,"")</f>
        <v>LINCOLN</v>
      </c>
      <c r="J302" s="9">
        <f>IF('[1]Game Input'!$AC302&lt;&gt;"",'[1]Game Input'!$AC302,"")</f>
        <v>6</v>
      </c>
      <c r="K302" s="9">
        <f>IF('[1]Game Input'!$AD302&lt;&gt;"",'[1]Game Input'!$AD302,"")</f>
        <v>3</v>
      </c>
      <c r="L302" s="9">
        <f>IF('[1]Game Input'!$AJ302&lt;&gt;"",'[1]Game Input'!$AJ302,"")</f>
        <v>0</v>
      </c>
      <c r="M302" s="9">
        <f>IF('[1]Game Input'!$AK302&lt;&gt;"",'[1]Game Input'!$AK302,"")</f>
        <v>0</v>
      </c>
      <c r="N302" s="9">
        <f>IF('[1]Game Input'!$AN302&lt;&gt;"",'[1]Game Input'!$AN302,"")</f>
        <v>3</v>
      </c>
      <c r="O302" s="9">
        <f>IF('[1]Game Input'!$AO302&lt;&gt;"",'[1]Game Input'!$AO302,"")</f>
        <v>0</v>
      </c>
      <c r="P302" s="9">
        <f>IF('[1]Game Input'!$AP302&lt;&gt;"",'[1]Game Input'!$AP302,"")</f>
        <v>0</v>
      </c>
      <c r="Q302" s="9">
        <f>IF('[1]Game Input'!$AQ302&lt;&gt;"",'[1]Game Input'!$AQ302,"")</f>
        <v>0</v>
      </c>
      <c r="R302" s="9">
        <f>IF('[1]Game Input'!$AR302&lt;&gt;"",'[1]Game Input'!$AR302,"")</f>
        <v>0</v>
      </c>
      <c r="S302" s="9">
        <f>IF('[1]Game Input'!$AS302&lt;&gt;"",'[1]Game Input'!$AS302,"")</f>
        <v>0</v>
      </c>
      <c r="T302" s="10" t="str">
        <f>IF('[1]Game Input'!$BA302&lt;&gt;"",'[1]Game Input'!$BA302,"")</f>
        <v>GREEN BAY</v>
      </c>
      <c r="U302" s="9">
        <f>IF('[1]Game Input'!$BU302&lt;&gt;"",'[1]Game Input'!$BU302,"")</f>
        <v>8</v>
      </c>
      <c r="V302" s="9">
        <f>IF('[1]Game Input'!$BV302&lt;&gt;"",'[1]Game Input'!$BV302,"")</f>
        <v>4</v>
      </c>
      <c r="W302" s="9">
        <f>IF('[1]Game Input'!$CB302&lt;&gt;"",'[1]Game Input'!$CB302,"")</f>
        <v>0</v>
      </c>
      <c r="X302" s="9">
        <f>IF('[1]Game Input'!$CC302&lt;&gt;"",'[1]Game Input'!$CC302,"")</f>
        <v>0</v>
      </c>
      <c r="Y302" s="9">
        <f>IF('[1]Game Input'!$CF302&lt;&gt;"",'[1]Game Input'!$CF302,"")</f>
        <v>4</v>
      </c>
      <c r="Z302" s="9">
        <f>IF('[1]Game Input'!$CG302&lt;&gt;"",'[1]Game Input'!$CG302,"")</f>
        <v>0</v>
      </c>
      <c r="AA302" s="9">
        <f>IF('[1]Game Input'!$CH302&lt;&gt;"",'[1]Game Input'!$CH302,"")</f>
        <v>0</v>
      </c>
      <c r="AB302" s="9">
        <f>IF('[1]Game Input'!$CI302&lt;&gt;"",'[1]Game Input'!$CI302,"")</f>
        <v>0</v>
      </c>
      <c r="AC302" s="9">
        <f>IF('[1]Game Input'!$CJ302&lt;&gt;"",'[1]Game Input'!$CJ302,"")</f>
        <v>0</v>
      </c>
      <c r="AD302" s="9">
        <f>IF('[1]Game Input'!$CK302&lt;&gt;"",'[1]Game Input'!$CK302,"")</f>
        <v>0</v>
      </c>
      <c r="AE302" s="8"/>
      <c r="AF302" s="8"/>
      <c r="AG302" s="8"/>
      <c r="AH302" s="8"/>
    </row>
    <row r="303" spans="1:34" x14ac:dyDescent="0.2">
      <c r="A303" s="6">
        <f>IF('[1]Game Input'!$A303&lt;&gt;"",'[1]Game Input'!$A303,"")</f>
        <v>43490</v>
      </c>
      <c r="B303" s="6" t="str">
        <f>IF(A303&gt;$B$1,VLOOKUP(MONTH($A303),DOTWMonth,2,FALSE),"")</f>
        <v>January</v>
      </c>
      <c r="C303" s="10" t="str">
        <f>IF(A303&gt;$B$1,VLOOKUP(WEEKDAY($A303),DOTWMonth,3,FALSE),"")</f>
        <v>Friday</v>
      </c>
      <c r="D303" s="7">
        <f>IF('[1]Game Input'!$B303&lt;&gt;"",'[1]Game Input'!$B303,"")</f>
        <v>0.83680555555555547</v>
      </c>
      <c r="E303" s="7">
        <f>IF('[1]Game Input'!$C303&lt;&gt;"",'[1]Game Input'!$C303,"")</f>
        <v>0.79513888888888884</v>
      </c>
      <c r="F303" s="8" t="str">
        <f>IF('[1]Game Input'!$D303&lt;&gt;"",'[1]Game Input'!$D303,"")</f>
        <v>Standard</v>
      </c>
      <c r="G303" s="8" t="str">
        <f>IF('[1]Game Input'!$G303&lt;&gt;"",'[1]Game Input'!$G303,"")</f>
        <v>YNG @ TC</v>
      </c>
      <c r="H303" s="8" t="str">
        <f>IF('[1]Game Input'!$H303&lt;&gt;"",'[1]Game Input'!$H303,"")</f>
        <v>Vs. Non-Conference</v>
      </c>
      <c r="I303" s="8" t="str">
        <f>IF('[1]Game Input'!$I303&lt;&gt;"",'[1]Game Input'!$I303,"")</f>
        <v>YOUNGSTOWN</v>
      </c>
      <c r="J303" s="9">
        <f>IF('[1]Game Input'!$AC303&lt;&gt;"",'[1]Game Input'!$AC303,"")</f>
        <v>47</v>
      </c>
      <c r="K303" s="9">
        <f>IF('[1]Game Input'!$AD303&lt;&gt;"",'[1]Game Input'!$AD303,"")</f>
        <v>14</v>
      </c>
      <c r="L303" s="9">
        <f>IF('[1]Game Input'!$AJ303&lt;&gt;"",'[1]Game Input'!$AJ303,"")</f>
        <v>0</v>
      </c>
      <c r="M303" s="9">
        <f>IF('[1]Game Input'!$AK303&lt;&gt;"",'[1]Game Input'!$AK303,"")</f>
        <v>0</v>
      </c>
      <c r="N303" s="9">
        <f>IF('[1]Game Input'!$AN303&lt;&gt;"",'[1]Game Input'!$AN303,"")</f>
        <v>11</v>
      </c>
      <c r="O303" s="9">
        <f>IF('[1]Game Input'!$AO303&lt;&gt;"",'[1]Game Input'!$AO303,"")</f>
        <v>1</v>
      </c>
      <c r="P303" s="9">
        <f>IF('[1]Game Input'!$AP303&lt;&gt;"",'[1]Game Input'!$AP303,"")</f>
        <v>1</v>
      </c>
      <c r="Q303" s="9">
        <f>IF('[1]Game Input'!$AQ303&lt;&gt;"",'[1]Game Input'!$AQ303,"")</f>
        <v>1</v>
      </c>
      <c r="R303" s="9">
        <f>IF('[1]Game Input'!$AR303&lt;&gt;"",'[1]Game Input'!$AR303,"")</f>
        <v>0</v>
      </c>
      <c r="S303" s="9">
        <f>IF('[1]Game Input'!$AS303&lt;&gt;"",'[1]Game Input'!$AS303,"")</f>
        <v>0</v>
      </c>
      <c r="T303" s="10" t="str">
        <f>IF('[1]Game Input'!$BA303&lt;&gt;"",'[1]Game Input'!$BA303,"")</f>
        <v>TRI-CITY</v>
      </c>
      <c r="U303" s="9">
        <f>IF('[1]Game Input'!$BU303&lt;&gt;"",'[1]Game Input'!$BU303,"")</f>
        <v>32</v>
      </c>
      <c r="V303" s="9">
        <f>IF('[1]Game Input'!$BV303&lt;&gt;"",'[1]Game Input'!$BV303,"")</f>
        <v>12</v>
      </c>
      <c r="W303" s="9">
        <f>IF('[1]Game Input'!$CB303&lt;&gt;"",'[1]Game Input'!$CB303,"")</f>
        <v>0</v>
      </c>
      <c r="X303" s="9">
        <f>IF('[1]Game Input'!$CC303&lt;&gt;"",'[1]Game Input'!$CC303,"")</f>
        <v>0</v>
      </c>
      <c r="Y303" s="9">
        <f>IF('[1]Game Input'!$CF303&lt;&gt;"",'[1]Game Input'!$CF303,"")</f>
        <v>11</v>
      </c>
      <c r="Z303" s="9">
        <f>IF('[1]Game Input'!$CG303&lt;&gt;"",'[1]Game Input'!$CG303,"")</f>
        <v>0</v>
      </c>
      <c r="AA303" s="9">
        <f>IF('[1]Game Input'!$CH303&lt;&gt;"",'[1]Game Input'!$CH303,"")</f>
        <v>1</v>
      </c>
      <c r="AB303" s="9">
        <f>IF('[1]Game Input'!$CI303&lt;&gt;"",'[1]Game Input'!$CI303,"")</f>
        <v>0</v>
      </c>
      <c r="AC303" s="9">
        <f>IF('[1]Game Input'!$CJ303&lt;&gt;"",'[1]Game Input'!$CJ303,"")</f>
        <v>0</v>
      </c>
      <c r="AD303" s="9">
        <f>IF('[1]Game Input'!$CK303&lt;&gt;"",'[1]Game Input'!$CK303,"")</f>
        <v>0</v>
      </c>
      <c r="AE303" s="8"/>
      <c r="AF303" s="8"/>
      <c r="AG303" s="8"/>
      <c r="AH303" s="8"/>
    </row>
    <row r="304" spans="1:34" x14ac:dyDescent="0.2">
      <c r="A304" s="6">
        <f>IF('[1]Game Input'!$A304&lt;&gt;"",'[1]Game Input'!$A304,"")</f>
        <v>43491</v>
      </c>
      <c r="B304" s="6" t="str">
        <f>IF(A304&gt;$B$1,VLOOKUP(MONTH($A304),DOTWMonth,2,FALSE),"")</f>
        <v>January</v>
      </c>
      <c r="C304" s="10" t="str">
        <f>IF(A304&gt;$B$1,VLOOKUP(WEEKDAY($A304),DOTWMonth,3,FALSE),"")</f>
        <v>Saturday</v>
      </c>
      <c r="D304" s="7">
        <f>IF('[1]Game Input'!$B304&lt;&gt;"",'[1]Game Input'!$B304,"")</f>
        <v>0.79166666666666663</v>
      </c>
      <c r="E304" s="7">
        <f>IF('[1]Game Input'!$C304&lt;&gt;"",'[1]Game Input'!$C304,"")</f>
        <v>0.75</v>
      </c>
      <c r="F304" s="8" t="str">
        <f>IF('[1]Game Input'!$D304&lt;&gt;"",'[1]Game Input'!$D304,"")</f>
        <v>Standard</v>
      </c>
      <c r="G304" s="8" t="str">
        <f>IF('[1]Game Input'!$G304&lt;&gt;"",'[1]Game Input'!$G304,"")</f>
        <v>CIL @ USA</v>
      </c>
      <c r="H304" s="8" t="str">
        <f>IF('[1]Game Input'!$H304&lt;&gt;"",'[1]Game Input'!$H304,"")</f>
        <v>Vs. Conference</v>
      </c>
      <c r="I304" s="8" t="str">
        <f>IF('[1]Game Input'!$I304&lt;&gt;"",'[1]Game Input'!$I304,"")</f>
        <v>CENTRAL ILLINOIS</v>
      </c>
      <c r="J304" s="9">
        <f>IF('[1]Game Input'!$AC304&lt;&gt;"",'[1]Game Input'!$AC304,"")</f>
        <v>34</v>
      </c>
      <c r="K304" s="9">
        <f>IF('[1]Game Input'!$AD304&lt;&gt;"",'[1]Game Input'!$AD304,"")</f>
        <v>9</v>
      </c>
      <c r="L304" s="9">
        <f>IF('[1]Game Input'!$AJ304&lt;&gt;"",'[1]Game Input'!$AJ304,"")</f>
        <v>0</v>
      </c>
      <c r="M304" s="9">
        <f>IF('[1]Game Input'!$AK304&lt;&gt;"",'[1]Game Input'!$AK304,"")</f>
        <v>0</v>
      </c>
      <c r="N304" s="9">
        <f>IF('[1]Game Input'!$AN304&lt;&gt;"",'[1]Game Input'!$AN304,"")</f>
        <v>7</v>
      </c>
      <c r="O304" s="9">
        <f>IF('[1]Game Input'!$AO304&lt;&gt;"",'[1]Game Input'!$AO304,"")</f>
        <v>0</v>
      </c>
      <c r="P304" s="9">
        <f>IF('[1]Game Input'!$AP304&lt;&gt;"",'[1]Game Input'!$AP304,"")</f>
        <v>2</v>
      </c>
      <c r="Q304" s="9">
        <f>IF('[1]Game Input'!$AQ304&lt;&gt;"",'[1]Game Input'!$AQ304,"")</f>
        <v>0</v>
      </c>
      <c r="R304" s="9">
        <f>IF('[1]Game Input'!$AR304&lt;&gt;"",'[1]Game Input'!$AR304,"")</f>
        <v>0</v>
      </c>
      <c r="S304" s="9">
        <f>IF('[1]Game Input'!$AS304&lt;&gt;"",'[1]Game Input'!$AS304,"")</f>
        <v>0</v>
      </c>
      <c r="T304" s="10" t="str">
        <f>IF('[1]Game Input'!$BA304&lt;&gt;"",'[1]Game Input'!$BA304,"")</f>
        <v>TEAM USA</v>
      </c>
      <c r="U304" s="9">
        <f>IF('[1]Game Input'!$BU304&lt;&gt;"",'[1]Game Input'!$BU304,"")</f>
        <v>10</v>
      </c>
      <c r="V304" s="9">
        <f>IF('[1]Game Input'!$BV304&lt;&gt;"",'[1]Game Input'!$BV304,"")</f>
        <v>5</v>
      </c>
      <c r="W304" s="9">
        <f>IF('[1]Game Input'!$CB304&lt;&gt;"",'[1]Game Input'!$CB304,"")</f>
        <v>0</v>
      </c>
      <c r="X304" s="9">
        <f>IF('[1]Game Input'!$CC304&lt;&gt;"",'[1]Game Input'!$CC304,"")</f>
        <v>0</v>
      </c>
      <c r="Y304" s="9">
        <f>IF('[1]Game Input'!$CF304&lt;&gt;"",'[1]Game Input'!$CF304,"")</f>
        <v>5</v>
      </c>
      <c r="Z304" s="9">
        <f>IF('[1]Game Input'!$CG304&lt;&gt;"",'[1]Game Input'!$CG304,"")</f>
        <v>0</v>
      </c>
      <c r="AA304" s="9">
        <f>IF('[1]Game Input'!$CH304&lt;&gt;"",'[1]Game Input'!$CH304,"")</f>
        <v>0</v>
      </c>
      <c r="AB304" s="9">
        <f>IF('[1]Game Input'!$CI304&lt;&gt;"",'[1]Game Input'!$CI304,"")</f>
        <v>0</v>
      </c>
      <c r="AC304" s="9">
        <f>IF('[1]Game Input'!$CJ304&lt;&gt;"",'[1]Game Input'!$CJ304,"")</f>
        <v>0</v>
      </c>
      <c r="AD304" s="9">
        <f>IF('[1]Game Input'!$CK304&lt;&gt;"",'[1]Game Input'!$CK304,"")</f>
        <v>0</v>
      </c>
      <c r="AE304" s="8" t="s">
        <v>156</v>
      </c>
      <c r="AF304" s="8"/>
      <c r="AG304" s="8" t="s">
        <v>121</v>
      </c>
      <c r="AH304" s="8" t="s">
        <v>135</v>
      </c>
    </row>
    <row r="305" spans="1:34" x14ac:dyDescent="0.2">
      <c r="A305" s="6">
        <f>IF('[1]Game Input'!$A305&lt;&gt;"",'[1]Game Input'!$A305,"")</f>
        <v>43491</v>
      </c>
      <c r="B305" s="6" t="str">
        <f>IF(A305&gt;$B$1,VLOOKUP(MONTH($A305),DOTWMonth,2,FALSE),"")</f>
        <v>January</v>
      </c>
      <c r="C305" s="10" t="str">
        <f>IF(A305&gt;$B$1,VLOOKUP(WEEKDAY($A305),DOTWMonth,3,FALSE),"")</f>
        <v>Saturday</v>
      </c>
      <c r="D305" s="7">
        <f>IF('[1]Game Input'!$B305&lt;&gt;"",'[1]Game Input'!$B305,"")</f>
        <v>0.80208333333333337</v>
      </c>
      <c r="E305" s="7">
        <f>IF('[1]Game Input'!$C305&lt;&gt;"",'[1]Game Input'!$C305,"")</f>
        <v>0.76041666666666674</v>
      </c>
      <c r="F305" s="8" t="str">
        <f>IF('[1]Game Input'!$D305&lt;&gt;"",'[1]Game Input'!$D305,"")</f>
        <v>Standard</v>
      </c>
      <c r="G305" s="8" t="str">
        <f>IF('[1]Game Input'!$G305&lt;&gt;"",'[1]Game Input'!$G305,"")</f>
        <v>USA @ MUS</v>
      </c>
      <c r="H305" s="8" t="str">
        <f>IF('[1]Game Input'!$H305&lt;&gt;"",'[1]Game Input'!$H305,"")</f>
        <v>Vs. Conference</v>
      </c>
      <c r="I305" s="8" t="str">
        <f>IF('[1]Game Input'!$I305&lt;&gt;"",'[1]Game Input'!$I305,"")</f>
        <v>TEAM USA</v>
      </c>
      <c r="J305" s="9">
        <f>IF('[1]Game Input'!$AC305&lt;&gt;"",'[1]Game Input'!$AC305,"")</f>
        <v>6</v>
      </c>
      <c r="K305" s="9">
        <f>IF('[1]Game Input'!$AD305&lt;&gt;"",'[1]Game Input'!$AD305,"")</f>
        <v>3</v>
      </c>
      <c r="L305" s="9">
        <f>IF('[1]Game Input'!$AJ305&lt;&gt;"",'[1]Game Input'!$AJ305,"")</f>
        <v>0</v>
      </c>
      <c r="M305" s="9">
        <f>IF('[1]Game Input'!$AK305&lt;&gt;"",'[1]Game Input'!$AK305,"")</f>
        <v>0</v>
      </c>
      <c r="N305" s="9">
        <f>IF('[1]Game Input'!$AN305&lt;&gt;"",'[1]Game Input'!$AN305,"")</f>
        <v>3</v>
      </c>
      <c r="O305" s="9">
        <f>IF('[1]Game Input'!$AO305&lt;&gt;"",'[1]Game Input'!$AO305,"")</f>
        <v>0</v>
      </c>
      <c r="P305" s="9">
        <f>IF('[1]Game Input'!$AP305&lt;&gt;"",'[1]Game Input'!$AP305,"")</f>
        <v>0</v>
      </c>
      <c r="Q305" s="9">
        <f>IF('[1]Game Input'!$AQ305&lt;&gt;"",'[1]Game Input'!$AQ305,"")</f>
        <v>0</v>
      </c>
      <c r="R305" s="9">
        <f>IF('[1]Game Input'!$AR305&lt;&gt;"",'[1]Game Input'!$AR305,"")</f>
        <v>0</v>
      </c>
      <c r="S305" s="9">
        <f>IF('[1]Game Input'!$AS305&lt;&gt;"",'[1]Game Input'!$AS305,"")</f>
        <v>0</v>
      </c>
      <c r="T305" s="10" t="str">
        <f>IF('[1]Game Input'!$BA305&lt;&gt;"",'[1]Game Input'!$BA305,"")</f>
        <v>MUSKEGON</v>
      </c>
      <c r="U305" s="9">
        <f>IF('[1]Game Input'!$BU305&lt;&gt;"",'[1]Game Input'!$BU305,"")</f>
        <v>21</v>
      </c>
      <c r="V305" s="9">
        <f>IF('[1]Game Input'!$BV305&lt;&gt;"",'[1]Game Input'!$BV305,"")</f>
        <v>5</v>
      </c>
      <c r="W305" s="9">
        <f>IF('[1]Game Input'!$CB305&lt;&gt;"",'[1]Game Input'!$CB305,"")</f>
        <v>0</v>
      </c>
      <c r="X305" s="9">
        <f>IF('[1]Game Input'!$CC305&lt;&gt;"",'[1]Game Input'!$CC305,"")</f>
        <v>0</v>
      </c>
      <c r="Y305" s="9">
        <f>IF('[1]Game Input'!$CF305&lt;&gt;"",'[1]Game Input'!$CF305,"")</f>
        <v>3</v>
      </c>
      <c r="Z305" s="9">
        <f>IF('[1]Game Input'!$CG305&lt;&gt;"",'[1]Game Input'!$CG305,"")</f>
        <v>1</v>
      </c>
      <c r="AA305" s="9">
        <f>IF('[1]Game Input'!$CH305&lt;&gt;"",'[1]Game Input'!$CH305,"")</f>
        <v>0</v>
      </c>
      <c r="AB305" s="9">
        <f>IF('[1]Game Input'!$CI305&lt;&gt;"",'[1]Game Input'!$CI305,"")</f>
        <v>1</v>
      </c>
      <c r="AC305" s="9">
        <f>IF('[1]Game Input'!$CJ305&lt;&gt;"",'[1]Game Input'!$CJ305,"")</f>
        <v>0</v>
      </c>
      <c r="AD305" s="9">
        <f>IF('[1]Game Input'!$CK305&lt;&gt;"",'[1]Game Input'!$CK305,"")</f>
        <v>0</v>
      </c>
      <c r="AE305" s="8"/>
      <c r="AF305" s="8"/>
      <c r="AG305" s="8"/>
      <c r="AH305" s="8"/>
    </row>
    <row r="306" spans="1:34" x14ac:dyDescent="0.2">
      <c r="A306" s="6">
        <f>IF('[1]Game Input'!$A306&lt;&gt;"",'[1]Game Input'!$A306,"")</f>
        <v>43491</v>
      </c>
      <c r="B306" s="6" t="str">
        <f>IF(A306&gt;$B$1,VLOOKUP(MONTH($A306),DOTWMonth,2,FALSE),"")</f>
        <v>January</v>
      </c>
      <c r="C306" s="10" t="str">
        <f>IF(A306&gt;$B$1,VLOOKUP(WEEKDAY($A306),DOTWMonth,3,FALSE),"")</f>
        <v>Saturday</v>
      </c>
      <c r="D306" s="7">
        <f>IF('[1]Game Input'!$B306&lt;&gt;"",'[1]Game Input'!$B306,"")</f>
        <v>0.83680555555555547</v>
      </c>
      <c r="E306" s="7">
        <f>IF('[1]Game Input'!$C306&lt;&gt;"",'[1]Game Input'!$C306,"")</f>
        <v>0.79513888888888884</v>
      </c>
      <c r="F306" s="8" t="str">
        <f>IF('[1]Game Input'!$D306&lt;&gt;"",'[1]Game Input'!$D306,"")</f>
        <v>Standard</v>
      </c>
      <c r="G306" s="8" t="str">
        <f>IF('[1]Game Input'!$G306&lt;&gt;"",'[1]Game Input'!$G306,"")</f>
        <v>TC @ DM</v>
      </c>
      <c r="H306" s="8" t="str">
        <f>IF('[1]Game Input'!$H306&lt;&gt;"",'[1]Game Input'!$H306,"")</f>
        <v>Vs. Conference</v>
      </c>
      <c r="I306" s="8" t="str">
        <f>IF('[1]Game Input'!$I306&lt;&gt;"",'[1]Game Input'!$I306,"")</f>
        <v>TRI-CITY</v>
      </c>
      <c r="J306" s="9">
        <f>IF('[1]Game Input'!$AC306&lt;&gt;"",'[1]Game Input'!$AC306,"")</f>
        <v>10</v>
      </c>
      <c r="K306" s="9">
        <f>IF('[1]Game Input'!$AD306&lt;&gt;"",'[1]Game Input'!$AD306,"")</f>
        <v>5</v>
      </c>
      <c r="L306" s="9">
        <f>IF('[1]Game Input'!$AJ306&lt;&gt;"",'[1]Game Input'!$AJ306,"")</f>
        <v>0</v>
      </c>
      <c r="M306" s="9">
        <f>IF('[1]Game Input'!$AK306&lt;&gt;"",'[1]Game Input'!$AK306,"")</f>
        <v>0</v>
      </c>
      <c r="N306" s="9">
        <f>IF('[1]Game Input'!$AN306&lt;&gt;"",'[1]Game Input'!$AN306,"")</f>
        <v>5</v>
      </c>
      <c r="O306" s="9">
        <f>IF('[1]Game Input'!$AO306&lt;&gt;"",'[1]Game Input'!$AO306,"")</f>
        <v>0</v>
      </c>
      <c r="P306" s="9">
        <f>IF('[1]Game Input'!$AP306&lt;&gt;"",'[1]Game Input'!$AP306,"")</f>
        <v>0</v>
      </c>
      <c r="Q306" s="9">
        <f>IF('[1]Game Input'!$AQ306&lt;&gt;"",'[1]Game Input'!$AQ306,"")</f>
        <v>0</v>
      </c>
      <c r="R306" s="9">
        <f>IF('[1]Game Input'!$AR306&lt;&gt;"",'[1]Game Input'!$AR306,"")</f>
        <v>0</v>
      </c>
      <c r="S306" s="9">
        <f>IF('[1]Game Input'!$AS306&lt;&gt;"",'[1]Game Input'!$AS306,"")</f>
        <v>0</v>
      </c>
      <c r="T306" s="10" t="str">
        <f>IF('[1]Game Input'!$BA306&lt;&gt;"",'[1]Game Input'!$BA306,"")</f>
        <v>DES MOINES</v>
      </c>
      <c r="U306" s="9">
        <f>IF('[1]Game Input'!$BU306&lt;&gt;"",'[1]Game Input'!$BU306,"")</f>
        <v>8</v>
      </c>
      <c r="V306" s="9">
        <f>IF('[1]Game Input'!$BV306&lt;&gt;"",'[1]Game Input'!$BV306,"")</f>
        <v>4</v>
      </c>
      <c r="W306" s="9">
        <f>IF('[1]Game Input'!$CB306&lt;&gt;"",'[1]Game Input'!$CB306,"")</f>
        <v>0</v>
      </c>
      <c r="X306" s="9">
        <f>IF('[1]Game Input'!$CC306&lt;&gt;"",'[1]Game Input'!$CC306,"")</f>
        <v>0</v>
      </c>
      <c r="Y306" s="9">
        <f>IF('[1]Game Input'!$CF306&lt;&gt;"",'[1]Game Input'!$CF306,"")</f>
        <v>4</v>
      </c>
      <c r="Z306" s="9">
        <f>IF('[1]Game Input'!$CG306&lt;&gt;"",'[1]Game Input'!$CG306,"")</f>
        <v>0</v>
      </c>
      <c r="AA306" s="9">
        <f>IF('[1]Game Input'!$CH306&lt;&gt;"",'[1]Game Input'!$CH306,"")</f>
        <v>0</v>
      </c>
      <c r="AB306" s="9">
        <f>IF('[1]Game Input'!$CI306&lt;&gt;"",'[1]Game Input'!$CI306,"")</f>
        <v>0</v>
      </c>
      <c r="AC306" s="9">
        <f>IF('[1]Game Input'!$CJ306&lt;&gt;"",'[1]Game Input'!$CJ306,"")</f>
        <v>0</v>
      </c>
      <c r="AD306" s="9">
        <f>IF('[1]Game Input'!$CK306&lt;&gt;"",'[1]Game Input'!$CK306,"")</f>
        <v>0</v>
      </c>
      <c r="AE306" s="8" t="s">
        <v>94</v>
      </c>
      <c r="AF306" s="8"/>
      <c r="AG306" s="8" t="s">
        <v>114</v>
      </c>
      <c r="AH306" s="8" t="s">
        <v>124</v>
      </c>
    </row>
    <row r="307" spans="1:34" x14ac:dyDescent="0.2">
      <c r="A307" s="6">
        <f>IF('[1]Game Input'!$A307&lt;&gt;"",'[1]Game Input'!$A307,"")</f>
        <v>43491</v>
      </c>
      <c r="B307" s="6" t="str">
        <f>IF(A307&gt;$B$1,VLOOKUP(MONTH($A307),DOTWMonth,2,FALSE),"")</f>
        <v>January</v>
      </c>
      <c r="C307" s="10" t="str">
        <f>IF(A307&gt;$B$1,VLOOKUP(WEEKDAY($A307),DOTWMonth,3,FALSE),"")</f>
        <v>Saturday</v>
      </c>
      <c r="D307" s="7">
        <f>IF('[1]Game Input'!$B307&lt;&gt;"",'[1]Game Input'!$B307,"")</f>
        <v>0.83680555555555547</v>
      </c>
      <c r="E307" s="7">
        <f>IF('[1]Game Input'!$C307&lt;&gt;"",'[1]Game Input'!$C307,"")</f>
        <v>0.79513888888888884</v>
      </c>
      <c r="F307" s="8" t="str">
        <f>IF('[1]Game Input'!$D307&lt;&gt;"",'[1]Game Input'!$D307,"")</f>
        <v>Standard</v>
      </c>
      <c r="G307" s="8" t="str">
        <f>IF('[1]Game Input'!$G307&lt;&gt;"",'[1]Game Input'!$G307,"")</f>
        <v>FGO @ CHI</v>
      </c>
      <c r="H307" s="8" t="str">
        <f>IF('[1]Game Input'!$H307&lt;&gt;"",'[1]Game Input'!$H307,"")</f>
        <v>Vs. Non-Conference</v>
      </c>
      <c r="I307" s="8" t="str">
        <f>IF('[1]Game Input'!$I307&lt;&gt;"",'[1]Game Input'!$I307,"")</f>
        <v>FARGO</v>
      </c>
      <c r="J307" s="9">
        <f>IF('[1]Game Input'!$AC307&lt;&gt;"",'[1]Game Input'!$AC307,"")</f>
        <v>4</v>
      </c>
      <c r="K307" s="9">
        <f>IF('[1]Game Input'!$AD307&lt;&gt;"",'[1]Game Input'!$AD307,"")</f>
        <v>2</v>
      </c>
      <c r="L307" s="9">
        <f>IF('[1]Game Input'!$AJ307&lt;&gt;"",'[1]Game Input'!$AJ307,"")</f>
        <v>0</v>
      </c>
      <c r="M307" s="9">
        <f>IF('[1]Game Input'!$AK307&lt;&gt;"",'[1]Game Input'!$AK307,"")</f>
        <v>0</v>
      </c>
      <c r="N307" s="9">
        <f>IF('[1]Game Input'!$AN307&lt;&gt;"",'[1]Game Input'!$AN307,"")</f>
        <v>2</v>
      </c>
      <c r="O307" s="9">
        <f>IF('[1]Game Input'!$AO307&lt;&gt;"",'[1]Game Input'!$AO307,"")</f>
        <v>0</v>
      </c>
      <c r="P307" s="9">
        <f>IF('[1]Game Input'!$AP307&lt;&gt;"",'[1]Game Input'!$AP307,"")</f>
        <v>0</v>
      </c>
      <c r="Q307" s="9">
        <f>IF('[1]Game Input'!$AQ307&lt;&gt;"",'[1]Game Input'!$AQ307,"")</f>
        <v>0</v>
      </c>
      <c r="R307" s="9">
        <f>IF('[1]Game Input'!$AR307&lt;&gt;"",'[1]Game Input'!$AR307,"")</f>
        <v>0</v>
      </c>
      <c r="S307" s="9">
        <f>IF('[1]Game Input'!$AS307&lt;&gt;"",'[1]Game Input'!$AS307,"")</f>
        <v>0</v>
      </c>
      <c r="T307" s="10" t="str">
        <f>IF('[1]Game Input'!$BA307&lt;&gt;"",'[1]Game Input'!$BA307,"")</f>
        <v>CHICAGO</v>
      </c>
      <c r="U307" s="9">
        <f>IF('[1]Game Input'!$BU307&lt;&gt;"",'[1]Game Input'!$BU307,"")</f>
        <v>2</v>
      </c>
      <c r="V307" s="9">
        <f>IF('[1]Game Input'!$BV307&lt;&gt;"",'[1]Game Input'!$BV307,"")</f>
        <v>1</v>
      </c>
      <c r="W307" s="9">
        <f>IF('[1]Game Input'!$CB307&lt;&gt;"",'[1]Game Input'!$CB307,"")</f>
        <v>0</v>
      </c>
      <c r="X307" s="9">
        <f>IF('[1]Game Input'!$CC307&lt;&gt;"",'[1]Game Input'!$CC307,"")</f>
        <v>0</v>
      </c>
      <c r="Y307" s="9">
        <f>IF('[1]Game Input'!$CF307&lt;&gt;"",'[1]Game Input'!$CF307,"")</f>
        <v>1</v>
      </c>
      <c r="Z307" s="9">
        <f>IF('[1]Game Input'!$CG307&lt;&gt;"",'[1]Game Input'!$CG307,"")</f>
        <v>0</v>
      </c>
      <c r="AA307" s="9">
        <f>IF('[1]Game Input'!$CH307&lt;&gt;"",'[1]Game Input'!$CH307,"")</f>
        <v>0</v>
      </c>
      <c r="AB307" s="9">
        <f>IF('[1]Game Input'!$CI307&lt;&gt;"",'[1]Game Input'!$CI307,"")</f>
        <v>0</v>
      </c>
      <c r="AC307" s="9">
        <f>IF('[1]Game Input'!$CJ307&lt;&gt;"",'[1]Game Input'!$CJ307,"")</f>
        <v>0</v>
      </c>
      <c r="AD307" s="9">
        <f>IF('[1]Game Input'!$CK307&lt;&gt;"",'[1]Game Input'!$CK307,"")</f>
        <v>0</v>
      </c>
      <c r="AE307" s="8"/>
      <c r="AF307" s="8"/>
      <c r="AG307" s="8"/>
      <c r="AH307" s="8"/>
    </row>
    <row r="308" spans="1:34" x14ac:dyDescent="0.2">
      <c r="A308" s="6">
        <f>IF('[1]Game Input'!$A308&lt;&gt;"",'[1]Game Input'!$A308,"")</f>
        <v>43491</v>
      </c>
      <c r="B308" s="6" t="str">
        <f>IF(A308&gt;$B$1,VLOOKUP(MONTH($A308),DOTWMonth,2,FALSE),"")</f>
        <v>January</v>
      </c>
      <c r="C308" s="10" t="str">
        <f>IF(A308&gt;$B$1,VLOOKUP(WEEKDAY($A308),DOTWMonth,3,FALSE),"")</f>
        <v>Saturday</v>
      </c>
      <c r="D308" s="7">
        <f>IF('[1]Game Input'!$B308&lt;&gt;"",'[1]Game Input'!$B308,"")</f>
        <v>0.83680555555555547</v>
      </c>
      <c r="E308" s="7">
        <f>IF('[1]Game Input'!$C308&lt;&gt;"",'[1]Game Input'!$C308,"")</f>
        <v>0.79513888888888884</v>
      </c>
      <c r="F308" s="8" t="str">
        <f>IF('[1]Game Input'!$D308&lt;&gt;"",'[1]Game Input'!$D308,"")</f>
        <v>Standard</v>
      </c>
      <c r="G308" s="8" t="str">
        <f>IF('[1]Game Input'!$G308&lt;&gt;"",'[1]Game Input'!$G308,"")</f>
        <v>LIN @ GB</v>
      </c>
      <c r="H308" s="8" t="str">
        <f>IF('[1]Game Input'!$H308&lt;&gt;"",'[1]Game Input'!$H308,"")</f>
        <v>Vs. Non-Conference</v>
      </c>
      <c r="I308" s="8" t="str">
        <f>IF('[1]Game Input'!$I308&lt;&gt;"",'[1]Game Input'!$I308,"")</f>
        <v>LINCOLN</v>
      </c>
      <c r="J308" s="9">
        <f>IF('[1]Game Input'!$AC308&lt;&gt;"",'[1]Game Input'!$AC308,"")</f>
        <v>6</v>
      </c>
      <c r="K308" s="9">
        <f>IF('[1]Game Input'!$AD308&lt;&gt;"",'[1]Game Input'!$AD308,"")</f>
        <v>3</v>
      </c>
      <c r="L308" s="9">
        <f>IF('[1]Game Input'!$AJ308&lt;&gt;"",'[1]Game Input'!$AJ308,"")</f>
        <v>0</v>
      </c>
      <c r="M308" s="9">
        <f>IF('[1]Game Input'!$AK308&lt;&gt;"",'[1]Game Input'!$AK308,"")</f>
        <v>0</v>
      </c>
      <c r="N308" s="9">
        <f>IF('[1]Game Input'!$AN308&lt;&gt;"",'[1]Game Input'!$AN308,"")</f>
        <v>3</v>
      </c>
      <c r="O308" s="9">
        <f>IF('[1]Game Input'!$AO308&lt;&gt;"",'[1]Game Input'!$AO308,"")</f>
        <v>0</v>
      </c>
      <c r="P308" s="9">
        <f>IF('[1]Game Input'!$AP308&lt;&gt;"",'[1]Game Input'!$AP308,"")</f>
        <v>0</v>
      </c>
      <c r="Q308" s="9">
        <f>IF('[1]Game Input'!$AQ308&lt;&gt;"",'[1]Game Input'!$AQ308,"")</f>
        <v>0</v>
      </c>
      <c r="R308" s="9">
        <f>IF('[1]Game Input'!$AR308&lt;&gt;"",'[1]Game Input'!$AR308,"")</f>
        <v>0</v>
      </c>
      <c r="S308" s="9">
        <f>IF('[1]Game Input'!$AS308&lt;&gt;"",'[1]Game Input'!$AS308,"")</f>
        <v>0</v>
      </c>
      <c r="T308" s="10" t="str">
        <f>IF('[1]Game Input'!$BA308&lt;&gt;"",'[1]Game Input'!$BA308,"")</f>
        <v>GREEN BAY</v>
      </c>
      <c r="U308" s="9">
        <f>IF('[1]Game Input'!$BU308&lt;&gt;"",'[1]Game Input'!$BU308,"")</f>
        <v>12</v>
      </c>
      <c r="V308" s="9">
        <f>IF('[1]Game Input'!$BV308&lt;&gt;"",'[1]Game Input'!$BV308,"")</f>
        <v>6</v>
      </c>
      <c r="W308" s="9">
        <f>IF('[1]Game Input'!$CB308&lt;&gt;"",'[1]Game Input'!$CB308,"")</f>
        <v>0</v>
      </c>
      <c r="X308" s="9">
        <f>IF('[1]Game Input'!$CC308&lt;&gt;"",'[1]Game Input'!$CC308,"")</f>
        <v>0</v>
      </c>
      <c r="Y308" s="9">
        <f>IF('[1]Game Input'!$CF308&lt;&gt;"",'[1]Game Input'!$CF308,"")</f>
        <v>6</v>
      </c>
      <c r="Z308" s="9">
        <f>IF('[1]Game Input'!$CG308&lt;&gt;"",'[1]Game Input'!$CG308,"")</f>
        <v>0</v>
      </c>
      <c r="AA308" s="9">
        <f>IF('[1]Game Input'!$CH308&lt;&gt;"",'[1]Game Input'!$CH308,"")</f>
        <v>0</v>
      </c>
      <c r="AB308" s="9">
        <f>IF('[1]Game Input'!$CI308&lt;&gt;"",'[1]Game Input'!$CI308,"")</f>
        <v>0</v>
      </c>
      <c r="AC308" s="9">
        <f>IF('[1]Game Input'!$CJ308&lt;&gt;"",'[1]Game Input'!$CJ308,"")</f>
        <v>0</v>
      </c>
      <c r="AD308" s="9">
        <f>IF('[1]Game Input'!$CK308&lt;&gt;"",'[1]Game Input'!$CK308,"")</f>
        <v>0</v>
      </c>
      <c r="AE308" s="8"/>
      <c r="AF308" s="8"/>
      <c r="AG308" s="8"/>
      <c r="AH308" s="8"/>
    </row>
    <row r="309" spans="1:34" x14ac:dyDescent="0.2">
      <c r="A309" s="6">
        <f>IF('[1]Game Input'!$A309&lt;&gt;"",'[1]Game Input'!$A309,"")</f>
        <v>43491</v>
      </c>
      <c r="B309" s="6" t="str">
        <f>IF(A309&gt;$B$1,VLOOKUP(MONTH($A309),DOTWMonth,2,FALSE),"")</f>
        <v>January</v>
      </c>
      <c r="C309" s="10" t="str">
        <f>IF(A309&gt;$B$1,VLOOKUP(WEEKDAY($A309),DOTWMonth,3,FALSE),"")</f>
        <v>Saturday</v>
      </c>
      <c r="D309" s="7">
        <f>IF('[1]Game Input'!$B309&lt;&gt;"",'[1]Game Input'!$B309,"")</f>
        <v>0.83680555555555547</v>
      </c>
      <c r="E309" s="7">
        <f>IF('[1]Game Input'!$C309&lt;&gt;"",'[1]Game Input'!$C309,"")</f>
        <v>0.79513888888888884</v>
      </c>
      <c r="F309" s="8" t="str">
        <f>IF('[1]Game Input'!$D309&lt;&gt;"",'[1]Game Input'!$D309,"")</f>
        <v>Standard</v>
      </c>
      <c r="G309" s="8" t="str">
        <f>IF('[1]Game Input'!$G309&lt;&gt;"",'[1]Game Input'!$G309,"")</f>
        <v>SF @ MAD</v>
      </c>
      <c r="H309" s="8" t="str">
        <f>IF('[1]Game Input'!$H309&lt;&gt;"",'[1]Game Input'!$H309,"")</f>
        <v>Vs. Non-Conference</v>
      </c>
      <c r="I309" s="8" t="str">
        <f>IF('[1]Game Input'!$I309&lt;&gt;"",'[1]Game Input'!$I309,"")</f>
        <v>SIOUX FALLS</v>
      </c>
      <c r="J309" s="9">
        <f>IF('[1]Game Input'!$AC309&lt;&gt;"",'[1]Game Input'!$AC309,"")</f>
        <v>6</v>
      </c>
      <c r="K309" s="9">
        <f>IF('[1]Game Input'!$AD309&lt;&gt;"",'[1]Game Input'!$AD309,"")</f>
        <v>3</v>
      </c>
      <c r="L309" s="9">
        <f>IF('[1]Game Input'!$AJ309&lt;&gt;"",'[1]Game Input'!$AJ309,"")</f>
        <v>0</v>
      </c>
      <c r="M309" s="9">
        <f>IF('[1]Game Input'!$AK309&lt;&gt;"",'[1]Game Input'!$AK309,"")</f>
        <v>0</v>
      </c>
      <c r="N309" s="9">
        <f>IF('[1]Game Input'!$AN309&lt;&gt;"",'[1]Game Input'!$AN309,"")</f>
        <v>3</v>
      </c>
      <c r="O309" s="9">
        <f>IF('[1]Game Input'!$AO309&lt;&gt;"",'[1]Game Input'!$AO309,"")</f>
        <v>0</v>
      </c>
      <c r="P309" s="9">
        <f>IF('[1]Game Input'!$AP309&lt;&gt;"",'[1]Game Input'!$AP309,"")</f>
        <v>0</v>
      </c>
      <c r="Q309" s="9">
        <f>IF('[1]Game Input'!$AQ309&lt;&gt;"",'[1]Game Input'!$AQ309,"")</f>
        <v>0</v>
      </c>
      <c r="R309" s="9">
        <f>IF('[1]Game Input'!$AR309&lt;&gt;"",'[1]Game Input'!$AR309,"")</f>
        <v>0</v>
      </c>
      <c r="S309" s="9">
        <f>IF('[1]Game Input'!$AS309&lt;&gt;"",'[1]Game Input'!$AS309,"")</f>
        <v>0</v>
      </c>
      <c r="T309" s="10" t="str">
        <f>IF('[1]Game Input'!$BA309&lt;&gt;"",'[1]Game Input'!$BA309,"")</f>
        <v>MADISON</v>
      </c>
      <c r="U309" s="9">
        <f>IF('[1]Game Input'!$BU309&lt;&gt;"",'[1]Game Input'!$BU309,"")</f>
        <v>2</v>
      </c>
      <c r="V309" s="9">
        <f>IF('[1]Game Input'!$BV309&lt;&gt;"",'[1]Game Input'!$BV309,"")</f>
        <v>1</v>
      </c>
      <c r="W309" s="9">
        <f>IF('[1]Game Input'!$CB309&lt;&gt;"",'[1]Game Input'!$CB309,"")</f>
        <v>0</v>
      </c>
      <c r="X309" s="9">
        <f>IF('[1]Game Input'!$CC309&lt;&gt;"",'[1]Game Input'!$CC309,"")</f>
        <v>0</v>
      </c>
      <c r="Y309" s="9">
        <f>IF('[1]Game Input'!$CF309&lt;&gt;"",'[1]Game Input'!$CF309,"")</f>
        <v>1</v>
      </c>
      <c r="Z309" s="9">
        <f>IF('[1]Game Input'!$CG309&lt;&gt;"",'[1]Game Input'!$CG309,"")</f>
        <v>0</v>
      </c>
      <c r="AA309" s="9">
        <f>IF('[1]Game Input'!$CH309&lt;&gt;"",'[1]Game Input'!$CH309,"")</f>
        <v>0</v>
      </c>
      <c r="AB309" s="9">
        <f>IF('[1]Game Input'!$CI309&lt;&gt;"",'[1]Game Input'!$CI309,"")</f>
        <v>0</v>
      </c>
      <c r="AC309" s="9">
        <f>IF('[1]Game Input'!$CJ309&lt;&gt;"",'[1]Game Input'!$CJ309,"")</f>
        <v>0</v>
      </c>
      <c r="AD309" s="9">
        <f>IF('[1]Game Input'!$CK309&lt;&gt;"",'[1]Game Input'!$CK309,"")</f>
        <v>0</v>
      </c>
      <c r="AE309" s="8"/>
      <c r="AF309" s="8"/>
      <c r="AG309" s="8"/>
      <c r="AH309" s="8"/>
    </row>
    <row r="310" spans="1:34" x14ac:dyDescent="0.2">
      <c r="A310" s="6">
        <f>IF('[1]Game Input'!$A310&lt;&gt;"",'[1]Game Input'!$A310,"")</f>
        <v>43491</v>
      </c>
      <c r="B310" s="6" t="str">
        <f>IF(A310&gt;$B$1,VLOOKUP(MONTH($A310),DOTWMonth,2,FALSE),"")</f>
        <v>January</v>
      </c>
      <c r="C310" s="10" t="str">
        <f>IF(A310&gt;$B$1,VLOOKUP(WEEKDAY($A310),DOTWMonth,3,FALSE),"")</f>
        <v>Saturday</v>
      </c>
      <c r="D310" s="7">
        <f>IF('[1]Game Input'!$B310&lt;&gt;"",'[1]Game Input'!$B310,"")</f>
        <v>0.83680555555555547</v>
      </c>
      <c r="E310" s="7">
        <f>IF('[1]Game Input'!$C310&lt;&gt;"",'[1]Game Input'!$C310,"")</f>
        <v>0.79513888888888884</v>
      </c>
      <c r="F310" s="8" t="str">
        <f>IF('[1]Game Input'!$D310&lt;&gt;"",'[1]Game Input'!$D310,"")</f>
        <v>Standard</v>
      </c>
      <c r="G310" s="8" t="str">
        <f>IF('[1]Game Input'!$G310&lt;&gt;"",'[1]Game Input'!$G310,"")</f>
        <v>YNG @ OMA</v>
      </c>
      <c r="H310" s="8" t="str">
        <f>IF('[1]Game Input'!$H310&lt;&gt;"",'[1]Game Input'!$H310,"")</f>
        <v>Vs. Non-Conference</v>
      </c>
      <c r="I310" s="8" t="str">
        <f>IF('[1]Game Input'!$I310&lt;&gt;"",'[1]Game Input'!$I310,"")</f>
        <v>YOUNGSTOWN</v>
      </c>
      <c r="J310" s="9">
        <f>IF('[1]Game Input'!$AC310&lt;&gt;"",'[1]Game Input'!$AC310,"")</f>
        <v>8</v>
      </c>
      <c r="K310" s="9">
        <f>IF('[1]Game Input'!$AD310&lt;&gt;"",'[1]Game Input'!$AD310,"")</f>
        <v>4</v>
      </c>
      <c r="L310" s="9">
        <f>IF('[1]Game Input'!$AJ310&lt;&gt;"",'[1]Game Input'!$AJ310,"")</f>
        <v>0</v>
      </c>
      <c r="M310" s="9">
        <f>IF('[1]Game Input'!$AK310&lt;&gt;"",'[1]Game Input'!$AK310,"")</f>
        <v>0</v>
      </c>
      <c r="N310" s="9">
        <f>IF('[1]Game Input'!$AN310&lt;&gt;"",'[1]Game Input'!$AN310,"")</f>
        <v>4</v>
      </c>
      <c r="O310" s="9">
        <f>IF('[1]Game Input'!$AO310&lt;&gt;"",'[1]Game Input'!$AO310,"")</f>
        <v>0</v>
      </c>
      <c r="P310" s="9">
        <f>IF('[1]Game Input'!$AP310&lt;&gt;"",'[1]Game Input'!$AP310,"")</f>
        <v>0</v>
      </c>
      <c r="Q310" s="9">
        <f>IF('[1]Game Input'!$AQ310&lt;&gt;"",'[1]Game Input'!$AQ310,"")</f>
        <v>0</v>
      </c>
      <c r="R310" s="9">
        <f>IF('[1]Game Input'!$AR310&lt;&gt;"",'[1]Game Input'!$AR310,"")</f>
        <v>0</v>
      </c>
      <c r="S310" s="9">
        <f>IF('[1]Game Input'!$AS310&lt;&gt;"",'[1]Game Input'!$AS310,"")</f>
        <v>0</v>
      </c>
      <c r="T310" s="10" t="str">
        <f>IF('[1]Game Input'!$BA310&lt;&gt;"",'[1]Game Input'!$BA310,"")</f>
        <v>OMAHA</v>
      </c>
      <c r="U310" s="9">
        <f>IF('[1]Game Input'!$BU310&lt;&gt;"",'[1]Game Input'!$BU310,"")</f>
        <v>4</v>
      </c>
      <c r="V310" s="9">
        <f>IF('[1]Game Input'!$BV310&lt;&gt;"",'[1]Game Input'!$BV310,"")</f>
        <v>2</v>
      </c>
      <c r="W310" s="9">
        <f>IF('[1]Game Input'!$CB310&lt;&gt;"",'[1]Game Input'!$CB310,"")</f>
        <v>0</v>
      </c>
      <c r="X310" s="9">
        <f>IF('[1]Game Input'!$CC310&lt;&gt;"",'[1]Game Input'!$CC310,"")</f>
        <v>0</v>
      </c>
      <c r="Y310" s="9">
        <f>IF('[1]Game Input'!$CF310&lt;&gt;"",'[1]Game Input'!$CF310,"")</f>
        <v>2</v>
      </c>
      <c r="Z310" s="9">
        <f>IF('[1]Game Input'!$CG310&lt;&gt;"",'[1]Game Input'!$CG310,"")</f>
        <v>0</v>
      </c>
      <c r="AA310" s="9">
        <f>IF('[1]Game Input'!$CH310&lt;&gt;"",'[1]Game Input'!$CH310,"")</f>
        <v>0</v>
      </c>
      <c r="AB310" s="9">
        <f>IF('[1]Game Input'!$CI310&lt;&gt;"",'[1]Game Input'!$CI310,"")</f>
        <v>0</v>
      </c>
      <c r="AC310" s="9">
        <f>IF('[1]Game Input'!$CJ310&lt;&gt;"",'[1]Game Input'!$CJ310,"")</f>
        <v>0</v>
      </c>
      <c r="AD310" s="9">
        <f>IF('[1]Game Input'!$CK310&lt;&gt;"",'[1]Game Input'!$CK310,"")</f>
        <v>0</v>
      </c>
      <c r="AE310" s="8"/>
      <c r="AF310" s="8"/>
      <c r="AG310" s="8"/>
      <c r="AH310" s="8"/>
    </row>
    <row r="311" spans="1:34" x14ac:dyDescent="0.2">
      <c r="A311" s="6">
        <f>IF('[1]Game Input'!$A311&lt;&gt;"",'[1]Game Input'!$A311,"")</f>
        <v>43491</v>
      </c>
      <c r="B311" s="6" t="str">
        <f>IF(A311&gt;$B$1,VLOOKUP(MONTH($A311),DOTWMonth,2,FALSE),"")</f>
        <v>January</v>
      </c>
      <c r="C311" s="10" t="str">
        <f>IF(A311&gt;$B$1,VLOOKUP(WEEKDAY($A311),DOTWMonth,3,FALSE),"")</f>
        <v>Saturday</v>
      </c>
      <c r="D311" s="7">
        <f>IF('[1]Game Input'!$B311&lt;&gt;"",'[1]Game Input'!$B311,"")</f>
        <v>0.83680555555555547</v>
      </c>
      <c r="E311" s="7">
        <f>IF('[1]Game Input'!$C311&lt;&gt;"",'[1]Game Input'!$C311,"")</f>
        <v>0.79513888888888884</v>
      </c>
      <c r="F311" s="8" t="str">
        <f>IF('[1]Game Input'!$D311&lt;&gt;"",'[1]Game Input'!$D311,"")</f>
        <v>Standard</v>
      </c>
      <c r="G311" s="8" t="str">
        <f>IF('[1]Game Input'!$G311&lt;&gt;"",'[1]Game Input'!$G311,"")</f>
        <v>CR @ WAT</v>
      </c>
      <c r="H311" s="8" t="str">
        <f>IF('[1]Game Input'!$H311&lt;&gt;"",'[1]Game Input'!$H311,"")</f>
        <v>Vs. Non-Conference</v>
      </c>
      <c r="I311" s="8" t="str">
        <f>IF('[1]Game Input'!$I311&lt;&gt;"",'[1]Game Input'!$I311,"")</f>
        <v>CEDAR RAPIDS</v>
      </c>
      <c r="J311" s="9">
        <f>IF('[1]Game Input'!$AC311&lt;&gt;"",'[1]Game Input'!$AC311,"")</f>
        <v>27</v>
      </c>
      <c r="K311" s="9">
        <f>IF('[1]Game Input'!$AD311&lt;&gt;"",'[1]Game Input'!$AD311,"")</f>
        <v>8</v>
      </c>
      <c r="L311" s="9">
        <f>IF('[1]Game Input'!$AJ311&lt;&gt;"",'[1]Game Input'!$AJ311,"")</f>
        <v>0</v>
      </c>
      <c r="M311" s="9">
        <f>IF('[1]Game Input'!$AK311&lt;&gt;"",'[1]Game Input'!$AK311,"")</f>
        <v>0</v>
      </c>
      <c r="N311" s="9">
        <f>IF('[1]Game Input'!$AN311&lt;&gt;"",'[1]Game Input'!$AN311,"")</f>
        <v>6</v>
      </c>
      <c r="O311" s="9">
        <f>IF('[1]Game Input'!$AO311&lt;&gt;"",'[1]Game Input'!$AO311,"")</f>
        <v>1</v>
      </c>
      <c r="P311" s="9">
        <f>IF('[1]Game Input'!$AP311&lt;&gt;"",'[1]Game Input'!$AP311,"")</f>
        <v>0</v>
      </c>
      <c r="Q311" s="9">
        <f>IF('[1]Game Input'!$AQ311&lt;&gt;"",'[1]Game Input'!$AQ311,"")</f>
        <v>1</v>
      </c>
      <c r="R311" s="9">
        <f>IF('[1]Game Input'!$AR311&lt;&gt;"",'[1]Game Input'!$AR311,"")</f>
        <v>0</v>
      </c>
      <c r="S311" s="9">
        <f>IF('[1]Game Input'!$AS311&lt;&gt;"",'[1]Game Input'!$AS311,"")</f>
        <v>0</v>
      </c>
      <c r="T311" s="10" t="str">
        <f>IF('[1]Game Input'!$BA311&lt;&gt;"",'[1]Game Input'!$BA311,"")</f>
        <v>WATERLOO</v>
      </c>
      <c r="U311" s="9">
        <f>IF('[1]Game Input'!$BU311&lt;&gt;"",'[1]Game Input'!$BU311,"")</f>
        <v>10</v>
      </c>
      <c r="V311" s="9">
        <f>IF('[1]Game Input'!$BV311&lt;&gt;"",'[1]Game Input'!$BV311,"")</f>
        <v>5</v>
      </c>
      <c r="W311" s="9">
        <f>IF('[1]Game Input'!$CB311&lt;&gt;"",'[1]Game Input'!$CB311,"")</f>
        <v>0</v>
      </c>
      <c r="X311" s="9">
        <f>IF('[1]Game Input'!$CC311&lt;&gt;"",'[1]Game Input'!$CC311,"")</f>
        <v>0</v>
      </c>
      <c r="Y311" s="9">
        <f>IF('[1]Game Input'!$CF311&lt;&gt;"",'[1]Game Input'!$CF311,"")</f>
        <v>5</v>
      </c>
      <c r="Z311" s="9">
        <f>IF('[1]Game Input'!$CG311&lt;&gt;"",'[1]Game Input'!$CG311,"")</f>
        <v>0</v>
      </c>
      <c r="AA311" s="9">
        <f>IF('[1]Game Input'!$CH311&lt;&gt;"",'[1]Game Input'!$CH311,"")</f>
        <v>0</v>
      </c>
      <c r="AB311" s="9">
        <f>IF('[1]Game Input'!$CI311&lt;&gt;"",'[1]Game Input'!$CI311,"")</f>
        <v>0</v>
      </c>
      <c r="AC311" s="9">
        <f>IF('[1]Game Input'!$CJ311&lt;&gt;"",'[1]Game Input'!$CJ311,"")</f>
        <v>0</v>
      </c>
      <c r="AD311" s="9">
        <f>IF('[1]Game Input'!$CK311&lt;&gt;"",'[1]Game Input'!$CK311,"")</f>
        <v>0</v>
      </c>
      <c r="AE311" s="8" t="s">
        <v>103</v>
      </c>
      <c r="AF311" s="8"/>
      <c r="AG311" s="8" t="s">
        <v>140</v>
      </c>
      <c r="AH311" s="8" t="s">
        <v>134</v>
      </c>
    </row>
    <row r="312" spans="1:34" x14ac:dyDescent="0.2">
      <c r="A312" s="6">
        <f>IF('[1]Game Input'!$A312&lt;&gt;"",'[1]Game Input'!$A312,"")</f>
        <v>43492</v>
      </c>
      <c r="B312" s="6" t="str">
        <f>IF(A312&gt;$B$1,VLOOKUP(MONTH($A312),DOTWMonth,2,FALSE),"")</f>
        <v>January</v>
      </c>
      <c r="C312" s="10" t="str">
        <f>IF(A312&gt;$B$1,VLOOKUP(WEEKDAY($A312),DOTWMonth,3,FALSE),"")</f>
        <v>Sunday</v>
      </c>
      <c r="D312" s="7">
        <f>IF('[1]Game Input'!$B312&lt;&gt;"",'[1]Game Input'!$B312,"")</f>
        <v>0.67013888888888884</v>
      </c>
      <c r="E312" s="7">
        <f>IF('[1]Game Input'!$C312&lt;&gt;"",'[1]Game Input'!$C312,"")</f>
        <v>0.62847222222222221</v>
      </c>
      <c r="F312" s="8" t="str">
        <f>IF('[1]Game Input'!$D312&lt;&gt;"",'[1]Game Input'!$D312,"")</f>
        <v>Standard</v>
      </c>
      <c r="G312" s="8" t="str">
        <f>IF('[1]Game Input'!$G312&lt;&gt;"",'[1]Game Input'!$G312,"")</f>
        <v>TC @ SC</v>
      </c>
      <c r="H312" s="8" t="str">
        <f>IF('[1]Game Input'!$H312&lt;&gt;"",'[1]Game Input'!$H312,"")</f>
        <v>Vs. Conference</v>
      </c>
      <c r="I312" s="8" t="str">
        <f>IF('[1]Game Input'!$I312&lt;&gt;"",'[1]Game Input'!$I312,"")</f>
        <v>TRI-CITY</v>
      </c>
      <c r="J312" s="9">
        <f>IF('[1]Game Input'!$AC312&lt;&gt;"",'[1]Game Input'!$AC312,"")</f>
        <v>16</v>
      </c>
      <c r="K312" s="9">
        <f>IF('[1]Game Input'!$AD312&lt;&gt;"",'[1]Game Input'!$AD312,"")</f>
        <v>8</v>
      </c>
      <c r="L312" s="9">
        <f>IF('[1]Game Input'!$AJ312&lt;&gt;"",'[1]Game Input'!$AJ312,"")</f>
        <v>0</v>
      </c>
      <c r="M312" s="9">
        <f>IF('[1]Game Input'!$AK312&lt;&gt;"",'[1]Game Input'!$AK312,"")</f>
        <v>0</v>
      </c>
      <c r="N312" s="9">
        <f>IF('[1]Game Input'!$AN312&lt;&gt;"",'[1]Game Input'!$AN312,"")</f>
        <v>8</v>
      </c>
      <c r="O312" s="9">
        <f>IF('[1]Game Input'!$AO312&lt;&gt;"",'[1]Game Input'!$AO312,"")</f>
        <v>0</v>
      </c>
      <c r="P312" s="9">
        <f>IF('[1]Game Input'!$AP312&lt;&gt;"",'[1]Game Input'!$AP312,"")</f>
        <v>0</v>
      </c>
      <c r="Q312" s="9">
        <f>IF('[1]Game Input'!$AQ312&lt;&gt;"",'[1]Game Input'!$AQ312,"")</f>
        <v>0</v>
      </c>
      <c r="R312" s="9">
        <f>IF('[1]Game Input'!$AR312&lt;&gt;"",'[1]Game Input'!$AR312,"")</f>
        <v>0</v>
      </c>
      <c r="S312" s="9">
        <f>IF('[1]Game Input'!$AS312&lt;&gt;"",'[1]Game Input'!$AS312,"")</f>
        <v>0</v>
      </c>
      <c r="T312" s="10" t="str">
        <f>IF('[1]Game Input'!$BA312&lt;&gt;"",'[1]Game Input'!$BA312,"")</f>
        <v>SIOUX CITY</v>
      </c>
      <c r="U312" s="9">
        <f>IF('[1]Game Input'!$BU312&lt;&gt;"",'[1]Game Input'!$BU312,"")</f>
        <v>26</v>
      </c>
      <c r="V312" s="9">
        <f>IF('[1]Game Input'!$BV312&lt;&gt;"",'[1]Game Input'!$BV312,"")</f>
        <v>9</v>
      </c>
      <c r="W312" s="9">
        <f>IF('[1]Game Input'!$CB312&lt;&gt;"",'[1]Game Input'!$CB312,"")</f>
        <v>0</v>
      </c>
      <c r="X312" s="9">
        <f>IF('[1]Game Input'!$CC312&lt;&gt;"",'[1]Game Input'!$CC312,"")</f>
        <v>0</v>
      </c>
      <c r="Y312" s="9">
        <f>IF('[1]Game Input'!$CF312&lt;&gt;"",'[1]Game Input'!$CF312,"")</f>
        <v>8</v>
      </c>
      <c r="Z312" s="9">
        <f>IF('[1]Game Input'!$CG312&lt;&gt;"",'[1]Game Input'!$CG312,"")</f>
        <v>0</v>
      </c>
      <c r="AA312" s="9">
        <f>IF('[1]Game Input'!$CH312&lt;&gt;"",'[1]Game Input'!$CH312,"")</f>
        <v>1</v>
      </c>
      <c r="AB312" s="9">
        <f>IF('[1]Game Input'!$CI312&lt;&gt;"",'[1]Game Input'!$CI312,"")</f>
        <v>0</v>
      </c>
      <c r="AC312" s="9">
        <f>IF('[1]Game Input'!$CJ312&lt;&gt;"",'[1]Game Input'!$CJ312,"")</f>
        <v>0</v>
      </c>
      <c r="AD312" s="9">
        <f>IF('[1]Game Input'!$CK312&lt;&gt;"",'[1]Game Input'!$CK312,"")</f>
        <v>0</v>
      </c>
      <c r="AE312" s="8"/>
      <c r="AF312" s="8"/>
      <c r="AG312" s="8"/>
      <c r="AH312" s="8"/>
    </row>
    <row r="313" spans="1:34" x14ac:dyDescent="0.2">
      <c r="A313" s="6">
        <f>IF('[1]Game Input'!$A313&lt;&gt;"",'[1]Game Input'!$A313,"")</f>
        <v>43492</v>
      </c>
      <c r="B313" s="6" t="str">
        <f>IF(A313&gt;$B$1,VLOOKUP(MONTH($A313),DOTWMonth,2,FALSE),"")</f>
        <v>January</v>
      </c>
      <c r="C313" s="10" t="str">
        <f>IF(A313&gt;$B$1,VLOOKUP(WEEKDAY($A313),DOTWMonth,3,FALSE),"")</f>
        <v>Sunday</v>
      </c>
      <c r="D313" s="7">
        <f>IF('[1]Game Input'!$B313&lt;&gt;"",'[1]Game Input'!$B313,"")</f>
        <v>0.67013888888888884</v>
      </c>
      <c r="E313" s="7">
        <f>IF('[1]Game Input'!$C313&lt;&gt;"",'[1]Game Input'!$C313,"")</f>
        <v>0.62847222222222221</v>
      </c>
      <c r="F313" s="8" t="str">
        <f>IF('[1]Game Input'!$D313&lt;&gt;"",'[1]Game Input'!$D313,"")</f>
        <v>Standard</v>
      </c>
      <c r="G313" s="8" t="str">
        <f>IF('[1]Game Input'!$G313&lt;&gt;"",'[1]Game Input'!$G313,"")</f>
        <v>FGO @ CHI</v>
      </c>
      <c r="H313" s="8" t="str">
        <f>IF('[1]Game Input'!$H313&lt;&gt;"",'[1]Game Input'!$H313,"")</f>
        <v>Vs. Non-Conference</v>
      </c>
      <c r="I313" s="8" t="str">
        <f>IF('[1]Game Input'!$I313&lt;&gt;"",'[1]Game Input'!$I313,"")</f>
        <v>FARGO</v>
      </c>
      <c r="J313" s="9">
        <f>IF('[1]Game Input'!$AC313&lt;&gt;"",'[1]Game Input'!$AC313,"")</f>
        <v>4</v>
      </c>
      <c r="K313" s="9">
        <f>IF('[1]Game Input'!$AD313&lt;&gt;"",'[1]Game Input'!$AD313,"")</f>
        <v>2</v>
      </c>
      <c r="L313" s="9">
        <f>IF('[1]Game Input'!$AJ313&lt;&gt;"",'[1]Game Input'!$AJ313,"")</f>
        <v>0</v>
      </c>
      <c r="M313" s="9">
        <f>IF('[1]Game Input'!$AK313&lt;&gt;"",'[1]Game Input'!$AK313,"")</f>
        <v>0</v>
      </c>
      <c r="N313" s="9">
        <f>IF('[1]Game Input'!$AN313&lt;&gt;"",'[1]Game Input'!$AN313,"")</f>
        <v>2</v>
      </c>
      <c r="O313" s="9">
        <f>IF('[1]Game Input'!$AO313&lt;&gt;"",'[1]Game Input'!$AO313,"")</f>
        <v>0</v>
      </c>
      <c r="P313" s="9">
        <f>IF('[1]Game Input'!$AP313&lt;&gt;"",'[1]Game Input'!$AP313,"")</f>
        <v>0</v>
      </c>
      <c r="Q313" s="9">
        <f>IF('[1]Game Input'!$AQ313&lt;&gt;"",'[1]Game Input'!$AQ313,"")</f>
        <v>0</v>
      </c>
      <c r="R313" s="9">
        <f>IF('[1]Game Input'!$AR313&lt;&gt;"",'[1]Game Input'!$AR313,"")</f>
        <v>0</v>
      </c>
      <c r="S313" s="9">
        <f>IF('[1]Game Input'!$AS313&lt;&gt;"",'[1]Game Input'!$AS313,"")</f>
        <v>0</v>
      </c>
      <c r="T313" s="10" t="str">
        <f>IF('[1]Game Input'!$BA313&lt;&gt;"",'[1]Game Input'!$BA313,"")</f>
        <v>CHICAGO</v>
      </c>
      <c r="U313" s="9">
        <f>IF('[1]Game Input'!$BU313&lt;&gt;"",'[1]Game Input'!$BU313,"")</f>
        <v>4</v>
      </c>
      <c r="V313" s="9">
        <f>IF('[1]Game Input'!$BV313&lt;&gt;"",'[1]Game Input'!$BV313,"")</f>
        <v>2</v>
      </c>
      <c r="W313" s="9">
        <f>IF('[1]Game Input'!$CB313&lt;&gt;"",'[1]Game Input'!$CB313,"")</f>
        <v>0</v>
      </c>
      <c r="X313" s="9">
        <f>IF('[1]Game Input'!$CC313&lt;&gt;"",'[1]Game Input'!$CC313,"")</f>
        <v>0</v>
      </c>
      <c r="Y313" s="9">
        <f>IF('[1]Game Input'!$CF313&lt;&gt;"",'[1]Game Input'!$CF313,"")</f>
        <v>2</v>
      </c>
      <c r="Z313" s="9">
        <f>IF('[1]Game Input'!$CG313&lt;&gt;"",'[1]Game Input'!$CG313,"")</f>
        <v>0</v>
      </c>
      <c r="AA313" s="9">
        <f>IF('[1]Game Input'!$CH313&lt;&gt;"",'[1]Game Input'!$CH313,"")</f>
        <v>0</v>
      </c>
      <c r="AB313" s="9">
        <f>IF('[1]Game Input'!$CI313&lt;&gt;"",'[1]Game Input'!$CI313,"")</f>
        <v>0</v>
      </c>
      <c r="AC313" s="9">
        <f>IF('[1]Game Input'!$CJ313&lt;&gt;"",'[1]Game Input'!$CJ313,"")</f>
        <v>0</v>
      </c>
      <c r="AD313" s="9">
        <f>IF('[1]Game Input'!$CK313&lt;&gt;"",'[1]Game Input'!$CK313,"")</f>
        <v>0</v>
      </c>
      <c r="AE313" s="8"/>
      <c r="AF313" s="8"/>
      <c r="AG313" s="8"/>
      <c r="AH313" s="8"/>
    </row>
    <row r="314" spans="1:34" x14ac:dyDescent="0.2">
      <c r="A314" s="6">
        <f>IF('[1]Game Input'!$A314&lt;&gt;"",'[1]Game Input'!$A314,"")</f>
        <v>43492</v>
      </c>
      <c r="B314" s="6" t="str">
        <f>IF(A314&gt;$B$1,VLOOKUP(MONTH($A314),DOTWMonth,2,FALSE),"")</f>
        <v>January</v>
      </c>
      <c r="C314" s="10" t="str">
        <f>IF(A314&gt;$B$1,VLOOKUP(WEEKDAY($A314),DOTWMonth,3,FALSE),"")</f>
        <v>Sunday</v>
      </c>
      <c r="D314" s="7">
        <f>IF('[1]Game Input'!$B314&lt;&gt;"",'[1]Game Input'!$B314,"")</f>
        <v>0.71180555555555547</v>
      </c>
      <c r="E314" s="7">
        <f>IF('[1]Game Input'!$C314&lt;&gt;"",'[1]Game Input'!$C314,"")</f>
        <v>0.67013888888888884</v>
      </c>
      <c r="F314" s="8" t="str">
        <f>IF('[1]Game Input'!$D314&lt;&gt;"",'[1]Game Input'!$D314,"")</f>
        <v>Standard</v>
      </c>
      <c r="G314" s="8" t="str">
        <f>IF('[1]Game Input'!$G314&lt;&gt;"",'[1]Game Input'!$G314,"")</f>
        <v>YNG @ OMA</v>
      </c>
      <c r="H314" s="8" t="str">
        <f>IF('[1]Game Input'!$H314&lt;&gt;"",'[1]Game Input'!$H314,"")</f>
        <v>Vs. Non-Conference</v>
      </c>
      <c r="I314" s="8" t="str">
        <f>IF('[1]Game Input'!$I314&lt;&gt;"",'[1]Game Input'!$I314,"")</f>
        <v>YOUNGSTOWN</v>
      </c>
      <c r="J314" s="9">
        <f>IF('[1]Game Input'!$AC314&lt;&gt;"",'[1]Game Input'!$AC314,"")</f>
        <v>12</v>
      </c>
      <c r="K314" s="9">
        <f>IF('[1]Game Input'!$AD314&lt;&gt;"",'[1]Game Input'!$AD314,"")</f>
        <v>6</v>
      </c>
      <c r="L314" s="9">
        <f>IF('[1]Game Input'!$AJ314&lt;&gt;"",'[1]Game Input'!$AJ314,"")</f>
        <v>0</v>
      </c>
      <c r="M314" s="9">
        <f>IF('[1]Game Input'!$AK314&lt;&gt;"",'[1]Game Input'!$AK314,"")</f>
        <v>0</v>
      </c>
      <c r="N314" s="9">
        <f>IF('[1]Game Input'!$AN314&lt;&gt;"",'[1]Game Input'!$AN314,"")</f>
        <v>6</v>
      </c>
      <c r="O314" s="9">
        <f>IF('[1]Game Input'!$AO314&lt;&gt;"",'[1]Game Input'!$AO314,"")</f>
        <v>0</v>
      </c>
      <c r="P314" s="9">
        <f>IF('[1]Game Input'!$AP314&lt;&gt;"",'[1]Game Input'!$AP314,"")</f>
        <v>0</v>
      </c>
      <c r="Q314" s="9">
        <f>IF('[1]Game Input'!$AQ314&lt;&gt;"",'[1]Game Input'!$AQ314,"")</f>
        <v>0</v>
      </c>
      <c r="R314" s="9">
        <f>IF('[1]Game Input'!$AR314&lt;&gt;"",'[1]Game Input'!$AR314,"")</f>
        <v>0</v>
      </c>
      <c r="S314" s="9">
        <f>IF('[1]Game Input'!$AS314&lt;&gt;"",'[1]Game Input'!$AS314,"")</f>
        <v>0</v>
      </c>
      <c r="T314" s="10" t="str">
        <f>IF('[1]Game Input'!$BA314&lt;&gt;"",'[1]Game Input'!$BA314,"")</f>
        <v>OMAHA</v>
      </c>
      <c r="U314" s="9">
        <f>IF('[1]Game Input'!$BU314&lt;&gt;"",'[1]Game Input'!$BU314,"")</f>
        <v>14</v>
      </c>
      <c r="V314" s="9">
        <f>IF('[1]Game Input'!$BV314&lt;&gt;"",'[1]Game Input'!$BV314,"")</f>
        <v>7</v>
      </c>
      <c r="W314" s="9">
        <f>IF('[1]Game Input'!$CB314&lt;&gt;"",'[1]Game Input'!$CB314,"")</f>
        <v>0</v>
      </c>
      <c r="X314" s="9">
        <f>IF('[1]Game Input'!$CC314&lt;&gt;"",'[1]Game Input'!$CC314,"")</f>
        <v>0</v>
      </c>
      <c r="Y314" s="9">
        <f>IF('[1]Game Input'!$CF314&lt;&gt;"",'[1]Game Input'!$CF314,"")</f>
        <v>7</v>
      </c>
      <c r="Z314" s="9">
        <f>IF('[1]Game Input'!$CG314&lt;&gt;"",'[1]Game Input'!$CG314,"")</f>
        <v>0</v>
      </c>
      <c r="AA314" s="9">
        <f>IF('[1]Game Input'!$CH314&lt;&gt;"",'[1]Game Input'!$CH314,"")</f>
        <v>0</v>
      </c>
      <c r="AB314" s="9">
        <f>IF('[1]Game Input'!$CI314&lt;&gt;"",'[1]Game Input'!$CI314,"")</f>
        <v>0</v>
      </c>
      <c r="AC314" s="9">
        <f>IF('[1]Game Input'!$CJ314&lt;&gt;"",'[1]Game Input'!$CJ314,"")</f>
        <v>0</v>
      </c>
      <c r="AD314" s="9">
        <f>IF('[1]Game Input'!$CK314&lt;&gt;"",'[1]Game Input'!$CK314,"")</f>
        <v>0</v>
      </c>
      <c r="AE314" s="8"/>
      <c r="AF314" s="8"/>
      <c r="AG314" s="8"/>
      <c r="AH314" s="8"/>
    </row>
    <row r="315" spans="1:34" x14ac:dyDescent="0.2">
      <c r="A315" s="6">
        <f>IF('[1]Game Input'!$A315&lt;&gt;"",'[1]Game Input'!$A315,"")</f>
        <v>43495</v>
      </c>
      <c r="B315" s="6" t="str">
        <f>IF(A315&gt;$B$1,VLOOKUP(MONTH($A315),DOTWMonth,2,FALSE),"")</f>
        <v>January</v>
      </c>
      <c r="C315" s="10" t="str">
        <f>IF(A315&gt;$B$1,VLOOKUP(WEEKDAY($A315),DOTWMonth,3,FALSE),"")</f>
        <v>Wednesday</v>
      </c>
      <c r="D315" s="7">
        <f>IF('[1]Game Input'!$B315&lt;&gt;"",'[1]Game Input'!$B315,"")</f>
        <v>0.83680555555555547</v>
      </c>
      <c r="E315" s="7">
        <f>IF('[1]Game Input'!$C315&lt;&gt;"",'[1]Game Input'!$C315,"")</f>
        <v>0.79513888888888884</v>
      </c>
      <c r="F315" s="8" t="str">
        <f>IF('[1]Game Input'!$D315&lt;&gt;"",'[1]Game Input'!$D315,"")</f>
        <v>Standard</v>
      </c>
      <c r="G315" s="8" t="str">
        <f>IF('[1]Game Input'!$G315&lt;&gt;"",'[1]Game Input'!$G315,"")</f>
        <v>CR @ LIN</v>
      </c>
      <c r="H315" s="8" t="str">
        <f>IF('[1]Game Input'!$H315&lt;&gt;"",'[1]Game Input'!$H315,"")</f>
        <v>Vs. Non-Conference</v>
      </c>
      <c r="I315" s="8" t="str">
        <f>IF('[1]Game Input'!$I315&lt;&gt;"",'[1]Game Input'!$I315,"")</f>
        <v>CEDAR RAPIDS</v>
      </c>
      <c r="J315" s="9">
        <f>IF('[1]Game Input'!$AC315&lt;&gt;"",'[1]Game Input'!$AC315,"")</f>
        <v>4</v>
      </c>
      <c r="K315" s="9">
        <f>IF('[1]Game Input'!$AD315&lt;&gt;"",'[1]Game Input'!$AD315,"")</f>
        <v>2</v>
      </c>
      <c r="L315" s="9">
        <f>IF('[1]Game Input'!$AJ315&lt;&gt;"",'[1]Game Input'!$AJ315,"")</f>
        <v>0</v>
      </c>
      <c r="M315" s="9">
        <f>IF('[1]Game Input'!$AK315&lt;&gt;"",'[1]Game Input'!$AK315,"")</f>
        <v>0</v>
      </c>
      <c r="N315" s="9">
        <f>IF('[1]Game Input'!$AN315&lt;&gt;"",'[1]Game Input'!$AN315,"")</f>
        <v>2</v>
      </c>
      <c r="O315" s="9">
        <f>IF('[1]Game Input'!$AO315&lt;&gt;"",'[1]Game Input'!$AO315,"")</f>
        <v>0</v>
      </c>
      <c r="P315" s="9">
        <f>IF('[1]Game Input'!$AP315&lt;&gt;"",'[1]Game Input'!$AP315,"")</f>
        <v>0</v>
      </c>
      <c r="Q315" s="9">
        <f>IF('[1]Game Input'!$AQ315&lt;&gt;"",'[1]Game Input'!$AQ315,"")</f>
        <v>0</v>
      </c>
      <c r="R315" s="9">
        <f>IF('[1]Game Input'!$AR315&lt;&gt;"",'[1]Game Input'!$AR315,"")</f>
        <v>0</v>
      </c>
      <c r="S315" s="9">
        <f>IF('[1]Game Input'!$AS315&lt;&gt;"",'[1]Game Input'!$AS315,"")</f>
        <v>0</v>
      </c>
      <c r="T315" s="10" t="str">
        <f>IF('[1]Game Input'!$BA315&lt;&gt;"",'[1]Game Input'!$BA315,"")</f>
        <v>LINCOLN</v>
      </c>
      <c r="U315" s="9">
        <f>IF('[1]Game Input'!$BU315&lt;&gt;"",'[1]Game Input'!$BU315,"")</f>
        <v>8</v>
      </c>
      <c r="V315" s="9">
        <f>IF('[1]Game Input'!$BV315&lt;&gt;"",'[1]Game Input'!$BV315,"")</f>
        <v>4</v>
      </c>
      <c r="W315" s="9">
        <f>IF('[1]Game Input'!$CB315&lt;&gt;"",'[1]Game Input'!$CB315,"")</f>
        <v>0</v>
      </c>
      <c r="X315" s="9">
        <f>IF('[1]Game Input'!$CC315&lt;&gt;"",'[1]Game Input'!$CC315,"")</f>
        <v>0</v>
      </c>
      <c r="Y315" s="9">
        <f>IF('[1]Game Input'!$CF315&lt;&gt;"",'[1]Game Input'!$CF315,"")</f>
        <v>4</v>
      </c>
      <c r="Z315" s="9">
        <f>IF('[1]Game Input'!$CG315&lt;&gt;"",'[1]Game Input'!$CG315,"")</f>
        <v>0</v>
      </c>
      <c r="AA315" s="9">
        <f>IF('[1]Game Input'!$CH315&lt;&gt;"",'[1]Game Input'!$CH315,"")</f>
        <v>0</v>
      </c>
      <c r="AB315" s="9">
        <f>IF('[1]Game Input'!$CI315&lt;&gt;"",'[1]Game Input'!$CI315,"")</f>
        <v>0</v>
      </c>
      <c r="AC315" s="9">
        <f>IF('[1]Game Input'!$CJ315&lt;&gt;"",'[1]Game Input'!$CJ315,"")</f>
        <v>0</v>
      </c>
      <c r="AD315" s="9">
        <f>IF('[1]Game Input'!$CK315&lt;&gt;"",'[1]Game Input'!$CK315,"")</f>
        <v>0</v>
      </c>
      <c r="AE315" s="8" t="s">
        <v>92</v>
      </c>
      <c r="AF315" s="8" t="s">
        <v>133</v>
      </c>
      <c r="AG315" s="8" t="s">
        <v>118</v>
      </c>
      <c r="AH315" s="8" t="s">
        <v>115</v>
      </c>
    </row>
    <row r="316" spans="1:34" x14ac:dyDescent="0.2">
      <c r="A316" s="6">
        <f>IF('[1]Game Input'!$A316&lt;&gt;"",'[1]Game Input'!$A316,"")</f>
        <v>43496</v>
      </c>
      <c r="B316" s="6" t="str">
        <f>IF(A316&gt;$B$1,VLOOKUP(MONTH($A316),DOTWMonth,2,FALSE),"")</f>
        <v>January</v>
      </c>
      <c r="C316" s="10" t="str">
        <f>IF(A316&gt;$B$1,VLOOKUP(WEEKDAY($A316),DOTWMonth,3,FALSE),"")</f>
        <v>Thursday</v>
      </c>
      <c r="D316" s="7">
        <f>IF('[1]Game Input'!$B316&lt;&gt;"",'[1]Game Input'!$B316,"")</f>
        <v>0.83680555555555547</v>
      </c>
      <c r="E316" s="7">
        <f>IF('[1]Game Input'!$C316&lt;&gt;"",'[1]Game Input'!$C316,"")</f>
        <v>0.79513888888888884</v>
      </c>
      <c r="F316" s="8" t="str">
        <f>IF('[1]Game Input'!$D316&lt;&gt;"",'[1]Game Input'!$D316,"")</f>
        <v>Standard</v>
      </c>
      <c r="G316" s="8" t="str">
        <f>IF('[1]Game Input'!$G316&lt;&gt;"",'[1]Game Input'!$G316,"")</f>
        <v>CIL @ SF</v>
      </c>
      <c r="H316" s="8" t="str">
        <f>IF('[1]Game Input'!$H316&lt;&gt;"",'[1]Game Input'!$H316,"")</f>
        <v>Vs. Non-Conference</v>
      </c>
      <c r="I316" s="8" t="str">
        <f>IF('[1]Game Input'!$I316&lt;&gt;"",'[1]Game Input'!$I316,"")</f>
        <v>CENTRAL ILLINOIS</v>
      </c>
      <c r="J316" s="9">
        <f>IF('[1]Game Input'!$AC316&lt;&gt;"",'[1]Game Input'!$AC316,"")</f>
        <v>25</v>
      </c>
      <c r="K316" s="9">
        <f>IF('[1]Game Input'!$AD316&lt;&gt;"",'[1]Game Input'!$AD316,"")</f>
        <v>7</v>
      </c>
      <c r="L316" s="9">
        <f>IF('[1]Game Input'!$AJ316&lt;&gt;"",'[1]Game Input'!$AJ316,"")</f>
        <v>0</v>
      </c>
      <c r="M316" s="9">
        <f>IF('[1]Game Input'!$AK316&lt;&gt;"",'[1]Game Input'!$AK316,"")</f>
        <v>0</v>
      </c>
      <c r="N316" s="9">
        <f>IF('[1]Game Input'!$AN316&lt;&gt;"",'[1]Game Input'!$AN316,"")</f>
        <v>5</v>
      </c>
      <c r="O316" s="9">
        <f>IF('[1]Game Input'!$AO316&lt;&gt;"",'[1]Game Input'!$AO316,"")</f>
        <v>1</v>
      </c>
      <c r="P316" s="9">
        <f>IF('[1]Game Input'!$AP316&lt;&gt;"",'[1]Game Input'!$AP316,"")</f>
        <v>1</v>
      </c>
      <c r="Q316" s="9">
        <f>IF('[1]Game Input'!$AQ316&lt;&gt;"",'[1]Game Input'!$AQ316,"")</f>
        <v>0</v>
      </c>
      <c r="R316" s="9">
        <f>IF('[1]Game Input'!$AR316&lt;&gt;"",'[1]Game Input'!$AR316,"")</f>
        <v>0</v>
      </c>
      <c r="S316" s="9">
        <f>IF('[1]Game Input'!$AS316&lt;&gt;"",'[1]Game Input'!$AS316,"")</f>
        <v>0</v>
      </c>
      <c r="T316" s="10" t="str">
        <f>IF('[1]Game Input'!$BA316&lt;&gt;"",'[1]Game Input'!$BA316,"")</f>
        <v>SIOUX FALLS</v>
      </c>
      <c r="U316" s="9">
        <f>IF('[1]Game Input'!$BU316&lt;&gt;"",'[1]Game Input'!$BU316,"")</f>
        <v>23</v>
      </c>
      <c r="V316" s="9">
        <f>IF('[1]Game Input'!$BV316&lt;&gt;"",'[1]Game Input'!$BV316,"")</f>
        <v>6</v>
      </c>
      <c r="W316" s="9">
        <f>IF('[1]Game Input'!$CB316&lt;&gt;"",'[1]Game Input'!$CB316,"")</f>
        <v>0</v>
      </c>
      <c r="X316" s="9">
        <f>IF('[1]Game Input'!$CC316&lt;&gt;"",'[1]Game Input'!$CC316,"")</f>
        <v>0</v>
      </c>
      <c r="Y316" s="9">
        <f>IF('[1]Game Input'!$CF316&lt;&gt;"",'[1]Game Input'!$CF316,"")</f>
        <v>4</v>
      </c>
      <c r="Z316" s="9">
        <f>IF('[1]Game Input'!$CG316&lt;&gt;"",'[1]Game Input'!$CG316,"")</f>
        <v>1</v>
      </c>
      <c r="AA316" s="9">
        <f>IF('[1]Game Input'!$CH316&lt;&gt;"",'[1]Game Input'!$CH316,"")</f>
        <v>1</v>
      </c>
      <c r="AB316" s="9">
        <f>IF('[1]Game Input'!$CI316&lt;&gt;"",'[1]Game Input'!$CI316,"")</f>
        <v>0</v>
      </c>
      <c r="AC316" s="9">
        <f>IF('[1]Game Input'!$CJ316&lt;&gt;"",'[1]Game Input'!$CJ316,"")</f>
        <v>0</v>
      </c>
      <c r="AD316" s="9">
        <f>IF('[1]Game Input'!$CK316&lt;&gt;"",'[1]Game Input'!$CK316,"")</f>
        <v>0</v>
      </c>
      <c r="AE316" s="8" t="s">
        <v>97</v>
      </c>
      <c r="AF316" s="8" t="s">
        <v>104</v>
      </c>
      <c r="AG316" s="8" t="s">
        <v>121</v>
      </c>
      <c r="AH316" s="8" t="s">
        <v>117</v>
      </c>
    </row>
    <row r="317" spans="1:34" x14ac:dyDescent="0.2">
      <c r="A317" s="6">
        <f>IF('[1]Game Input'!$A317&lt;&gt;"",'[1]Game Input'!$A317,"")</f>
        <v>43497</v>
      </c>
      <c r="B317" s="6" t="str">
        <f>IF(A317&gt;$B$1,VLOOKUP(MONTH($A317),DOTWMonth,2,FALSE),"")</f>
        <v>February</v>
      </c>
      <c r="C317" s="10" t="str">
        <f>IF(A317&gt;$B$1,VLOOKUP(WEEKDAY($A317),DOTWMonth,3,FALSE),"")</f>
        <v>Friday</v>
      </c>
      <c r="D317" s="7">
        <f>IF('[1]Game Input'!$B317&lt;&gt;"",'[1]Game Input'!$B317,"")</f>
        <v>0.79166666666666663</v>
      </c>
      <c r="E317" s="7">
        <f>IF('[1]Game Input'!$C317&lt;&gt;"",'[1]Game Input'!$C317,"")</f>
        <v>0.75</v>
      </c>
      <c r="F317" s="8" t="str">
        <f>IF('[1]Game Input'!$D317&lt;&gt;"",'[1]Game Input'!$D317,"")</f>
        <v>Standard</v>
      </c>
      <c r="G317" s="8" t="str">
        <f>IF('[1]Game Input'!$G317&lt;&gt;"",'[1]Game Input'!$G317,"")</f>
        <v>CHI @ USA</v>
      </c>
      <c r="H317" s="8" t="str">
        <f>IF('[1]Game Input'!$H317&lt;&gt;"",'[1]Game Input'!$H317,"")</f>
        <v>Vs. Conference</v>
      </c>
      <c r="I317" s="8" t="str">
        <f>IF('[1]Game Input'!$I317&lt;&gt;"",'[1]Game Input'!$I317,"")</f>
        <v>CHICAGO</v>
      </c>
      <c r="J317" s="9">
        <f>IF('[1]Game Input'!$AC317&lt;&gt;"",'[1]Game Input'!$AC317,"")</f>
        <v>4</v>
      </c>
      <c r="K317" s="9">
        <f>IF('[1]Game Input'!$AD317&lt;&gt;"",'[1]Game Input'!$AD317,"")</f>
        <v>2</v>
      </c>
      <c r="L317" s="9">
        <f>IF('[1]Game Input'!$AJ317&lt;&gt;"",'[1]Game Input'!$AJ317,"")</f>
        <v>0</v>
      </c>
      <c r="M317" s="9">
        <f>IF('[1]Game Input'!$AK317&lt;&gt;"",'[1]Game Input'!$AK317,"")</f>
        <v>0</v>
      </c>
      <c r="N317" s="9">
        <f>IF('[1]Game Input'!$AN317&lt;&gt;"",'[1]Game Input'!$AN317,"")</f>
        <v>2</v>
      </c>
      <c r="O317" s="9">
        <f>IF('[1]Game Input'!$AO317&lt;&gt;"",'[1]Game Input'!$AO317,"")</f>
        <v>0</v>
      </c>
      <c r="P317" s="9">
        <f>IF('[1]Game Input'!$AP317&lt;&gt;"",'[1]Game Input'!$AP317,"")</f>
        <v>0</v>
      </c>
      <c r="Q317" s="9">
        <f>IF('[1]Game Input'!$AQ317&lt;&gt;"",'[1]Game Input'!$AQ317,"")</f>
        <v>0</v>
      </c>
      <c r="R317" s="9">
        <f>IF('[1]Game Input'!$AR317&lt;&gt;"",'[1]Game Input'!$AR317,"")</f>
        <v>0</v>
      </c>
      <c r="S317" s="9">
        <f>IF('[1]Game Input'!$AS317&lt;&gt;"",'[1]Game Input'!$AS317,"")</f>
        <v>0</v>
      </c>
      <c r="T317" s="10" t="str">
        <f>IF('[1]Game Input'!$BA317&lt;&gt;"",'[1]Game Input'!$BA317,"")</f>
        <v>TEAM USA</v>
      </c>
      <c r="U317" s="9">
        <f>IF('[1]Game Input'!$BU317&lt;&gt;"",'[1]Game Input'!$BU317,"")</f>
        <v>6</v>
      </c>
      <c r="V317" s="9">
        <f>IF('[1]Game Input'!$BV317&lt;&gt;"",'[1]Game Input'!$BV317,"")</f>
        <v>3</v>
      </c>
      <c r="W317" s="9">
        <f>IF('[1]Game Input'!$CB317&lt;&gt;"",'[1]Game Input'!$CB317,"")</f>
        <v>0</v>
      </c>
      <c r="X317" s="9">
        <f>IF('[1]Game Input'!$CC317&lt;&gt;"",'[1]Game Input'!$CC317,"")</f>
        <v>0</v>
      </c>
      <c r="Y317" s="9">
        <f>IF('[1]Game Input'!$CF317&lt;&gt;"",'[1]Game Input'!$CF317,"")</f>
        <v>3</v>
      </c>
      <c r="Z317" s="9">
        <f>IF('[1]Game Input'!$CG317&lt;&gt;"",'[1]Game Input'!$CG317,"")</f>
        <v>0</v>
      </c>
      <c r="AA317" s="9">
        <f>IF('[1]Game Input'!$CH317&lt;&gt;"",'[1]Game Input'!$CH317,"")</f>
        <v>0</v>
      </c>
      <c r="AB317" s="9">
        <f>IF('[1]Game Input'!$CI317&lt;&gt;"",'[1]Game Input'!$CI317,"")</f>
        <v>0</v>
      </c>
      <c r="AC317" s="9">
        <f>IF('[1]Game Input'!$CJ317&lt;&gt;"",'[1]Game Input'!$CJ317,"")</f>
        <v>0</v>
      </c>
      <c r="AD317" s="9">
        <f>IF('[1]Game Input'!$CK317&lt;&gt;"",'[1]Game Input'!$CK317,"")</f>
        <v>0</v>
      </c>
      <c r="AE317" s="8"/>
      <c r="AF317" s="8"/>
      <c r="AG317" s="8"/>
      <c r="AH317" s="8"/>
    </row>
    <row r="318" spans="1:34" x14ac:dyDescent="0.2">
      <c r="A318" s="6">
        <f>IF('[1]Game Input'!$A318&lt;&gt;"",'[1]Game Input'!$A318,"")</f>
        <v>43497</v>
      </c>
      <c r="B318" s="6" t="str">
        <f>IF(A318&gt;$B$1,VLOOKUP(MONTH($A318),DOTWMonth,2,FALSE),"")</f>
        <v>February</v>
      </c>
      <c r="C318" s="10" t="str">
        <f>IF(A318&gt;$B$1,VLOOKUP(WEEKDAY($A318),DOTWMonth,3,FALSE),"")</f>
        <v>Friday</v>
      </c>
      <c r="D318" s="7">
        <f>IF('[1]Game Input'!$B318&lt;&gt;"",'[1]Game Input'!$B318,"")</f>
        <v>0.83680555555555547</v>
      </c>
      <c r="E318" s="7">
        <f>IF('[1]Game Input'!$C318&lt;&gt;"",'[1]Game Input'!$C318,"")</f>
        <v>0.79513888888888884</v>
      </c>
      <c r="F318" s="8" t="str">
        <f>IF('[1]Game Input'!$D318&lt;&gt;"",'[1]Game Input'!$D318,"")</f>
        <v>Standard</v>
      </c>
      <c r="G318" s="8" t="str">
        <f>IF('[1]Game Input'!$G318&lt;&gt;"",'[1]Game Input'!$G318,"")</f>
        <v>DUB @ CR</v>
      </c>
      <c r="H318" s="8" t="str">
        <f>IF('[1]Game Input'!$H318&lt;&gt;"",'[1]Game Input'!$H318,"")</f>
        <v>Vs. Conference</v>
      </c>
      <c r="I318" s="8" t="str">
        <f>IF('[1]Game Input'!$I318&lt;&gt;"",'[1]Game Input'!$I318,"")</f>
        <v>DUBUQUE</v>
      </c>
      <c r="J318" s="9">
        <f>IF('[1]Game Input'!$AC318&lt;&gt;"",'[1]Game Input'!$AC318,"")</f>
        <v>6</v>
      </c>
      <c r="K318" s="9">
        <f>IF('[1]Game Input'!$AD318&lt;&gt;"",'[1]Game Input'!$AD318,"")</f>
        <v>3</v>
      </c>
      <c r="L318" s="9">
        <f>IF('[1]Game Input'!$AJ318&lt;&gt;"",'[1]Game Input'!$AJ318,"")</f>
        <v>0</v>
      </c>
      <c r="M318" s="9">
        <f>IF('[1]Game Input'!$AK318&lt;&gt;"",'[1]Game Input'!$AK318,"")</f>
        <v>0</v>
      </c>
      <c r="N318" s="9">
        <f>IF('[1]Game Input'!$AN318&lt;&gt;"",'[1]Game Input'!$AN318,"")</f>
        <v>3</v>
      </c>
      <c r="O318" s="9">
        <f>IF('[1]Game Input'!$AO318&lt;&gt;"",'[1]Game Input'!$AO318,"")</f>
        <v>0</v>
      </c>
      <c r="P318" s="9">
        <f>IF('[1]Game Input'!$AP318&lt;&gt;"",'[1]Game Input'!$AP318,"")</f>
        <v>0</v>
      </c>
      <c r="Q318" s="9">
        <f>IF('[1]Game Input'!$AQ318&lt;&gt;"",'[1]Game Input'!$AQ318,"")</f>
        <v>0</v>
      </c>
      <c r="R318" s="9">
        <f>IF('[1]Game Input'!$AR318&lt;&gt;"",'[1]Game Input'!$AR318,"")</f>
        <v>0</v>
      </c>
      <c r="S318" s="9">
        <f>IF('[1]Game Input'!$AS318&lt;&gt;"",'[1]Game Input'!$AS318,"")</f>
        <v>0</v>
      </c>
      <c r="T318" s="10" t="str">
        <f>IF('[1]Game Input'!$BA318&lt;&gt;"",'[1]Game Input'!$BA318,"")</f>
        <v>CEDAR RAPIDS</v>
      </c>
      <c r="U318" s="9">
        <f>IF('[1]Game Input'!$BU318&lt;&gt;"",'[1]Game Input'!$BU318,"")</f>
        <v>2</v>
      </c>
      <c r="V318" s="9">
        <f>IF('[1]Game Input'!$BV318&lt;&gt;"",'[1]Game Input'!$BV318,"")</f>
        <v>1</v>
      </c>
      <c r="W318" s="9">
        <f>IF('[1]Game Input'!$CB318&lt;&gt;"",'[1]Game Input'!$CB318,"")</f>
        <v>0</v>
      </c>
      <c r="X318" s="9">
        <f>IF('[1]Game Input'!$CC318&lt;&gt;"",'[1]Game Input'!$CC318,"")</f>
        <v>0</v>
      </c>
      <c r="Y318" s="9">
        <f>IF('[1]Game Input'!$CF318&lt;&gt;"",'[1]Game Input'!$CF318,"")</f>
        <v>1</v>
      </c>
      <c r="Z318" s="9">
        <f>IF('[1]Game Input'!$CG318&lt;&gt;"",'[1]Game Input'!$CG318,"")</f>
        <v>0</v>
      </c>
      <c r="AA318" s="9">
        <f>IF('[1]Game Input'!$CH318&lt;&gt;"",'[1]Game Input'!$CH318,"")</f>
        <v>0</v>
      </c>
      <c r="AB318" s="9">
        <f>IF('[1]Game Input'!$CI318&lt;&gt;"",'[1]Game Input'!$CI318,"")</f>
        <v>0</v>
      </c>
      <c r="AC318" s="9">
        <f>IF('[1]Game Input'!$CJ318&lt;&gt;"",'[1]Game Input'!$CJ318,"")</f>
        <v>0</v>
      </c>
      <c r="AD318" s="9">
        <f>IF('[1]Game Input'!$CK318&lt;&gt;"",'[1]Game Input'!$CK318,"")</f>
        <v>0</v>
      </c>
      <c r="AE318" s="8" t="s">
        <v>106</v>
      </c>
      <c r="AF318" s="8" t="s">
        <v>125</v>
      </c>
      <c r="AG318" s="8" t="s">
        <v>117</v>
      </c>
      <c r="AH318" s="8" t="s">
        <v>108</v>
      </c>
    </row>
    <row r="319" spans="1:34" x14ac:dyDescent="0.2">
      <c r="A319" s="6">
        <f>IF('[1]Game Input'!$A319&lt;&gt;"",'[1]Game Input'!$A319,"")</f>
        <v>43497</v>
      </c>
      <c r="B319" s="6" t="str">
        <f>IF(A319&gt;$B$1,VLOOKUP(MONTH($A319),DOTWMonth,2,FALSE),"")</f>
        <v>February</v>
      </c>
      <c r="C319" s="10" t="str">
        <f>IF(A319&gt;$B$1,VLOOKUP(WEEKDAY($A319),DOTWMonth,3,FALSE),"")</f>
        <v>Friday</v>
      </c>
      <c r="D319" s="7">
        <f>IF('[1]Game Input'!$B319&lt;&gt;"",'[1]Game Input'!$B319,"")</f>
        <v>0.83680555555555547</v>
      </c>
      <c r="E319" s="7">
        <f>IF('[1]Game Input'!$C319&lt;&gt;"",'[1]Game Input'!$C319,"")</f>
        <v>0.79513888888888884</v>
      </c>
      <c r="F319" s="8" t="str">
        <f>IF('[1]Game Input'!$D319&lt;&gt;"",'[1]Game Input'!$D319,"")</f>
        <v>Standard</v>
      </c>
      <c r="G319" s="8" t="str">
        <f>IF('[1]Game Input'!$G319&lt;&gt;"",'[1]Game Input'!$G319,"")</f>
        <v>YNG @ GB</v>
      </c>
      <c r="H319" s="8" t="str">
        <f>IF('[1]Game Input'!$H319&lt;&gt;"",'[1]Game Input'!$H319,"")</f>
        <v>Vs. Conference</v>
      </c>
      <c r="I319" s="8" t="str">
        <f>IF('[1]Game Input'!$I319&lt;&gt;"",'[1]Game Input'!$I319,"")</f>
        <v>YOUNGSTOWN</v>
      </c>
      <c r="J319" s="9">
        <f>IF('[1]Game Input'!$AC319&lt;&gt;"",'[1]Game Input'!$AC319,"")</f>
        <v>27</v>
      </c>
      <c r="K319" s="9">
        <f>IF('[1]Game Input'!$AD319&lt;&gt;"",'[1]Game Input'!$AD319,"")</f>
        <v>8</v>
      </c>
      <c r="L319" s="9">
        <f>IF('[1]Game Input'!$AJ319&lt;&gt;"",'[1]Game Input'!$AJ319,"")</f>
        <v>0</v>
      </c>
      <c r="M319" s="9">
        <f>IF('[1]Game Input'!$AK319&lt;&gt;"",'[1]Game Input'!$AK319,"")</f>
        <v>0</v>
      </c>
      <c r="N319" s="9">
        <f>IF('[1]Game Input'!$AN319&lt;&gt;"",'[1]Game Input'!$AN319,"")</f>
        <v>6</v>
      </c>
      <c r="O319" s="9">
        <f>IF('[1]Game Input'!$AO319&lt;&gt;"",'[1]Game Input'!$AO319,"")</f>
        <v>1</v>
      </c>
      <c r="P319" s="9">
        <f>IF('[1]Game Input'!$AP319&lt;&gt;"",'[1]Game Input'!$AP319,"")</f>
        <v>1</v>
      </c>
      <c r="Q319" s="9">
        <f>IF('[1]Game Input'!$AQ319&lt;&gt;"",'[1]Game Input'!$AQ319,"")</f>
        <v>0</v>
      </c>
      <c r="R319" s="9">
        <f>IF('[1]Game Input'!$AR319&lt;&gt;"",'[1]Game Input'!$AR319,"")</f>
        <v>0</v>
      </c>
      <c r="S319" s="9">
        <f>IF('[1]Game Input'!$AS319&lt;&gt;"",'[1]Game Input'!$AS319,"")</f>
        <v>0</v>
      </c>
      <c r="T319" s="10" t="str">
        <f>IF('[1]Game Input'!$BA319&lt;&gt;"",'[1]Game Input'!$BA319,"")</f>
        <v>GREEN BAY</v>
      </c>
      <c r="U319" s="9">
        <f>IF('[1]Game Input'!$BU319&lt;&gt;"",'[1]Game Input'!$BU319,"")</f>
        <v>63</v>
      </c>
      <c r="V319" s="9">
        <f>IF('[1]Game Input'!$BV319&lt;&gt;"",'[1]Game Input'!$BV319,"")</f>
        <v>14</v>
      </c>
      <c r="W319" s="9">
        <f>IF('[1]Game Input'!$CB319&lt;&gt;"",'[1]Game Input'!$CB319,"")</f>
        <v>0</v>
      </c>
      <c r="X319" s="9">
        <f>IF('[1]Game Input'!$CC319&lt;&gt;"",'[1]Game Input'!$CC319,"")</f>
        <v>0</v>
      </c>
      <c r="Y319" s="9">
        <f>IF('[1]Game Input'!$CF319&lt;&gt;"",'[1]Game Input'!$CF319,"")</f>
        <v>9</v>
      </c>
      <c r="Z319" s="9">
        <f>IF('[1]Game Input'!$CG319&lt;&gt;"",'[1]Game Input'!$CG319,"")</f>
        <v>1</v>
      </c>
      <c r="AA319" s="9">
        <f>IF('[1]Game Input'!$CH319&lt;&gt;"",'[1]Game Input'!$CH319,"")</f>
        <v>3</v>
      </c>
      <c r="AB319" s="9">
        <f>IF('[1]Game Input'!$CI319&lt;&gt;"",'[1]Game Input'!$CI319,"")</f>
        <v>1</v>
      </c>
      <c r="AC319" s="9">
        <f>IF('[1]Game Input'!$CJ319&lt;&gt;"",'[1]Game Input'!$CJ319,"")</f>
        <v>0</v>
      </c>
      <c r="AD319" s="9">
        <f>IF('[1]Game Input'!$CK319&lt;&gt;"",'[1]Game Input'!$CK319,"")</f>
        <v>0</v>
      </c>
      <c r="AE319" s="8"/>
      <c r="AF319" s="8"/>
      <c r="AG319" s="8"/>
      <c r="AH319" s="8"/>
    </row>
    <row r="320" spans="1:34" x14ac:dyDescent="0.2">
      <c r="A320" s="6">
        <f>IF('[1]Game Input'!$A320&lt;&gt;"",'[1]Game Input'!$A320,"")</f>
        <v>43497</v>
      </c>
      <c r="B320" s="6" t="str">
        <f>IF(A320&gt;$B$1,VLOOKUP(MONTH($A320),DOTWMonth,2,FALSE),"")</f>
        <v>February</v>
      </c>
      <c r="C320" s="10" t="str">
        <f>IF(A320&gt;$B$1,VLOOKUP(WEEKDAY($A320),DOTWMonth,3,FALSE),"")</f>
        <v>Friday</v>
      </c>
      <c r="D320" s="7">
        <f>IF('[1]Game Input'!$B320&lt;&gt;"",'[1]Game Input'!$B320,"")</f>
        <v>0.83680555555555547</v>
      </c>
      <c r="E320" s="7">
        <f>IF('[1]Game Input'!$C320&lt;&gt;"",'[1]Game Input'!$C320,"")</f>
        <v>0.79513888888888884</v>
      </c>
      <c r="F320" s="8" t="str">
        <f>IF('[1]Game Input'!$D320&lt;&gt;"",'[1]Game Input'!$D320,"")</f>
        <v>Standard</v>
      </c>
      <c r="G320" s="8" t="str">
        <f>IF('[1]Game Input'!$G320&lt;&gt;"",'[1]Game Input'!$G320,"")</f>
        <v>LIN @ SF</v>
      </c>
      <c r="H320" s="8" t="str">
        <f>IF('[1]Game Input'!$H320&lt;&gt;"",'[1]Game Input'!$H320,"")</f>
        <v>Vs. Conference</v>
      </c>
      <c r="I320" s="8" t="str">
        <f>IF('[1]Game Input'!$I320&lt;&gt;"",'[1]Game Input'!$I320,"")</f>
        <v>LINCOLN</v>
      </c>
      <c r="J320" s="9">
        <f>IF('[1]Game Input'!$AC320&lt;&gt;"",'[1]Game Input'!$AC320,"")</f>
        <v>8</v>
      </c>
      <c r="K320" s="9">
        <f>IF('[1]Game Input'!$AD320&lt;&gt;"",'[1]Game Input'!$AD320,"")</f>
        <v>4</v>
      </c>
      <c r="L320" s="9">
        <f>IF('[1]Game Input'!$AJ320&lt;&gt;"",'[1]Game Input'!$AJ320,"")</f>
        <v>0</v>
      </c>
      <c r="M320" s="9">
        <f>IF('[1]Game Input'!$AK320&lt;&gt;"",'[1]Game Input'!$AK320,"")</f>
        <v>0</v>
      </c>
      <c r="N320" s="9">
        <f>IF('[1]Game Input'!$AN320&lt;&gt;"",'[1]Game Input'!$AN320,"")</f>
        <v>4</v>
      </c>
      <c r="O320" s="9">
        <f>IF('[1]Game Input'!$AO320&lt;&gt;"",'[1]Game Input'!$AO320,"")</f>
        <v>0</v>
      </c>
      <c r="P320" s="9">
        <f>IF('[1]Game Input'!$AP320&lt;&gt;"",'[1]Game Input'!$AP320,"")</f>
        <v>0</v>
      </c>
      <c r="Q320" s="9">
        <f>IF('[1]Game Input'!$AQ320&lt;&gt;"",'[1]Game Input'!$AQ320,"")</f>
        <v>0</v>
      </c>
      <c r="R320" s="9">
        <f>IF('[1]Game Input'!$AR320&lt;&gt;"",'[1]Game Input'!$AR320,"")</f>
        <v>0</v>
      </c>
      <c r="S320" s="9">
        <f>IF('[1]Game Input'!$AS320&lt;&gt;"",'[1]Game Input'!$AS320,"")</f>
        <v>0</v>
      </c>
      <c r="T320" s="10" t="str">
        <f>IF('[1]Game Input'!$BA320&lt;&gt;"",'[1]Game Input'!$BA320,"")</f>
        <v>SIOUX FALLS</v>
      </c>
      <c r="U320" s="9">
        <f>IF('[1]Game Input'!$BU320&lt;&gt;"",'[1]Game Input'!$BU320,"")</f>
        <v>8</v>
      </c>
      <c r="V320" s="9">
        <f>IF('[1]Game Input'!$BV320&lt;&gt;"",'[1]Game Input'!$BV320,"")</f>
        <v>4</v>
      </c>
      <c r="W320" s="9">
        <f>IF('[1]Game Input'!$CB320&lt;&gt;"",'[1]Game Input'!$CB320,"")</f>
        <v>0</v>
      </c>
      <c r="X320" s="9">
        <f>IF('[1]Game Input'!$CC320&lt;&gt;"",'[1]Game Input'!$CC320,"")</f>
        <v>0</v>
      </c>
      <c r="Y320" s="9">
        <f>IF('[1]Game Input'!$CF320&lt;&gt;"",'[1]Game Input'!$CF320,"")</f>
        <v>4</v>
      </c>
      <c r="Z320" s="9">
        <f>IF('[1]Game Input'!$CG320&lt;&gt;"",'[1]Game Input'!$CG320,"")</f>
        <v>0</v>
      </c>
      <c r="AA320" s="9">
        <f>IF('[1]Game Input'!$CH320&lt;&gt;"",'[1]Game Input'!$CH320,"")</f>
        <v>0</v>
      </c>
      <c r="AB320" s="9">
        <f>IF('[1]Game Input'!$CI320&lt;&gt;"",'[1]Game Input'!$CI320,"")</f>
        <v>0</v>
      </c>
      <c r="AC320" s="9">
        <f>IF('[1]Game Input'!$CJ320&lt;&gt;"",'[1]Game Input'!$CJ320,"")</f>
        <v>0</v>
      </c>
      <c r="AD320" s="9">
        <f>IF('[1]Game Input'!$CK320&lt;&gt;"",'[1]Game Input'!$CK320,"")</f>
        <v>0</v>
      </c>
      <c r="AE320" s="8"/>
      <c r="AF320" s="8"/>
      <c r="AG320" s="8"/>
      <c r="AH320" s="8"/>
    </row>
    <row r="321" spans="1:34" x14ac:dyDescent="0.2">
      <c r="A321" s="6">
        <f>IF('[1]Game Input'!$A321&lt;&gt;"",'[1]Game Input'!$A321,"")</f>
        <v>43497</v>
      </c>
      <c r="B321" s="6" t="str">
        <f>IF(A321&gt;$B$1,VLOOKUP(MONTH($A321),DOTWMonth,2,FALSE),"")</f>
        <v>February</v>
      </c>
      <c r="C321" s="10" t="str">
        <f>IF(A321&gt;$B$1,VLOOKUP(WEEKDAY($A321),DOTWMonth,3,FALSE),"")</f>
        <v>Friday</v>
      </c>
      <c r="D321" s="7">
        <f>IF('[1]Game Input'!$B321&lt;&gt;"",'[1]Game Input'!$B321,"")</f>
        <v>0.83680555555555547</v>
      </c>
      <c r="E321" s="7">
        <f>IF('[1]Game Input'!$C321&lt;&gt;"",'[1]Game Input'!$C321,"")</f>
        <v>0.79513888888888884</v>
      </c>
      <c r="F321" s="8" t="str">
        <f>IF('[1]Game Input'!$D321&lt;&gt;"",'[1]Game Input'!$D321,"")</f>
        <v>Standard</v>
      </c>
      <c r="G321" s="8" t="str">
        <f>IF('[1]Game Input'!$G321&lt;&gt;"",'[1]Game Input'!$G321,"")</f>
        <v>FGO @ WAT</v>
      </c>
      <c r="H321" s="8" t="str">
        <f>IF('[1]Game Input'!$H321&lt;&gt;"",'[1]Game Input'!$H321,"")</f>
        <v>Vs. Conference</v>
      </c>
      <c r="I321" s="8" t="str">
        <f>IF('[1]Game Input'!$I321&lt;&gt;"",'[1]Game Input'!$I321,"")</f>
        <v>FARGO</v>
      </c>
      <c r="J321" s="9">
        <f>IF('[1]Game Input'!$AC321&lt;&gt;"",'[1]Game Input'!$AC321,"")</f>
        <v>29</v>
      </c>
      <c r="K321" s="9">
        <f>IF('[1]Game Input'!$AD321&lt;&gt;"",'[1]Game Input'!$AD321,"")</f>
        <v>9</v>
      </c>
      <c r="L321" s="9">
        <f>IF('[1]Game Input'!$AJ321&lt;&gt;"",'[1]Game Input'!$AJ321,"")</f>
        <v>0</v>
      </c>
      <c r="M321" s="9">
        <f>IF('[1]Game Input'!$AK321&lt;&gt;"",'[1]Game Input'!$AK321,"")</f>
        <v>0</v>
      </c>
      <c r="N321" s="9">
        <f>IF('[1]Game Input'!$AN321&lt;&gt;"",'[1]Game Input'!$AN321,"")</f>
        <v>7</v>
      </c>
      <c r="O321" s="9">
        <f>IF('[1]Game Input'!$AO321&lt;&gt;"",'[1]Game Input'!$AO321,"")</f>
        <v>1</v>
      </c>
      <c r="P321" s="9">
        <f>IF('[1]Game Input'!$AP321&lt;&gt;"",'[1]Game Input'!$AP321,"")</f>
        <v>0</v>
      </c>
      <c r="Q321" s="9">
        <f>IF('[1]Game Input'!$AQ321&lt;&gt;"",'[1]Game Input'!$AQ321,"")</f>
        <v>1</v>
      </c>
      <c r="R321" s="9">
        <f>IF('[1]Game Input'!$AR321&lt;&gt;"",'[1]Game Input'!$AR321,"")</f>
        <v>0</v>
      </c>
      <c r="S321" s="9">
        <f>IF('[1]Game Input'!$AS321&lt;&gt;"",'[1]Game Input'!$AS321,"")</f>
        <v>0</v>
      </c>
      <c r="T321" s="10" t="str">
        <f>IF('[1]Game Input'!$BA321&lt;&gt;"",'[1]Game Input'!$BA321,"")</f>
        <v>WATERLOO</v>
      </c>
      <c r="U321" s="9">
        <f>IF('[1]Game Input'!$BU321&lt;&gt;"",'[1]Game Input'!$BU321,"")</f>
        <v>23</v>
      </c>
      <c r="V321" s="9">
        <f>IF('[1]Game Input'!$BV321&lt;&gt;"",'[1]Game Input'!$BV321,"")</f>
        <v>6</v>
      </c>
      <c r="W321" s="9">
        <f>IF('[1]Game Input'!$CB321&lt;&gt;"",'[1]Game Input'!$CB321,"")</f>
        <v>0</v>
      </c>
      <c r="X321" s="9">
        <f>IF('[1]Game Input'!$CC321&lt;&gt;"",'[1]Game Input'!$CC321,"")</f>
        <v>0</v>
      </c>
      <c r="Y321" s="9">
        <f>IF('[1]Game Input'!$CF321&lt;&gt;"",'[1]Game Input'!$CF321,"")</f>
        <v>4</v>
      </c>
      <c r="Z321" s="9">
        <f>IF('[1]Game Input'!$CG321&lt;&gt;"",'[1]Game Input'!$CG321,"")</f>
        <v>1</v>
      </c>
      <c r="AA321" s="9">
        <f>IF('[1]Game Input'!$CH321&lt;&gt;"",'[1]Game Input'!$CH321,"")</f>
        <v>0</v>
      </c>
      <c r="AB321" s="9">
        <f>IF('[1]Game Input'!$CI321&lt;&gt;"",'[1]Game Input'!$CI321,"")</f>
        <v>1</v>
      </c>
      <c r="AC321" s="9">
        <f>IF('[1]Game Input'!$CJ321&lt;&gt;"",'[1]Game Input'!$CJ321,"")</f>
        <v>0</v>
      </c>
      <c r="AD321" s="9">
        <f>IF('[1]Game Input'!$CK321&lt;&gt;"",'[1]Game Input'!$CK321,"")</f>
        <v>0</v>
      </c>
      <c r="AE321" s="8"/>
      <c r="AF321" s="8"/>
      <c r="AG321" s="8"/>
      <c r="AH321" s="8"/>
    </row>
    <row r="322" spans="1:34" x14ac:dyDescent="0.2">
      <c r="A322" s="6">
        <f>IF('[1]Game Input'!$A322&lt;&gt;"",'[1]Game Input'!$A322,"")</f>
        <v>43497</v>
      </c>
      <c r="B322" s="6" t="str">
        <f>IF(A322&gt;$B$1,VLOOKUP(MONTH($A322),DOTWMonth,2,FALSE),"")</f>
        <v>February</v>
      </c>
      <c r="C322" s="10" t="str">
        <f>IF(A322&gt;$B$1,VLOOKUP(WEEKDAY($A322),DOTWMonth,3,FALSE),"")</f>
        <v>Friday</v>
      </c>
      <c r="D322" s="7">
        <f>IF('[1]Game Input'!$B322&lt;&gt;"",'[1]Game Input'!$B322,"")</f>
        <v>0.83680555555555547</v>
      </c>
      <c r="E322" s="7">
        <f>IF('[1]Game Input'!$C322&lt;&gt;"",'[1]Game Input'!$C322,"")</f>
        <v>0.79513888888888884</v>
      </c>
      <c r="F322" s="8" t="str">
        <f>IF('[1]Game Input'!$D322&lt;&gt;"",'[1]Game Input'!$D322,"")</f>
        <v>Standard</v>
      </c>
      <c r="G322" s="8" t="str">
        <f>IF('[1]Game Input'!$G322&lt;&gt;"",'[1]Game Input'!$G322,"")</f>
        <v>CIL @ DM</v>
      </c>
      <c r="H322" s="8" t="str">
        <f>IF('[1]Game Input'!$H322&lt;&gt;"",'[1]Game Input'!$H322,"")</f>
        <v>Vs. Non-Conference</v>
      </c>
      <c r="I322" s="8" t="str">
        <f>IF('[1]Game Input'!$I322&lt;&gt;"",'[1]Game Input'!$I322,"")</f>
        <v>CENTRAL ILLINOIS</v>
      </c>
      <c r="J322" s="9">
        <f>IF('[1]Game Input'!$AC322&lt;&gt;"",'[1]Game Input'!$AC322,"")</f>
        <v>10</v>
      </c>
      <c r="K322" s="9">
        <f>IF('[1]Game Input'!$AD322&lt;&gt;"",'[1]Game Input'!$AD322,"")</f>
        <v>5</v>
      </c>
      <c r="L322" s="9">
        <f>IF('[1]Game Input'!$AJ322&lt;&gt;"",'[1]Game Input'!$AJ322,"")</f>
        <v>0</v>
      </c>
      <c r="M322" s="9">
        <f>IF('[1]Game Input'!$AK322&lt;&gt;"",'[1]Game Input'!$AK322,"")</f>
        <v>0</v>
      </c>
      <c r="N322" s="9">
        <f>IF('[1]Game Input'!$AN322&lt;&gt;"",'[1]Game Input'!$AN322,"")</f>
        <v>5</v>
      </c>
      <c r="O322" s="9">
        <f>IF('[1]Game Input'!$AO322&lt;&gt;"",'[1]Game Input'!$AO322,"")</f>
        <v>0</v>
      </c>
      <c r="P322" s="9">
        <f>IF('[1]Game Input'!$AP322&lt;&gt;"",'[1]Game Input'!$AP322,"")</f>
        <v>0</v>
      </c>
      <c r="Q322" s="9">
        <f>IF('[1]Game Input'!$AQ322&lt;&gt;"",'[1]Game Input'!$AQ322,"")</f>
        <v>0</v>
      </c>
      <c r="R322" s="9">
        <f>IF('[1]Game Input'!$AR322&lt;&gt;"",'[1]Game Input'!$AR322,"")</f>
        <v>0</v>
      </c>
      <c r="S322" s="9">
        <f>IF('[1]Game Input'!$AS322&lt;&gt;"",'[1]Game Input'!$AS322,"")</f>
        <v>0</v>
      </c>
      <c r="T322" s="10" t="str">
        <f>IF('[1]Game Input'!$BA322&lt;&gt;"",'[1]Game Input'!$BA322,"")</f>
        <v>DES MOINES</v>
      </c>
      <c r="U322" s="9">
        <f>IF('[1]Game Input'!$BU322&lt;&gt;"",'[1]Game Input'!$BU322,"")</f>
        <v>8</v>
      </c>
      <c r="V322" s="9">
        <f>IF('[1]Game Input'!$BV322&lt;&gt;"",'[1]Game Input'!$BV322,"")</f>
        <v>4</v>
      </c>
      <c r="W322" s="9">
        <f>IF('[1]Game Input'!$CB322&lt;&gt;"",'[1]Game Input'!$CB322,"")</f>
        <v>0</v>
      </c>
      <c r="X322" s="9">
        <f>IF('[1]Game Input'!$CC322&lt;&gt;"",'[1]Game Input'!$CC322,"")</f>
        <v>0</v>
      </c>
      <c r="Y322" s="9">
        <f>IF('[1]Game Input'!$CF322&lt;&gt;"",'[1]Game Input'!$CF322,"")</f>
        <v>4</v>
      </c>
      <c r="Z322" s="9">
        <f>IF('[1]Game Input'!$CG322&lt;&gt;"",'[1]Game Input'!$CG322,"")</f>
        <v>0</v>
      </c>
      <c r="AA322" s="9">
        <f>IF('[1]Game Input'!$CH322&lt;&gt;"",'[1]Game Input'!$CH322,"")</f>
        <v>0</v>
      </c>
      <c r="AB322" s="9">
        <f>IF('[1]Game Input'!$CI322&lt;&gt;"",'[1]Game Input'!$CI322,"")</f>
        <v>0</v>
      </c>
      <c r="AC322" s="9">
        <f>IF('[1]Game Input'!$CJ322&lt;&gt;"",'[1]Game Input'!$CJ322,"")</f>
        <v>0</v>
      </c>
      <c r="AD322" s="9">
        <f>IF('[1]Game Input'!$CK322&lt;&gt;"",'[1]Game Input'!$CK322,"")</f>
        <v>0</v>
      </c>
      <c r="AE322" s="8" t="s">
        <v>132</v>
      </c>
      <c r="AF322" s="8" t="s">
        <v>101</v>
      </c>
      <c r="AG322" s="8" t="s">
        <v>119</v>
      </c>
      <c r="AH322" s="8" t="s">
        <v>118</v>
      </c>
    </row>
    <row r="323" spans="1:34" x14ac:dyDescent="0.2">
      <c r="A323" s="6">
        <f>IF('[1]Game Input'!$A323&lt;&gt;"",'[1]Game Input'!$A323,"")</f>
        <v>43497</v>
      </c>
      <c r="B323" s="6" t="str">
        <f>IF(A323&gt;$B$1,VLOOKUP(MONTH($A323),DOTWMonth,2,FALSE),"")</f>
        <v>February</v>
      </c>
      <c r="C323" s="10" t="str">
        <f>IF(A323&gt;$B$1,VLOOKUP(WEEKDAY($A323),DOTWMonth,3,FALSE),"")</f>
        <v>Friday</v>
      </c>
      <c r="D323" s="7">
        <f>IF('[1]Game Input'!$B323&lt;&gt;"",'[1]Game Input'!$B323,"")</f>
        <v>0.83680555555555547</v>
      </c>
      <c r="E323" s="7">
        <f>IF('[1]Game Input'!$C323&lt;&gt;"",'[1]Game Input'!$C323,"")</f>
        <v>0.79513888888888884</v>
      </c>
      <c r="F323" s="8" t="str">
        <f>IF('[1]Game Input'!$D323&lt;&gt;"",'[1]Game Input'!$D323,"")</f>
        <v>Standard</v>
      </c>
      <c r="G323" s="8" t="str">
        <f>IF('[1]Game Input'!$G323&lt;&gt;"",'[1]Game Input'!$G323,"")</f>
        <v>MUS @ SC</v>
      </c>
      <c r="H323" s="8" t="str">
        <f>IF('[1]Game Input'!$H323&lt;&gt;"",'[1]Game Input'!$H323,"")</f>
        <v>Vs. Non-Conference</v>
      </c>
      <c r="I323" s="8" t="str">
        <f>IF('[1]Game Input'!$I323&lt;&gt;"",'[1]Game Input'!$I323,"")</f>
        <v>MUSKEGON</v>
      </c>
      <c r="J323" s="9">
        <f>IF('[1]Game Input'!$AC323&lt;&gt;"",'[1]Game Input'!$AC323,"")</f>
        <v>23</v>
      </c>
      <c r="K323" s="9">
        <f>IF('[1]Game Input'!$AD323&lt;&gt;"",'[1]Game Input'!$AD323,"")</f>
        <v>6</v>
      </c>
      <c r="L323" s="9">
        <f>IF('[1]Game Input'!$AJ323&lt;&gt;"",'[1]Game Input'!$AJ323,"")</f>
        <v>0</v>
      </c>
      <c r="M323" s="9">
        <f>IF('[1]Game Input'!$AK323&lt;&gt;"",'[1]Game Input'!$AK323,"")</f>
        <v>0</v>
      </c>
      <c r="N323" s="9">
        <f>IF('[1]Game Input'!$AN323&lt;&gt;"",'[1]Game Input'!$AN323,"")</f>
        <v>4</v>
      </c>
      <c r="O323" s="9">
        <f>IF('[1]Game Input'!$AO323&lt;&gt;"",'[1]Game Input'!$AO323,"")</f>
        <v>1</v>
      </c>
      <c r="P323" s="9">
        <f>IF('[1]Game Input'!$AP323&lt;&gt;"",'[1]Game Input'!$AP323,"")</f>
        <v>1</v>
      </c>
      <c r="Q323" s="9">
        <f>IF('[1]Game Input'!$AQ323&lt;&gt;"",'[1]Game Input'!$AQ323,"")</f>
        <v>0</v>
      </c>
      <c r="R323" s="9">
        <f>IF('[1]Game Input'!$AR323&lt;&gt;"",'[1]Game Input'!$AR323,"")</f>
        <v>0</v>
      </c>
      <c r="S323" s="9">
        <f>IF('[1]Game Input'!$AS323&lt;&gt;"",'[1]Game Input'!$AS323,"")</f>
        <v>0</v>
      </c>
      <c r="T323" s="10" t="str">
        <f>IF('[1]Game Input'!$BA323&lt;&gt;"",'[1]Game Input'!$BA323,"")</f>
        <v>SIOUX CITY</v>
      </c>
      <c r="U323" s="9">
        <f>IF('[1]Game Input'!$BU323&lt;&gt;"",'[1]Game Input'!$BU323,"")</f>
        <v>23</v>
      </c>
      <c r="V323" s="9">
        <f>IF('[1]Game Input'!$BV323&lt;&gt;"",'[1]Game Input'!$BV323,"")</f>
        <v>6</v>
      </c>
      <c r="W323" s="9">
        <f>IF('[1]Game Input'!$CB323&lt;&gt;"",'[1]Game Input'!$CB323,"")</f>
        <v>0</v>
      </c>
      <c r="X323" s="9">
        <f>IF('[1]Game Input'!$CC323&lt;&gt;"",'[1]Game Input'!$CC323,"")</f>
        <v>0</v>
      </c>
      <c r="Y323" s="9">
        <f>IF('[1]Game Input'!$CF323&lt;&gt;"",'[1]Game Input'!$CF323,"")</f>
        <v>4</v>
      </c>
      <c r="Z323" s="9">
        <f>IF('[1]Game Input'!$CG323&lt;&gt;"",'[1]Game Input'!$CG323,"")</f>
        <v>1</v>
      </c>
      <c r="AA323" s="9">
        <f>IF('[1]Game Input'!$CH323&lt;&gt;"",'[1]Game Input'!$CH323,"")</f>
        <v>1</v>
      </c>
      <c r="AB323" s="9">
        <f>IF('[1]Game Input'!$CI323&lt;&gt;"",'[1]Game Input'!$CI323,"")</f>
        <v>0</v>
      </c>
      <c r="AC323" s="9">
        <f>IF('[1]Game Input'!$CJ323&lt;&gt;"",'[1]Game Input'!$CJ323,"")</f>
        <v>0</v>
      </c>
      <c r="AD323" s="9">
        <f>IF('[1]Game Input'!$CK323&lt;&gt;"",'[1]Game Input'!$CK323,"")</f>
        <v>0</v>
      </c>
      <c r="AE323" s="8"/>
      <c r="AF323" s="8"/>
      <c r="AG323" s="8"/>
      <c r="AH323" s="8"/>
    </row>
    <row r="324" spans="1:34" x14ac:dyDescent="0.2">
      <c r="A324" s="6">
        <f>IF('[1]Game Input'!$A324&lt;&gt;"",'[1]Game Input'!$A324,"")</f>
        <v>43497</v>
      </c>
      <c r="B324" s="6" t="str">
        <f>IF(A324&gt;$B$1,VLOOKUP(MONTH($A324),DOTWMonth,2,FALSE),"")</f>
        <v>February</v>
      </c>
      <c r="C324" s="10" t="str">
        <f>IF(A324&gt;$B$1,VLOOKUP(WEEKDAY($A324),DOTWMonth,3,FALSE),"")</f>
        <v>Friday</v>
      </c>
      <c r="D324" s="7">
        <f>IF('[1]Game Input'!$B324&lt;&gt;"",'[1]Game Input'!$B324,"")</f>
        <v>0.85763888888888884</v>
      </c>
      <c r="E324" s="7">
        <f>IF('[1]Game Input'!$C324&lt;&gt;"",'[1]Game Input'!$C324,"")</f>
        <v>0.81597222222222221</v>
      </c>
      <c r="F324" s="8" t="str">
        <f>IF('[1]Game Input'!$D324&lt;&gt;"",'[1]Game Input'!$D324,"")</f>
        <v>Standard</v>
      </c>
      <c r="G324" s="8" t="str">
        <f>IF('[1]Game Input'!$G324&lt;&gt;"",'[1]Game Input'!$G324,"")</f>
        <v>MAD @ OMA</v>
      </c>
      <c r="H324" s="8" t="str">
        <f>IF('[1]Game Input'!$H324&lt;&gt;"",'[1]Game Input'!$H324,"")</f>
        <v>Vs. Non-Conference</v>
      </c>
      <c r="I324" s="8" t="str">
        <f>IF('[1]Game Input'!$I324&lt;&gt;"",'[1]Game Input'!$I324,"")</f>
        <v>MADISON</v>
      </c>
      <c r="J324" s="9">
        <f>IF('[1]Game Input'!$AC324&lt;&gt;"",'[1]Game Input'!$AC324,"")</f>
        <v>4</v>
      </c>
      <c r="K324" s="9">
        <f>IF('[1]Game Input'!$AD324&lt;&gt;"",'[1]Game Input'!$AD324,"")</f>
        <v>2</v>
      </c>
      <c r="L324" s="9">
        <f>IF('[1]Game Input'!$AJ324&lt;&gt;"",'[1]Game Input'!$AJ324,"")</f>
        <v>0</v>
      </c>
      <c r="M324" s="9">
        <f>IF('[1]Game Input'!$AK324&lt;&gt;"",'[1]Game Input'!$AK324,"")</f>
        <v>0</v>
      </c>
      <c r="N324" s="9">
        <f>IF('[1]Game Input'!$AN324&lt;&gt;"",'[1]Game Input'!$AN324,"")</f>
        <v>2</v>
      </c>
      <c r="O324" s="9">
        <f>IF('[1]Game Input'!$AO324&lt;&gt;"",'[1]Game Input'!$AO324,"")</f>
        <v>0</v>
      </c>
      <c r="P324" s="9">
        <f>IF('[1]Game Input'!$AP324&lt;&gt;"",'[1]Game Input'!$AP324,"")</f>
        <v>0</v>
      </c>
      <c r="Q324" s="9">
        <f>IF('[1]Game Input'!$AQ324&lt;&gt;"",'[1]Game Input'!$AQ324,"")</f>
        <v>0</v>
      </c>
      <c r="R324" s="9">
        <f>IF('[1]Game Input'!$AR324&lt;&gt;"",'[1]Game Input'!$AR324,"")</f>
        <v>0</v>
      </c>
      <c r="S324" s="9">
        <f>IF('[1]Game Input'!$AS324&lt;&gt;"",'[1]Game Input'!$AS324,"")</f>
        <v>0</v>
      </c>
      <c r="T324" s="10" t="str">
        <f>IF('[1]Game Input'!$BA324&lt;&gt;"",'[1]Game Input'!$BA324,"")</f>
        <v>OMAHA</v>
      </c>
      <c r="U324" s="9">
        <f>IF('[1]Game Input'!$BU324&lt;&gt;"",'[1]Game Input'!$BU324,"")</f>
        <v>2</v>
      </c>
      <c r="V324" s="9">
        <f>IF('[1]Game Input'!$BV324&lt;&gt;"",'[1]Game Input'!$BV324,"")</f>
        <v>1</v>
      </c>
      <c r="W324" s="9">
        <f>IF('[1]Game Input'!$CB324&lt;&gt;"",'[1]Game Input'!$CB324,"")</f>
        <v>0</v>
      </c>
      <c r="X324" s="9">
        <f>IF('[1]Game Input'!$CC324&lt;&gt;"",'[1]Game Input'!$CC324,"")</f>
        <v>0</v>
      </c>
      <c r="Y324" s="9">
        <f>IF('[1]Game Input'!$CF324&lt;&gt;"",'[1]Game Input'!$CF324,"")</f>
        <v>1</v>
      </c>
      <c r="Z324" s="9">
        <f>IF('[1]Game Input'!$CG324&lt;&gt;"",'[1]Game Input'!$CG324,"")</f>
        <v>0</v>
      </c>
      <c r="AA324" s="9">
        <f>IF('[1]Game Input'!$CH324&lt;&gt;"",'[1]Game Input'!$CH324,"")</f>
        <v>0</v>
      </c>
      <c r="AB324" s="9">
        <f>IF('[1]Game Input'!$CI324&lt;&gt;"",'[1]Game Input'!$CI324,"")</f>
        <v>0</v>
      </c>
      <c r="AC324" s="9">
        <f>IF('[1]Game Input'!$CJ324&lt;&gt;"",'[1]Game Input'!$CJ324,"")</f>
        <v>0</v>
      </c>
      <c r="AD324" s="9">
        <f>IF('[1]Game Input'!$CK324&lt;&gt;"",'[1]Game Input'!$CK324,"")</f>
        <v>0</v>
      </c>
      <c r="AE324" s="8"/>
      <c r="AF324" s="8"/>
      <c r="AG324" s="8"/>
      <c r="AH324" s="8"/>
    </row>
    <row r="325" spans="1:34" x14ac:dyDescent="0.2">
      <c r="A325" s="6">
        <f>IF('[1]Game Input'!$A325&lt;&gt;"",'[1]Game Input'!$A325,"")</f>
        <v>43498</v>
      </c>
      <c r="B325" s="6" t="str">
        <f>IF(A325&gt;$B$1,VLOOKUP(MONTH($A325),DOTWMonth,2,FALSE),"")</f>
        <v>February</v>
      </c>
      <c r="C325" s="10" t="str">
        <f>IF(A325&gt;$B$1,VLOOKUP(WEEKDAY($A325),DOTWMonth,3,FALSE),"")</f>
        <v>Saturday</v>
      </c>
      <c r="D325" s="7">
        <f>IF('[1]Game Input'!$B325&lt;&gt;"",'[1]Game Input'!$B325,"")</f>
        <v>0.83680555555555547</v>
      </c>
      <c r="E325" s="7">
        <f>IF('[1]Game Input'!$C325&lt;&gt;"",'[1]Game Input'!$C325,"")</f>
        <v>0.79513888888888884</v>
      </c>
      <c r="F325" s="8" t="str">
        <f>IF('[1]Game Input'!$D325&lt;&gt;"",'[1]Game Input'!$D325,"")</f>
        <v>Standard</v>
      </c>
      <c r="G325" s="8" t="str">
        <f>IF('[1]Game Input'!$G325&lt;&gt;"",'[1]Game Input'!$G325,"")</f>
        <v>GB @ CR</v>
      </c>
      <c r="H325" s="8" t="str">
        <f>IF('[1]Game Input'!$H325&lt;&gt;"",'[1]Game Input'!$H325,"")</f>
        <v>Vs. Conference</v>
      </c>
      <c r="I325" s="8" t="str">
        <f>IF('[1]Game Input'!$I325&lt;&gt;"",'[1]Game Input'!$I325,"")</f>
        <v>GREEN BAY</v>
      </c>
      <c r="J325" s="9">
        <f>IF('[1]Game Input'!$AC325&lt;&gt;"",'[1]Game Input'!$AC325,"")</f>
        <v>8</v>
      </c>
      <c r="K325" s="9">
        <f>IF('[1]Game Input'!$AD325&lt;&gt;"",'[1]Game Input'!$AD325,"")</f>
        <v>4</v>
      </c>
      <c r="L325" s="9">
        <f>IF('[1]Game Input'!$AJ325&lt;&gt;"",'[1]Game Input'!$AJ325,"")</f>
        <v>0</v>
      </c>
      <c r="M325" s="9">
        <f>IF('[1]Game Input'!$AK325&lt;&gt;"",'[1]Game Input'!$AK325,"")</f>
        <v>0</v>
      </c>
      <c r="N325" s="9">
        <f>IF('[1]Game Input'!$AN325&lt;&gt;"",'[1]Game Input'!$AN325,"")</f>
        <v>4</v>
      </c>
      <c r="O325" s="9">
        <f>IF('[1]Game Input'!$AO325&lt;&gt;"",'[1]Game Input'!$AO325,"")</f>
        <v>0</v>
      </c>
      <c r="P325" s="9">
        <f>IF('[1]Game Input'!$AP325&lt;&gt;"",'[1]Game Input'!$AP325,"")</f>
        <v>0</v>
      </c>
      <c r="Q325" s="9">
        <f>IF('[1]Game Input'!$AQ325&lt;&gt;"",'[1]Game Input'!$AQ325,"")</f>
        <v>0</v>
      </c>
      <c r="R325" s="9">
        <f>IF('[1]Game Input'!$AR325&lt;&gt;"",'[1]Game Input'!$AR325,"")</f>
        <v>0</v>
      </c>
      <c r="S325" s="9">
        <f>IF('[1]Game Input'!$AS325&lt;&gt;"",'[1]Game Input'!$AS325,"")</f>
        <v>0</v>
      </c>
      <c r="T325" s="10" t="str">
        <f>IF('[1]Game Input'!$BA325&lt;&gt;"",'[1]Game Input'!$BA325,"")</f>
        <v>CEDAR RAPIDS</v>
      </c>
      <c r="U325" s="9">
        <f>IF('[1]Game Input'!$BU325&lt;&gt;"",'[1]Game Input'!$BU325,"")</f>
        <v>6</v>
      </c>
      <c r="V325" s="9">
        <f>IF('[1]Game Input'!$BV325&lt;&gt;"",'[1]Game Input'!$BV325,"")</f>
        <v>3</v>
      </c>
      <c r="W325" s="9">
        <f>IF('[1]Game Input'!$CB325&lt;&gt;"",'[1]Game Input'!$CB325,"")</f>
        <v>0</v>
      </c>
      <c r="X325" s="9">
        <f>IF('[1]Game Input'!$CC325&lt;&gt;"",'[1]Game Input'!$CC325,"")</f>
        <v>0</v>
      </c>
      <c r="Y325" s="9">
        <f>IF('[1]Game Input'!$CF325&lt;&gt;"",'[1]Game Input'!$CF325,"")</f>
        <v>3</v>
      </c>
      <c r="Z325" s="9">
        <f>IF('[1]Game Input'!$CG325&lt;&gt;"",'[1]Game Input'!$CG325,"")</f>
        <v>0</v>
      </c>
      <c r="AA325" s="9">
        <f>IF('[1]Game Input'!$CH325&lt;&gt;"",'[1]Game Input'!$CH325,"")</f>
        <v>0</v>
      </c>
      <c r="AB325" s="9">
        <f>IF('[1]Game Input'!$CI325&lt;&gt;"",'[1]Game Input'!$CI325,"")</f>
        <v>0</v>
      </c>
      <c r="AC325" s="9">
        <f>IF('[1]Game Input'!$CJ325&lt;&gt;"",'[1]Game Input'!$CJ325,"")</f>
        <v>0</v>
      </c>
      <c r="AD325" s="9">
        <f>IF('[1]Game Input'!$CK325&lt;&gt;"",'[1]Game Input'!$CK325,"")</f>
        <v>0</v>
      </c>
      <c r="AE325" s="8" t="s">
        <v>95</v>
      </c>
      <c r="AF325" s="8" t="s">
        <v>132</v>
      </c>
      <c r="AG325" s="8" t="s">
        <v>117</v>
      </c>
      <c r="AH325" s="8" t="s">
        <v>108</v>
      </c>
    </row>
    <row r="326" spans="1:34" x14ac:dyDescent="0.2">
      <c r="A326" s="6">
        <f>IF('[1]Game Input'!$A326&lt;&gt;"",'[1]Game Input'!$A326,"")</f>
        <v>43498</v>
      </c>
      <c r="B326" s="6" t="str">
        <f>IF(A326&gt;$B$1,VLOOKUP(MONTH($A326),DOTWMonth,2,FALSE),"")</f>
        <v>February</v>
      </c>
      <c r="C326" s="10" t="str">
        <f>IF(A326&gt;$B$1,VLOOKUP(WEEKDAY($A326),DOTWMonth,3,FALSE),"")</f>
        <v>Saturday</v>
      </c>
      <c r="D326" s="7">
        <f>IF('[1]Game Input'!$B326&lt;&gt;"",'[1]Game Input'!$B326,"")</f>
        <v>0.83680555555555547</v>
      </c>
      <c r="E326" s="7">
        <f>IF('[1]Game Input'!$C326&lt;&gt;"",'[1]Game Input'!$C326,"")</f>
        <v>0.79513888888888884</v>
      </c>
      <c r="F326" s="8" t="str">
        <f>IF('[1]Game Input'!$D326&lt;&gt;"",'[1]Game Input'!$D326,"")</f>
        <v>Standard</v>
      </c>
      <c r="G326" s="8" t="str">
        <f>IF('[1]Game Input'!$G326&lt;&gt;"",'[1]Game Input'!$G326,"")</f>
        <v>YNG @ CHI</v>
      </c>
      <c r="H326" s="8" t="str">
        <f>IF('[1]Game Input'!$H326&lt;&gt;"",'[1]Game Input'!$H326,"")</f>
        <v>Vs. Conference</v>
      </c>
      <c r="I326" s="8" t="str">
        <f>IF('[1]Game Input'!$I326&lt;&gt;"",'[1]Game Input'!$I326,"")</f>
        <v>YOUNGSTOWN</v>
      </c>
      <c r="J326" s="9">
        <f>IF('[1]Game Input'!$AC326&lt;&gt;"",'[1]Game Input'!$AC326,"")</f>
        <v>16</v>
      </c>
      <c r="K326" s="9">
        <f>IF('[1]Game Input'!$AD326&lt;&gt;"",'[1]Game Input'!$AD326,"")</f>
        <v>8</v>
      </c>
      <c r="L326" s="9">
        <f>IF('[1]Game Input'!$AJ326&lt;&gt;"",'[1]Game Input'!$AJ326,"")</f>
        <v>0</v>
      </c>
      <c r="M326" s="9">
        <f>IF('[1]Game Input'!$AK326&lt;&gt;"",'[1]Game Input'!$AK326,"")</f>
        <v>0</v>
      </c>
      <c r="N326" s="9">
        <f>IF('[1]Game Input'!$AN326&lt;&gt;"",'[1]Game Input'!$AN326,"")</f>
        <v>8</v>
      </c>
      <c r="O326" s="9">
        <f>IF('[1]Game Input'!$AO326&lt;&gt;"",'[1]Game Input'!$AO326,"")</f>
        <v>0</v>
      </c>
      <c r="P326" s="9">
        <f>IF('[1]Game Input'!$AP326&lt;&gt;"",'[1]Game Input'!$AP326,"")</f>
        <v>0</v>
      </c>
      <c r="Q326" s="9">
        <f>IF('[1]Game Input'!$AQ326&lt;&gt;"",'[1]Game Input'!$AQ326,"")</f>
        <v>0</v>
      </c>
      <c r="R326" s="9">
        <f>IF('[1]Game Input'!$AR326&lt;&gt;"",'[1]Game Input'!$AR326,"")</f>
        <v>0</v>
      </c>
      <c r="S326" s="9">
        <f>IF('[1]Game Input'!$AS326&lt;&gt;"",'[1]Game Input'!$AS326,"")</f>
        <v>0</v>
      </c>
      <c r="T326" s="10" t="str">
        <f>IF('[1]Game Input'!$BA326&lt;&gt;"",'[1]Game Input'!$BA326,"")</f>
        <v>CHICAGO</v>
      </c>
      <c r="U326" s="9">
        <f>IF('[1]Game Input'!$BU326&lt;&gt;"",'[1]Game Input'!$BU326,"")</f>
        <v>8</v>
      </c>
      <c r="V326" s="9">
        <f>IF('[1]Game Input'!$BV326&lt;&gt;"",'[1]Game Input'!$BV326,"")</f>
        <v>4</v>
      </c>
      <c r="W326" s="9">
        <f>IF('[1]Game Input'!$CB326&lt;&gt;"",'[1]Game Input'!$CB326,"")</f>
        <v>0</v>
      </c>
      <c r="X326" s="9">
        <f>IF('[1]Game Input'!$CC326&lt;&gt;"",'[1]Game Input'!$CC326,"")</f>
        <v>0</v>
      </c>
      <c r="Y326" s="9">
        <f>IF('[1]Game Input'!$CF326&lt;&gt;"",'[1]Game Input'!$CF326,"")</f>
        <v>4</v>
      </c>
      <c r="Z326" s="9">
        <f>IF('[1]Game Input'!$CG326&lt;&gt;"",'[1]Game Input'!$CG326,"")</f>
        <v>0</v>
      </c>
      <c r="AA326" s="9">
        <f>IF('[1]Game Input'!$CH326&lt;&gt;"",'[1]Game Input'!$CH326,"")</f>
        <v>0</v>
      </c>
      <c r="AB326" s="9">
        <f>IF('[1]Game Input'!$CI326&lt;&gt;"",'[1]Game Input'!$CI326,"")</f>
        <v>0</v>
      </c>
      <c r="AC326" s="9">
        <f>IF('[1]Game Input'!$CJ326&lt;&gt;"",'[1]Game Input'!$CJ326,"")</f>
        <v>0</v>
      </c>
      <c r="AD326" s="9">
        <f>IF('[1]Game Input'!$CK326&lt;&gt;"",'[1]Game Input'!$CK326,"")</f>
        <v>0</v>
      </c>
      <c r="AE326" s="8"/>
      <c r="AF326" s="8"/>
      <c r="AG326" s="8"/>
      <c r="AH326" s="8"/>
    </row>
    <row r="327" spans="1:34" x14ac:dyDescent="0.2">
      <c r="A327" s="6">
        <f>IF('[1]Game Input'!$A327&lt;&gt;"",'[1]Game Input'!$A327,"")</f>
        <v>43498</v>
      </c>
      <c r="B327" s="6" t="str">
        <f>IF(A327&gt;$B$1,VLOOKUP(MONTH($A327),DOTWMonth,2,FALSE),"")</f>
        <v>February</v>
      </c>
      <c r="C327" s="10" t="str">
        <f>IF(A327&gt;$B$1,VLOOKUP(WEEKDAY($A327),DOTWMonth,3,FALSE),"")</f>
        <v>Saturday</v>
      </c>
      <c r="D327" s="7">
        <f>IF('[1]Game Input'!$B327&lt;&gt;"",'[1]Game Input'!$B327,"")</f>
        <v>0.83680555555555547</v>
      </c>
      <c r="E327" s="7">
        <f>IF('[1]Game Input'!$C327&lt;&gt;"",'[1]Game Input'!$C327,"")</f>
        <v>0.79513888888888884</v>
      </c>
      <c r="F327" s="8" t="str">
        <f>IF('[1]Game Input'!$D327&lt;&gt;"",'[1]Game Input'!$D327,"")</f>
        <v>Standard</v>
      </c>
      <c r="G327" s="8" t="str">
        <f>IF('[1]Game Input'!$G327&lt;&gt;"",'[1]Game Input'!$G327,"")</f>
        <v>TC @ DM</v>
      </c>
      <c r="H327" s="8" t="str">
        <f>IF('[1]Game Input'!$H327&lt;&gt;"",'[1]Game Input'!$H327,"")</f>
        <v>Vs. Conference</v>
      </c>
      <c r="I327" s="8" t="str">
        <f>IF('[1]Game Input'!$I327&lt;&gt;"",'[1]Game Input'!$I327,"")</f>
        <v>TRI-CITY</v>
      </c>
      <c r="J327" s="9">
        <f>IF('[1]Game Input'!$AC327&lt;&gt;"",'[1]Game Input'!$AC327,"")</f>
        <v>27</v>
      </c>
      <c r="K327" s="9">
        <f>IF('[1]Game Input'!$AD327&lt;&gt;"",'[1]Game Input'!$AD327,"")</f>
        <v>8</v>
      </c>
      <c r="L327" s="9">
        <f>IF('[1]Game Input'!$AJ327&lt;&gt;"",'[1]Game Input'!$AJ327,"")</f>
        <v>0</v>
      </c>
      <c r="M327" s="9">
        <f>IF('[1]Game Input'!$AK327&lt;&gt;"",'[1]Game Input'!$AK327,"")</f>
        <v>0</v>
      </c>
      <c r="N327" s="9">
        <f>IF('[1]Game Input'!$AN327&lt;&gt;"",'[1]Game Input'!$AN327,"")</f>
        <v>6</v>
      </c>
      <c r="O327" s="9">
        <f>IF('[1]Game Input'!$AO327&lt;&gt;"",'[1]Game Input'!$AO327,"")</f>
        <v>1</v>
      </c>
      <c r="P327" s="9">
        <f>IF('[1]Game Input'!$AP327&lt;&gt;"",'[1]Game Input'!$AP327,"")</f>
        <v>1</v>
      </c>
      <c r="Q327" s="9">
        <f>IF('[1]Game Input'!$AQ327&lt;&gt;"",'[1]Game Input'!$AQ327,"")</f>
        <v>0</v>
      </c>
      <c r="R327" s="9">
        <f>IF('[1]Game Input'!$AR327&lt;&gt;"",'[1]Game Input'!$AR327,"")</f>
        <v>0</v>
      </c>
      <c r="S327" s="9">
        <f>IF('[1]Game Input'!$AS327&lt;&gt;"",'[1]Game Input'!$AS327,"")</f>
        <v>0</v>
      </c>
      <c r="T327" s="10" t="str">
        <f>IF('[1]Game Input'!$BA327&lt;&gt;"",'[1]Game Input'!$BA327,"")</f>
        <v>DES MOINES</v>
      </c>
      <c r="U327" s="9">
        <f>IF('[1]Game Input'!$BU327&lt;&gt;"",'[1]Game Input'!$BU327,"")</f>
        <v>25</v>
      </c>
      <c r="V327" s="9">
        <f>IF('[1]Game Input'!$BV327&lt;&gt;"",'[1]Game Input'!$BV327,"")</f>
        <v>7</v>
      </c>
      <c r="W327" s="9">
        <f>IF('[1]Game Input'!$CB327&lt;&gt;"",'[1]Game Input'!$CB327,"")</f>
        <v>0</v>
      </c>
      <c r="X327" s="9">
        <f>IF('[1]Game Input'!$CC327&lt;&gt;"",'[1]Game Input'!$CC327,"")</f>
        <v>0</v>
      </c>
      <c r="Y327" s="9">
        <f>IF('[1]Game Input'!$CF327&lt;&gt;"",'[1]Game Input'!$CF327,"")</f>
        <v>5</v>
      </c>
      <c r="Z327" s="9">
        <f>IF('[1]Game Input'!$CG327&lt;&gt;"",'[1]Game Input'!$CG327,"")</f>
        <v>1</v>
      </c>
      <c r="AA327" s="9">
        <f>IF('[1]Game Input'!$CH327&lt;&gt;"",'[1]Game Input'!$CH327,"")</f>
        <v>1</v>
      </c>
      <c r="AB327" s="9">
        <f>IF('[1]Game Input'!$CI327&lt;&gt;"",'[1]Game Input'!$CI327,"")</f>
        <v>0</v>
      </c>
      <c r="AC327" s="9">
        <f>IF('[1]Game Input'!$CJ327&lt;&gt;"",'[1]Game Input'!$CJ327,"")</f>
        <v>0</v>
      </c>
      <c r="AD327" s="9">
        <f>IF('[1]Game Input'!$CK327&lt;&gt;"",'[1]Game Input'!$CK327,"")</f>
        <v>0</v>
      </c>
      <c r="AE327" s="8" t="s">
        <v>133</v>
      </c>
      <c r="AF327" s="8" t="s">
        <v>104</v>
      </c>
      <c r="AG327" s="8" t="s">
        <v>119</v>
      </c>
      <c r="AH327" s="8" t="s">
        <v>121</v>
      </c>
    </row>
    <row r="328" spans="1:34" x14ac:dyDescent="0.2">
      <c r="A328" s="6">
        <f>IF('[1]Game Input'!$A328&lt;&gt;"",'[1]Game Input'!$A328,"")</f>
        <v>43498</v>
      </c>
      <c r="B328" s="6" t="str">
        <f>IF(A328&gt;$B$1,VLOOKUP(MONTH($A328),DOTWMonth,2,FALSE),"")</f>
        <v>February</v>
      </c>
      <c r="C328" s="10" t="str">
        <f>IF(A328&gt;$B$1,VLOOKUP(WEEKDAY($A328),DOTWMonth,3,FALSE),"")</f>
        <v>Saturday</v>
      </c>
      <c r="D328" s="7">
        <f>IF('[1]Game Input'!$B328&lt;&gt;"",'[1]Game Input'!$B328,"")</f>
        <v>0.83680555555555547</v>
      </c>
      <c r="E328" s="7">
        <f>IF('[1]Game Input'!$C328&lt;&gt;"",'[1]Game Input'!$C328,"")</f>
        <v>0.79513888888888884</v>
      </c>
      <c r="F328" s="8" t="str">
        <f>IF('[1]Game Input'!$D328&lt;&gt;"",'[1]Game Input'!$D328,"")</f>
        <v>Standard</v>
      </c>
      <c r="G328" s="8" t="str">
        <f>IF('[1]Game Input'!$G328&lt;&gt;"",'[1]Game Input'!$G328,"")</f>
        <v>LIN @ OMA</v>
      </c>
      <c r="H328" s="8" t="str">
        <f>IF('[1]Game Input'!$H328&lt;&gt;"",'[1]Game Input'!$H328,"")</f>
        <v>Vs. Conference</v>
      </c>
      <c r="I328" s="8" t="str">
        <f>IF('[1]Game Input'!$I328&lt;&gt;"",'[1]Game Input'!$I328,"")</f>
        <v>LINCOLN</v>
      </c>
      <c r="J328" s="9">
        <f>IF('[1]Game Input'!$AC328&lt;&gt;"",'[1]Game Input'!$AC328,"")</f>
        <v>16</v>
      </c>
      <c r="K328" s="9">
        <f>IF('[1]Game Input'!$AD328&lt;&gt;"",'[1]Game Input'!$AD328,"")</f>
        <v>8</v>
      </c>
      <c r="L328" s="9">
        <f>IF('[1]Game Input'!$AJ328&lt;&gt;"",'[1]Game Input'!$AJ328,"")</f>
        <v>0</v>
      </c>
      <c r="M328" s="9">
        <f>IF('[1]Game Input'!$AK328&lt;&gt;"",'[1]Game Input'!$AK328,"")</f>
        <v>0</v>
      </c>
      <c r="N328" s="9">
        <f>IF('[1]Game Input'!$AN328&lt;&gt;"",'[1]Game Input'!$AN328,"")</f>
        <v>8</v>
      </c>
      <c r="O328" s="9">
        <f>IF('[1]Game Input'!$AO328&lt;&gt;"",'[1]Game Input'!$AO328,"")</f>
        <v>0</v>
      </c>
      <c r="P328" s="9">
        <f>IF('[1]Game Input'!$AP328&lt;&gt;"",'[1]Game Input'!$AP328,"")</f>
        <v>0</v>
      </c>
      <c r="Q328" s="9">
        <f>IF('[1]Game Input'!$AQ328&lt;&gt;"",'[1]Game Input'!$AQ328,"")</f>
        <v>0</v>
      </c>
      <c r="R328" s="9">
        <f>IF('[1]Game Input'!$AR328&lt;&gt;"",'[1]Game Input'!$AR328,"")</f>
        <v>0</v>
      </c>
      <c r="S328" s="9">
        <f>IF('[1]Game Input'!$AS328&lt;&gt;"",'[1]Game Input'!$AS328,"")</f>
        <v>0</v>
      </c>
      <c r="T328" s="10" t="str">
        <f>IF('[1]Game Input'!$BA328&lt;&gt;"",'[1]Game Input'!$BA328,"")</f>
        <v>OMAHA</v>
      </c>
      <c r="U328" s="9">
        <f>IF('[1]Game Input'!$BU328&lt;&gt;"",'[1]Game Input'!$BU328,"")</f>
        <v>14</v>
      </c>
      <c r="V328" s="9">
        <f>IF('[1]Game Input'!$BV328&lt;&gt;"",'[1]Game Input'!$BV328,"")</f>
        <v>7</v>
      </c>
      <c r="W328" s="9">
        <f>IF('[1]Game Input'!$CB328&lt;&gt;"",'[1]Game Input'!$CB328,"")</f>
        <v>0</v>
      </c>
      <c r="X328" s="9">
        <f>IF('[1]Game Input'!$CC328&lt;&gt;"",'[1]Game Input'!$CC328,"")</f>
        <v>0</v>
      </c>
      <c r="Y328" s="9">
        <f>IF('[1]Game Input'!$CF328&lt;&gt;"",'[1]Game Input'!$CF328,"")</f>
        <v>7</v>
      </c>
      <c r="Z328" s="9">
        <f>IF('[1]Game Input'!$CG328&lt;&gt;"",'[1]Game Input'!$CG328,"")</f>
        <v>0</v>
      </c>
      <c r="AA328" s="9">
        <f>IF('[1]Game Input'!$CH328&lt;&gt;"",'[1]Game Input'!$CH328,"")</f>
        <v>0</v>
      </c>
      <c r="AB328" s="9">
        <f>IF('[1]Game Input'!$CI328&lt;&gt;"",'[1]Game Input'!$CI328,"")</f>
        <v>0</v>
      </c>
      <c r="AC328" s="9">
        <f>IF('[1]Game Input'!$CJ328&lt;&gt;"",'[1]Game Input'!$CJ328,"")</f>
        <v>0</v>
      </c>
      <c r="AD328" s="9">
        <f>IF('[1]Game Input'!$CK328&lt;&gt;"",'[1]Game Input'!$CK328,"")</f>
        <v>0</v>
      </c>
      <c r="AE328" s="8"/>
      <c r="AF328" s="8"/>
      <c r="AG328" s="8"/>
      <c r="AH328" s="8"/>
    </row>
    <row r="329" spans="1:34" x14ac:dyDescent="0.2">
      <c r="A329" s="6">
        <f>IF('[1]Game Input'!$A329&lt;&gt;"",'[1]Game Input'!$A329,"")</f>
        <v>43498</v>
      </c>
      <c r="B329" s="6" t="str">
        <f>IF(A329&gt;$B$1,VLOOKUP(MONTH($A329),DOTWMonth,2,FALSE),"")</f>
        <v>February</v>
      </c>
      <c r="C329" s="10" t="str">
        <f>IF(A329&gt;$B$1,VLOOKUP(WEEKDAY($A329),DOTWMonth,3,FALSE),"")</f>
        <v>Saturday</v>
      </c>
      <c r="D329" s="7">
        <f>IF('[1]Game Input'!$B329&lt;&gt;"",'[1]Game Input'!$B329,"")</f>
        <v>0.83680555555555547</v>
      </c>
      <c r="E329" s="7">
        <f>IF('[1]Game Input'!$C329&lt;&gt;"",'[1]Game Input'!$C329,"")</f>
        <v>0.79513888888888884</v>
      </c>
      <c r="F329" s="8" t="str">
        <f>IF('[1]Game Input'!$D329&lt;&gt;"",'[1]Game Input'!$D329,"")</f>
        <v>Standard</v>
      </c>
      <c r="G329" s="8" t="str">
        <f>IF('[1]Game Input'!$G329&lt;&gt;"",'[1]Game Input'!$G329,"")</f>
        <v>FGO @ DUB</v>
      </c>
      <c r="H329" s="8" t="str">
        <f>IF('[1]Game Input'!$H329&lt;&gt;"",'[1]Game Input'!$H329,"")</f>
        <v>Vs. Non-Conference</v>
      </c>
      <c r="I329" s="8" t="str">
        <f>IF('[1]Game Input'!$I329&lt;&gt;"",'[1]Game Input'!$I329,"")</f>
        <v>FARGO</v>
      </c>
      <c r="J329" s="9">
        <f>IF('[1]Game Input'!$AC329&lt;&gt;"",'[1]Game Input'!$AC329,"")</f>
        <v>8</v>
      </c>
      <c r="K329" s="9">
        <f>IF('[1]Game Input'!$AD329&lt;&gt;"",'[1]Game Input'!$AD329,"")</f>
        <v>5</v>
      </c>
      <c r="L329" s="9">
        <f>IF('[1]Game Input'!$AJ329&lt;&gt;"",'[1]Game Input'!$AJ329,"")</f>
        <v>0</v>
      </c>
      <c r="M329" s="9">
        <f>IF('[1]Game Input'!$AK329&lt;&gt;"",'[1]Game Input'!$AK329,"")</f>
        <v>0</v>
      </c>
      <c r="N329" s="9">
        <f>IF('[1]Game Input'!$AN329&lt;&gt;"",'[1]Game Input'!$AN329,"")</f>
        <v>4</v>
      </c>
      <c r="O329" s="9">
        <f>IF('[1]Game Input'!$AO329&lt;&gt;"",'[1]Game Input'!$AO329,"")</f>
        <v>0</v>
      </c>
      <c r="P329" s="9">
        <f>IF('[1]Game Input'!$AP329&lt;&gt;"",'[1]Game Input'!$AP329,"")</f>
        <v>0</v>
      </c>
      <c r="Q329" s="9">
        <f>IF('[1]Game Input'!$AQ329&lt;&gt;"",'[1]Game Input'!$AQ329,"")</f>
        <v>0</v>
      </c>
      <c r="R329" s="9">
        <f>IF('[1]Game Input'!$AR329&lt;&gt;"",'[1]Game Input'!$AR329,"")</f>
        <v>0</v>
      </c>
      <c r="S329" s="9">
        <f>IF('[1]Game Input'!$AS329&lt;&gt;"",'[1]Game Input'!$AS329,"")</f>
        <v>0</v>
      </c>
      <c r="T329" s="10" t="str">
        <f>IF('[1]Game Input'!$BA329&lt;&gt;"",'[1]Game Input'!$BA329,"")</f>
        <v>DUBUQUE</v>
      </c>
      <c r="U329" s="9">
        <f>IF('[1]Game Input'!$BU329&lt;&gt;"",'[1]Game Input'!$BU329,"")</f>
        <v>20</v>
      </c>
      <c r="V329" s="9">
        <f>IF('[1]Game Input'!$BV329&lt;&gt;"",'[1]Game Input'!$BV329,"")</f>
        <v>6</v>
      </c>
      <c r="W329" s="9">
        <f>IF('[1]Game Input'!$CB329&lt;&gt;"",'[1]Game Input'!$CB329,"")</f>
        <v>0</v>
      </c>
      <c r="X329" s="9">
        <f>IF('[1]Game Input'!$CC329&lt;&gt;"",'[1]Game Input'!$CC329,"")</f>
        <v>1</v>
      </c>
      <c r="Y329" s="9">
        <f>IF('[1]Game Input'!$CF329&lt;&gt;"",'[1]Game Input'!$CF329,"")</f>
        <v>5</v>
      </c>
      <c r="Z329" s="9">
        <f>IF('[1]Game Input'!$CG329&lt;&gt;"",'[1]Game Input'!$CG329,"")</f>
        <v>0</v>
      </c>
      <c r="AA329" s="9">
        <f>IF('[1]Game Input'!$CH329&lt;&gt;"",'[1]Game Input'!$CH329,"")</f>
        <v>1</v>
      </c>
      <c r="AB329" s="9">
        <f>IF('[1]Game Input'!$CI329&lt;&gt;"",'[1]Game Input'!$CI329,"")</f>
        <v>0</v>
      </c>
      <c r="AC329" s="9">
        <f>IF('[1]Game Input'!$CJ329&lt;&gt;"",'[1]Game Input'!$CJ329,"")</f>
        <v>0</v>
      </c>
      <c r="AD329" s="9">
        <f>IF('[1]Game Input'!$CK329&lt;&gt;"",'[1]Game Input'!$CK329,"")</f>
        <v>1</v>
      </c>
      <c r="AE329" s="8"/>
      <c r="AF329" s="8"/>
      <c r="AG329" s="8"/>
      <c r="AH329" s="8"/>
    </row>
    <row r="330" spans="1:34" x14ac:dyDescent="0.2">
      <c r="A330" s="6">
        <f>IF('[1]Game Input'!$A330&lt;&gt;"",'[1]Game Input'!$A330,"")</f>
        <v>43498</v>
      </c>
      <c r="B330" s="6" t="str">
        <f>IF(A330&gt;$B$1,VLOOKUP(MONTH($A330),DOTWMonth,2,FALSE),"")</f>
        <v>February</v>
      </c>
      <c r="C330" s="10" t="str">
        <f>IF(A330&gt;$B$1,VLOOKUP(WEEKDAY($A330),DOTWMonth,3,FALSE),"")</f>
        <v>Saturday</v>
      </c>
      <c r="D330" s="7">
        <f>IF('[1]Game Input'!$B330&lt;&gt;"",'[1]Game Input'!$B330,"")</f>
        <v>0.83680555555555547</v>
      </c>
      <c r="E330" s="7">
        <f>IF('[1]Game Input'!$C330&lt;&gt;"",'[1]Game Input'!$C330,"")</f>
        <v>0.79513888888888884</v>
      </c>
      <c r="F330" s="8" t="str">
        <f>IF('[1]Game Input'!$D330&lt;&gt;"",'[1]Game Input'!$D330,"")</f>
        <v>Standard</v>
      </c>
      <c r="G330" s="8" t="str">
        <f>IF('[1]Game Input'!$G330&lt;&gt;"",'[1]Game Input'!$G330,"")</f>
        <v>MAD @ SC</v>
      </c>
      <c r="H330" s="8" t="str">
        <f>IF('[1]Game Input'!$H330&lt;&gt;"",'[1]Game Input'!$H330,"")</f>
        <v>Vs. Non-Conference</v>
      </c>
      <c r="I330" s="8" t="str">
        <f>IF('[1]Game Input'!$I330&lt;&gt;"",'[1]Game Input'!$I330,"")</f>
        <v>MADISON</v>
      </c>
      <c r="J330" s="9">
        <f>IF('[1]Game Input'!$AC330&lt;&gt;"",'[1]Game Input'!$AC330,"")</f>
        <v>10</v>
      </c>
      <c r="K330" s="9">
        <f>IF('[1]Game Input'!$AD330&lt;&gt;"",'[1]Game Input'!$AD330,"")</f>
        <v>5</v>
      </c>
      <c r="L330" s="9">
        <f>IF('[1]Game Input'!$AJ330&lt;&gt;"",'[1]Game Input'!$AJ330,"")</f>
        <v>0</v>
      </c>
      <c r="M330" s="9">
        <f>IF('[1]Game Input'!$AK330&lt;&gt;"",'[1]Game Input'!$AK330,"")</f>
        <v>0</v>
      </c>
      <c r="N330" s="9">
        <f>IF('[1]Game Input'!$AN330&lt;&gt;"",'[1]Game Input'!$AN330,"")</f>
        <v>5</v>
      </c>
      <c r="O330" s="9">
        <f>IF('[1]Game Input'!$AO330&lt;&gt;"",'[1]Game Input'!$AO330,"")</f>
        <v>0</v>
      </c>
      <c r="P330" s="9">
        <f>IF('[1]Game Input'!$AP330&lt;&gt;"",'[1]Game Input'!$AP330,"")</f>
        <v>0</v>
      </c>
      <c r="Q330" s="9">
        <f>IF('[1]Game Input'!$AQ330&lt;&gt;"",'[1]Game Input'!$AQ330,"")</f>
        <v>0</v>
      </c>
      <c r="R330" s="9">
        <f>IF('[1]Game Input'!$AR330&lt;&gt;"",'[1]Game Input'!$AR330,"")</f>
        <v>0</v>
      </c>
      <c r="S330" s="9">
        <f>IF('[1]Game Input'!$AS330&lt;&gt;"",'[1]Game Input'!$AS330,"")</f>
        <v>0</v>
      </c>
      <c r="T330" s="10" t="str">
        <f>IF('[1]Game Input'!$BA330&lt;&gt;"",'[1]Game Input'!$BA330,"")</f>
        <v>SIOUX CITY</v>
      </c>
      <c r="U330" s="9">
        <f>IF('[1]Game Input'!$BU330&lt;&gt;"",'[1]Game Input'!$BU330,"")</f>
        <v>8</v>
      </c>
      <c r="V330" s="9">
        <f>IF('[1]Game Input'!$BV330&lt;&gt;"",'[1]Game Input'!$BV330,"")</f>
        <v>4</v>
      </c>
      <c r="W330" s="9">
        <f>IF('[1]Game Input'!$CB330&lt;&gt;"",'[1]Game Input'!$CB330,"")</f>
        <v>0</v>
      </c>
      <c r="X330" s="9">
        <f>IF('[1]Game Input'!$CC330&lt;&gt;"",'[1]Game Input'!$CC330,"")</f>
        <v>0</v>
      </c>
      <c r="Y330" s="9">
        <f>IF('[1]Game Input'!$CF330&lt;&gt;"",'[1]Game Input'!$CF330,"")</f>
        <v>4</v>
      </c>
      <c r="Z330" s="9">
        <f>IF('[1]Game Input'!$CG330&lt;&gt;"",'[1]Game Input'!$CG330,"")</f>
        <v>0</v>
      </c>
      <c r="AA330" s="9">
        <f>IF('[1]Game Input'!$CH330&lt;&gt;"",'[1]Game Input'!$CH330,"")</f>
        <v>0</v>
      </c>
      <c r="AB330" s="9">
        <f>IF('[1]Game Input'!$CI330&lt;&gt;"",'[1]Game Input'!$CI330,"")</f>
        <v>0</v>
      </c>
      <c r="AC330" s="9">
        <f>IF('[1]Game Input'!$CJ330&lt;&gt;"",'[1]Game Input'!$CJ330,"")</f>
        <v>0</v>
      </c>
      <c r="AD330" s="9">
        <f>IF('[1]Game Input'!$CK330&lt;&gt;"",'[1]Game Input'!$CK330,"")</f>
        <v>0</v>
      </c>
      <c r="AE330" s="8"/>
      <c r="AF330" s="8"/>
      <c r="AG330" s="8"/>
      <c r="AH330" s="8"/>
    </row>
    <row r="331" spans="1:34" x14ac:dyDescent="0.2">
      <c r="A331" s="6">
        <f>IF('[1]Game Input'!$A331&lt;&gt;"",'[1]Game Input'!$A331,"")</f>
        <v>43498</v>
      </c>
      <c r="B331" s="6" t="str">
        <f>IF(A331&gt;$B$1,VLOOKUP(MONTH($A331),DOTWMonth,2,FALSE),"")</f>
        <v>February</v>
      </c>
      <c r="C331" s="10" t="str">
        <f>IF(A331&gt;$B$1,VLOOKUP(WEEKDAY($A331),DOTWMonth,3,FALSE),"")</f>
        <v>Saturday</v>
      </c>
      <c r="D331" s="7">
        <f>IF('[1]Game Input'!$B331&lt;&gt;"",'[1]Game Input'!$B331,"")</f>
        <v>0.83680555555555547</v>
      </c>
      <c r="E331" s="7">
        <f>IF('[1]Game Input'!$C331&lt;&gt;"",'[1]Game Input'!$C331,"")</f>
        <v>0.79513888888888884</v>
      </c>
      <c r="F331" s="8" t="str">
        <f>IF('[1]Game Input'!$D331&lt;&gt;"",'[1]Game Input'!$D331,"")</f>
        <v>Standard</v>
      </c>
      <c r="G331" s="8" t="str">
        <f>IF('[1]Game Input'!$G331&lt;&gt;"",'[1]Game Input'!$G331,"")</f>
        <v>MUS @ WAT</v>
      </c>
      <c r="H331" s="8" t="str">
        <f>IF('[1]Game Input'!$H331&lt;&gt;"",'[1]Game Input'!$H331,"")</f>
        <v>Vs. Non-Conference</v>
      </c>
      <c r="I331" s="8" t="str">
        <f>IF('[1]Game Input'!$I331&lt;&gt;"",'[1]Game Input'!$I331,"")</f>
        <v>MUSKEGON</v>
      </c>
      <c r="J331" s="9">
        <f>IF('[1]Game Input'!$AC331&lt;&gt;"",'[1]Game Input'!$AC331,"")</f>
        <v>29</v>
      </c>
      <c r="K331" s="9">
        <f>IF('[1]Game Input'!$AD331&lt;&gt;"",'[1]Game Input'!$AD331,"")</f>
        <v>9</v>
      </c>
      <c r="L331" s="9">
        <f>IF('[1]Game Input'!$AJ331&lt;&gt;"",'[1]Game Input'!$AJ331,"")</f>
        <v>0</v>
      </c>
      <c r="M331" s="9">
        <f>IF('[1]Game Input'!$AK331&lt;&gt;"",'[1]Game Input'!$AK331,"")</f>
        <v>0</v>
      </c>
      <c r="N331" s="9">
        <f>IF('[1]Game Input'!$AN331&lt;&gt;"",'[1]Game Input'!$AN331,"")</f>
        <v>7</v>
      </c>
      <c r="O331" s="9">
        <f>IF('[1]Game Input'!$AO331&lt;&gt;"",'[1]Game Input'!$AO331,"")</f>
        <v>1</v>
      </c>
      <c r="P331" s="9">
        <f>IF('[1]Game Input'!$AP331&lt;&gt;"",'[1]Game Input'!$AP331,"")</f>
        <v>1</v>
      </c>
      <c r="Q331" s="9">
        <f>IF('[1]Game Input'!$AQ331&lt;&gt;"",'[1]Game Input'!$AQ331,"")</f>
        <v>0</v>
      </c>
      <c r="R331" s="9">
        <f>IF('[1]Game Input'!$AR331&lt;&gt;"",'[1]Game Input'!$AR331,"")</f>
        <v>0</v>
      </c>
      <c r="S331" s="9">
        <f>IF('[1]Game Input'!$AS331&lt;&gt;"",'[1]Game Input'!$AS331,"")</f>
        <v>0</v>
      </c>
      <c r="T331" s="10" t="str">
        <f>IF('[1]Game Input'!$BA331&lt;&gt;"",'[1]Game Input'!$BA331,"")</f>
        <v>WATERLOO</v>
      </c>
      <c r="U331" s="9">
        <f>IF('[1]Game Input'!$BU331&lt;&gt;"",'[1]Game Input'!$BU331,"")</f>
        <v>37</v>
      </c>
      <c r="V331" s="9">
        <f>IF('[1]Game Input'!$BV331&lt;&gt;"",'[1]Game Input'!$BV331,"")</f>
        <v>9</v>
      </c>
      <c r="W331" s="9">
        <f>IF('[1]Game Input'!$CB331&lt;&gt;"",'[1]Game Input'!$CB331,"")</f>
        <v>0</v>
      </c>
      <c r="X331" s="9">
        <f>IF('[1]Game Input'!$CC331&lt;&gt;"",'[1]Game Input'!$CC331,"")</f>
        <v>0</v>
      </c>
      <c r="Y331" s="9">
        <f>IF('[1]Game Input'!$CF331&lt;&gt;"",'[1]Game Input'!$CF331,"")</f>
        <v>6</v>
      </c>
      <c r="Z331" s="9">
        <f>IF('[1]Game Input'!$CG331&lt;&gt;"",'[1]Game Input'!$CG331,"")</f>
        <v>1</v>
      </c>
      <c r="AA331" s="9">
        <f>IF('[1]Game Input'!$CH331&lt;&gt;"",'[1]Game Input'!$CH331,"")</f>
        <v>2</v>
      </c>
      <c r="AB331" s="9">
        <f>IF('[1]Game Input'!$CI331&lt;&gt;"",'[1]Game Input'!$CI331,"")</f>
        <v>0</v>
      </c>
      <c r="AC331" s="9">
        <f>IF('[1]Game Input'!$CJ331&lt;&gt;"",'[1]Game Input'!$CJ331,"")</f>
        <v>0</v>
      </c>
      <c r="AD331" s="9">
        <f>IF('[1]Game Input'!$CK331&lt;&gt;"",'[1]Game Input'!$CK331,"")</f>
        <v>0</v>
      </c>
      <c r="AE331" s="8"/>
      <c r="AF331" s="8"/>
      <c r="AG331" s="8"/>
      <c r="AH331" s="8"/>
    </row>
    <row r="332" spans="1:34" x14ac:dyDescent="0.2">
      <c r="A332" s="6">
        <f>IF('[1]Game Input'!$A332&lt;&gt;"",'[1]Game Input'!$A332,"")</f>
        <v>43504</v>
      </c>
      <c r="B332" s="6" t="str">
        <f>IF(A332&gt;$B$1,VLOOKUP(MONTH($A332),DOTWMonth,2,FALSE),"")</f>
        <v>February</v>
      </c>
      <c r="C332" s="10" t="str">
        <f>IF(A332&gt;$B$1,VLOOKUP(WEEKDAY($A332),DOTWMonth,3,FALSE),"")</f>
        <v>Friday</v>
      </c>
      <c r="D332" s="7">
        <f>IF('[1]Game Input'!$B332&lt;&gt;"",'[1]Game Input'!$B332,"")</f>
        <v>0.79513888888888884</v>
      </c>
      <c r="E332" s="7">
        <f>IF('[1]Game Input'!$C332&lt;&gt;"",'[1]Game Input'!$C332,"")</f>
        <v>0.75347222222222221</v>
      </c>
      <c r="F332" s="8" t="str">
        <f>IF('[1]Game Input'!$D332&lt;&gt;"",'[1]Game Input'!$D332,"")</f>
        <v>Standard</v>
      </c>
      <c r="G332" s="8" t="str">
        <f>IF('[1]Game Input'!$G332&lt;&gt;"",'[1]Game Input'!$G332,"")</f>
        <v>LIN @ YNG</v>
      </c>
      <c r="H332" s="8" t="str">
        <f>IF('[1]Game Input'!$H332&lt;&gt;"",'[1]Game Input'!$H332,"")</f>
        <v>Vs. Non-Conference</v>
      </c>
      <c r="I332" s="8" t="str">
        <f>IF('[1]Game Input'!$I332&lt;&gt;"",'[1]Game Input'!$I332,"")</f>
        <v>LINCOLN</v>
      </c>
      <c r="J332" s="9">
        <f>IF('[1]Game Input'!$AC332&lt;&gt;"",'[1]Game Input'!$AC332,"")</f>
        <v>10</v>
      </c>
      <c r="K332" s="9">
        <f>IF('[1]Game Input'!$AD332&lt;&gt;"",'[1]Game Input'!$AD332,"")</f>
        <v>5</v>
      </c>
      <c r="L332" s="9">
        <f>IF('[1]Game Input'!$AJ332&lt;&gt;"",'[1]Game Input'!$AJ332,"")</f>
        <v>0</v>
      </c>
      <c r="M332" s="9">
        <f>IF('[1]Game Input'!$AK332&lt;&gt;"",'[1]Game Input'!$AK332,"")</f>
        <v>0</v>
      </c>
      <c r="N332" s="9">
        <f>IF('[1]Game Input'!$AN332&lt;&gt;"",'[1]Game Input'!$AN332,"")</f>
        <v>5</v>
      </c>
      <c r="O332" s="9">
        <f>IF('[1]Game Input'!$AO332&lt;&gt;"",'[1]Game Input'!$AO332,"")</f>
        <v>0</v>
      </c>
      <c r="P332" s="9">
        <f>IF('[1]Game Input'!$AP332&lt;&gt;"",'[1]Game Input'!$AP332,"")</f>
        <v>0</v>
      </c>
      <c r="Q332" s="9">
        <f>IF('[1]Game Input'!$AQ332&lt;&gt;"",'[1]Game Input'!$AQ332,"")</f>
        <v>0</v>
      </c>
      <c r="R332" s="9">
        <f>IF('[1]Game Input'!$AR332&lt;&gt;"",'[1]Game Input'!$AR332,"")</f>
        <v>0</v>
      </c>
      <c r="S332" s="9">
        <f>IF('[1]Game Input'!$AS332&lt;&gt;"",'[1]Game Input'!$AS332,"")</f>
        <v>0</v>
      </c>
      <c r="T332" s="10" t="str">
        <f>IF('[1]Game Input'!$BA332&lt;&gt;"",'[1]Game Input'!$BA332,"")</f>
        <v>YOUNGSTOWN</v>
      </c>
      <c r="U332" s="9">
        <f>IF('[1]Game Input'!$BU332&lt;&gt;"",'[1]Game Input'!$BU332,"")</f>
        <v>6</v>
      </c>
      <c r="V332" s="9">
        <f>IF('[1]Game Input'!$BV332&lt;&gt;"",'[1]Game Input'!$BV332,"")</f>
        <v>3</v>
      </c>
      <c r="W332" s="9">
        <f>IF('[1]Game Input'!$CB332&lt;&gt;"",'[1]Game Input'!$CB332,"")</f>
        <v>0</v>
      </c>
      <c r="X332" s="9">
        <f>IF('[1]Game Input'!$CC332&lt;&gt;"",'[1]Game Input'!$CC332,"")</f>
        <v>0</v>
      </c>
      <c r="Y332" s="9">
        <f>IF('[1]Game Input'!$CF332&lt;&gt;"",'[1]Game Input'!$CF332,"")</f>
        <v>3</v>
      </c>
      <c r="Z332" s="9">
        <f>IF('[1]Game Input'!$CG332&lt;&gt;"",'[1]Game Input'!$CG332,"")</f>
        <v>0</v>
      </c>
      <c r="AA332" s="9">
        <f>IF('[1]Game Input'!$CH332&lt;&gt;"",'[1]Game Input'!$CH332,"")</f>
        <v>0</v>
      </c>
      <c r="AB332" s="9">
        <f>IF('[1]Game Input'!$CI332&lt;&gt;"",'[1]Game Input'!$CI332,"")</f>
        <v>0</v>
      </c>
      <c r="AC332" s="9">
        <f>IF('[1]Game Input'!$CJ332&lt;&gt;"",'[1]Game Input'!$CJ332,"")</f>
        <v>0</v>
      </c>
      <c r="AD332" s="9">
        <f>IF('[1]Game Input'!$CK332&lt;&gt;"",'[1]Game Input'!$CK332,"")</f>
        <v>0</v>
      </c>
      <c r="AE332" s="8"/>
      <c r="AF332" s="8"/>
      <c r="AG332" s="8"/>
      <c r="AH332" s="8"/>
    </row>
    <row r="333" spans="1:34" x14ac:dyDescent="0.2">
      <c r="A333" s="6">
        <f>IF('[1]Game Input'!$A333&lt;&gt;"",'[1]Game Input'!$A333,"")</f>
        <v>43504</v>
      </c>
      <c r="B333" s="6" t="str">
        <f>IF(A333&gt;$B$1,VLOOKUP(MONTH($A333),DOTWMonth,2,FALSE),"")</f>
        <v>February</v>
      </c>
      <c r="C333" s="10" t="str">
        <f>IF(A333&gt;$B$1,VLOOKUP(WEEKDAY($A333),DOTWMonth,3,FALSE),"")</f>
        <v>Friday</v>
      </c>
      <c r="D333" s="7">
        <f>IF('[1]Game Input'!$B333&lt;&gt;"",'[1]Game Input'!$B333,"")</f>
        <v>0.80208333333333337</v>
      </c>
      <c r="E333" s="7">
        <f>IF('[1]Game Input'!$C333&lt;&gt;"",'[1]Game Input'!$C333,"")</f>
        <v>0.76041666666666674</v>
      </c>
      <c r="F333" s="8" t="str">
        <f>IF('[1]Game Input'!$D333&lt;&gt;"",'[1]Game Input'!$D333,"")</f>
        <v>Standard</v>
      </c>
      <c r="G333" s="8" t="str">
        <f>IF('[1]Game Input'!$G333&lt;&gt;"",'[1]Game Input'!$G333,"")</f>
        <v>CIL @ MUS</v>
      </c>
      <c r="H333" s="8" t="str">
        <f>IF('[1]Game Input'!$H333&lt;&gt;"",'[1]Game Input'!$H333,"")</f>
        <v>Vs. Conference</v>
      </c>
      <c r="I333" s="8" t="str">
        <f>IF('[1]Game Input'!$I333&lt;&gt;"",'[1]Game Input'!$I333,"")</f>
        <v>CENTRAL ILLINOIS</v>
      </c>
      <c r="J333" s="9">
        <f>IF('[1]Game Input'!$AC333&lt;&gt;"",'[1]Game Input'!$AC333,"")</f>
        <v>31</v>
      </c>
      <c r="K333" s="9">
        <f>IF('[1]Game Input'!$AD333&lt;&gt;"",'[1]Game Input'!$AD333,"")</f>
        <v>10</v>
      </c>
      <c r="L333" s="9">
        <f>IF('[1]Game Input'!$AJ333&lt;&gt;"",'[1]Game Input'!$AJ333,"")</f>
        <v>0</v>
      </c>
      <c r="M333" s="9">
        <f>IF('[1]Game Input'!$AK333&lt;&gt;"",'[1]Game Input'!$AK333,"")</f>
        <v>0</v>
      </c>
      <c r="N333" s="9">
        <f>IF('[1]Game Input'!$AN333&lt;&gt;"",'[1]Game Input'!$AN333,"")</f>
        <v>8</v>
      </c>
      <c r="O333" s="9">
        <f>IF('[1]Game Input'!$AO333&lt;&gt;"",'[1]Game Input'!$AO333,"")</f>
        <v>1</v>
      </c>
      <c r="P333" s="9">
        <f>IF('[1]Game Input'!$AP333&lt;&gt;"",'[1]Game Input'!$AP333,"")</f>
        <v>0</v>
      </c>
      <c r="Q333" s="9">
        <f>IF('[1]Game Input'!$AQ333&lt;&gt;"",'[1]Game Input'!$AQ333,"")</f>
        <v>1</v>
      </c>
      <c r="R333" s="9">
        <f>IF('[1]Game Input'!$AR333&lt;&gt;"",'[1]Game Input'!$AR333,"")</f>
        <v>0</v>
      </c>
      <c r="S333" s="9">
        <f>IF('[1]Game Input'!$AS333&lt;&gt;"",'[1]Game Input'!$AS333,"")</f>
        <v>0</v>
      </c>
      <c r="T333" s="10" t="str">
        <f>IF('[1]Game Input'!$BA333&lt;&gt;"",'[1]Game Input'!$BA333,"")</f>
        <v>MUSKEGON</v>
      </c>
      <c r="U333" s="9">
        <f>IF('[1]Game Input'!$BU333&lt;&gt;"",'[1]Game Input'!$BU333,"")</f>
        <v>35</v>
      </c>
      <c r="V333" s="9">
        <f>IF('[1]Game Input'!$BV333&lt;&gt;"",'[1]Game Input'!$BV333,"")</f>
        <v>12</v>
      </c>
      <c r="W333" s="9">
        <f>IF('[1]Game Input'!$CB333&lt;&gt;"",'[1]Game Input'!$CB333,"")</f>
        <v>0</v>
      </c>
      <c r="X333" s="9">
        <f>IF('[1]Game Input'!$CC333&lt;&gt;"",'[1]Game Input'!$CC333,"")</f>
        <v>0</v>
      </c>
      <c r="Y333" s="9">
        <f>IF('[1]Game Input'!$CF333&lt;&gt;"",'[1]Game Input'!$CF333,"")</f>
        <v>10</v>
      </c>
      <c r="Z333" s="9">
        <f>IF('[1]Game Input'!$CG333&lt;&gt;"",'[1]Game Input'!$CG333,"")</f>
        <v>1</v>
      </c>
      <c r="AA333" s="9">
        <f>IF('[1]Game Input'!$CH333&lt;&gt;"",'[1]Game Input'!$CH333,"")</f>
        <v>1</v>
      </c>
      <c r="AB333" s="9">
        <f>IF('[1]Game Input'!$CI333&lt;&gt;"",'[1]Game Input'!$CI333,"")</f>
        <v>0</v>
      </c>
      <c r="AC333" s="9">
        <f>IF('[1]Game Input'!$CJ333&lt;&gt;"",'[1]Game Input'!$CJ333,"")</f>
        <v>0</v>
      </c>
      <c r="AD333" s="9">
        <f>IF('[1]Game Input'!$CK333&lt;&gt;"",'[1]Game Input'!$CK333,"")</f>
        <v>0</v>
      </c>
      <c r="AE333" s="8" t="s">
        <v>102</v>
      </c>
      <c r="AF333" s="8"/>
      <c r="AG333" s="8" t="s">
        <v>126</v>
      </c>
      <c r="AH333" s="8" t="s">
        <v>165</v>
      </c>
    </row>
    <row r="334" spans="1:34" x14ac:dyDescent="0.2">
      <c r="A334" s="6">
        <f>IF('[1]Game Input'!$A334&lt;&gt;"",'[1]Game Input'!$A334,"")</f>
        <v>43504</v>
      </c>
      <c r="B334" s="6" t="str">
        <f>IF(A334&gt;$B$1,VLOOKUP(MONTH($A334),DOTWMonth,2,FALSE),"")</f>
        <v>February</v>
      </c>
      <c r="C334" s="10" t="str">
        <f>IF(A334&gt;$B$1,VLOOKUP(WEEKDAY($A334),DOTWMonth,3,FALSE),"")</f>
        <v>Friday</v>
      </c>
      <c r="D334" s="7">
        <f>IF('[1]Game Input'!$B334&lt;&gt;"",'[1]Game Input'!$B334,"")</f>
        <v>0.83680555555555547</v>
      </c>
      <c r="E334" s="7">
        <f>IF('[1]Game Input'!$C334&lt;&gt;"",'[1]Game Input'!$C334,"")</f>
        <v>0.79513888888888884</v>
      </c>
      <c r="F334" s="8" t="str">
        <f>IF('[1]Game Input'!$D334&lt;&gt;"",'[1]Game Input'!$D334,"")</f>
        <v>Standard</v>
      </c>
      <c r="G334" s="8" t="str">
        <f>IF('[1]Game Input'!$G334&lt;&gt;"",'[1]Game Input'!$G334,"")</f>
        <v>DUB @ CR</v>
      </c>
      <c r="H334" s="8" t="str">
        <f>IF('[1]Game Input'!$H334&lt;&gt;"",'[1]Game Input'!$H334,"")</f>
        <v>Vs. Conference</v>
      </c>
      <c r="I334" s="8" t="str">
        <f>IF('[1]Game Input'!$I334&lt;&gt;"",'[1]Game Input'!$I334,"")</f>
        <v>DUBUQUE</v>
      </c>
      <c r="J334" s="9">
        <f>IF('[1]Game Input'!$AC334&lt;&gt;"",'[1]Game Input'!$AC334,"")</f>
        <v>23</v>
      </c>
      <c r="K334" s="9">
        <f>IF('[1]Game Input'!$AD334&lt;&gt;"",'[1]Game Input'!$AD334,"")</f>
        <v>6</v>
      </c>
      <c r="L334" s="9">
        <f>IF('[1]Game Input'!$AJ334&lt;&gt;"",'[1]Game Input'!$AJ334,"")</f>
        <v>0</v>
      </c>
      <c r="M334" s="9">
        <f>IF('[1]Game Input'!$AK334&lt;&gt;"",'[1]Game Input'!$AK334,"")</f>
        <v>0</v>
      </c>
      <c r="N334" s="9">
        <f>IF('[1]Game Input'!$AN334&lt;&gt;"",'[1]Game Input'!$AN334,"")</f>
        <v>4</v>
      </c>
      <c r="O334" s="9">
        <f>IF('[1]Game Input'!$AO334&lt;&gt;"",'[1]Game Input'!$AO334,"")</f>
        <v>1</v>
      </c>
      <c r="P334" s="9">
        <f>IF('[1]Game Input'!$AP334&lt;&gt;"",'[1]Game Input'!$AP334,"")</f>
        <v>1</v>
      </c>
      <c r="Q334" s="9">
        <f>IF('[1]Game Input'!$AQ334&lt;&gt;"",'[1]Game Input'!$AQ334,"")</f>
        <v>0</v>
      </c>
      <c r="R334" s="9">
        <f>IF('[1]Game Input'!$AR334&lt;&gt;"",'[1]Game Input'!$AR334,"")</f>
        <v>0</v>
      </c>
      <c r="S334" s="9">
        <f>IF('[1]Game Input'!$AS334&lt;&gt;"",'[1]Game Input'!$AS334,"")</f>
        <v>0</v>
      </c>
      <c r="T334" s="10" t="str">
        <f>IF('[1]Game Input'!$BA334&lt;&gt;"",'[1]Game Input'!$BA334,"")</f>
        <v>CEDAR RAPIDS</v>
      </c>
      <c r="U334" s="9">
        <f>IF('[1]Game Input'!$BU334&lt;&gt;"",'[1]Game Input'!$BU334,"")</f>
        <v>17</v>
      </c>
      <c r="V334" s="9">
        <f>IF('[1]Game Input'!$BV334&lt;&gt;"",'[1]Game Input'!$BV334,"")</f>
        <v>3</v>
      </c>
      <c r="W334" s="9">
        <f>IF('[1]Game Input'!$CB334&lt;&gt;"",'[1]Game Input'!$CB334,"")</f>
        <v>0</v>
      </c>
      <c r="X334" s="9">
        <f>IF('[1]Game Input'!$CC334&lt;&gt;"",'[1]Game Input'!$CC334,"")</f>
        <v>0</v>
      </c>
      <c r="Y334" s="9">
        <f>IF('[1]Game Input'!$CF334&lt;&gt;"",'[1]Game Input'!$CF334,"")</f>
        <v>1</v>
      </c>
      <c r="Z334" s="9">
        <f>IF('[1]Game Input'!$CG334&lt;&gt;"",'[1]Game Input'!$CG334,"")</f>
        <v>1</v>
      </c>
      <c r="AA334" s="9">
        <f>IF('[1]Game Input'!$CH334&lt;&gt;"",'[1]Game Input'!$CH334,"")</f>
        <v>1</v>
      </c>
      <c r="AB334" s="9">
        <f>IF('[1]Game Input'!$CI334&lt;&gt;"",'[1]Game Input'!$CI334,"")</f>
        <v>0</v>
      </c>
      <c r="AC334" s="9">
        <f>IF('[1]Game Input'!$CJ334&lt;&gt;"",'[1]Game Input'!$CJ334,"")</f>
        <v>0</v>
      </c>
      <c r="AD334" s="9">
        <f>IF('[1]Game Input'!$CK334&lt;&gt;"",'[1]Game Input'!$CK334,"")</f>
        <v>0</v>
      </c>
      <c r="AE334" s="8" t="s">
        <v>95</v>
      </c>
      <c r="AF334" s="8"/>
      <c r="AG334" s="8" t="s">
        <v>122</v>
      </c>
      <c r="AH334" s="8" t="s">
        <v>153</v>
      </c>
    </row>
    <row r="335" spans="1:34" x14ac:dyDescent="0.2">
      <c r="A335" s="6">
        <f>IF('[1]Game Input'!$A335&lt;&gt;"",'[1]Game Input'!$A335,"")</f>
        <v>43504</v>
      </c>
      <c r="B335" s="6" t="str">
        <f>IF(A335&gt;$B$1,VLOOKUP(MONTH($A335),DOTWMonth,2,FALSE),"")</f>
        <v>February</v>
      </c>
      <c r="C335" s="10" t="str">
        <f>IF(A335&gt;$B$1,VLOOKUP(WEEKDAY($A335),DOTWMonth,3,FALSE),"")</f>
        <v>Friday</v>
      </c>
      <c r="D335" s="7">
        <f>IF('[1]Game Input'!$B335&lt;&gt;"",'[1]Game Input'!$B335,"")</f>
        <v>0.83680555555555547</v>
      </c>
      <c r="E335" s="7">
        <f>IF('[1]Game Input'!$C335&lt;&gt;"",'[1]Game Input'!$C335,"")</f>
        <v>0.79513888888888884</v>
      </c>
      <c r="F335" s="8" t="str">
        <f>IF('[1]Game Input'!$D335&lt;&gt;"",'[1]Game Input'!$D335,"")</f>
        <v>Standard</v>
      </c>
      <c r="G335" s="8" t="str">
        <f>IF('[1]Game Input'!$G335&lt;&gt;"",'[1]Game Input'!$G335,"")</f>
        <v>WAT @ DM</v>
      </c>
      <c r="H335" s="8" t="str">
        <f>IF('[1]Game Input'!$H335&lt;&gt;"",'[1]Game Input'!$H335,"")</f>
        <v>Vs. Conference</v>
      </c>
      <c r="I335" s="8" t="str">
        <f>IF('[1]Game Input'!$I335&lt;&gt;"",'[1]Game Input'!$I335,"")</f>
        <v>WATERLOO</v>
      </c>
      <c r="J335" s="9">
        <f>IF('[1]Game Input'!$AC335&lt;&gt;"",'[1]Game Input'!$AC335,"")</f>
        <v>14</v>
      </c>
      <c r="K335" s="9">
        <f>IF('[1]Game Input'!$AD335&lt;&gt;"",'[1]Game Input'!$AD335,"")</f>
        <v>7</v>
      </c>
      <c r="L335" s="9">
        <f>IF('[1]Game Input'!$AJ335&lt;&gt;"",'[1]Game Input'!$AJ335,"")</f>
        <v>0</v>
      </c>
      <c r="M335" s="9">
        <f>IF('[1]Game Input'!$AK335&lt;&gt;"",'[1]Game Input'!$AK335,"")</f>
        <v>0</v>
      </c>
      <c r="N335" s="9">
        <f>IF('[1]Game Input'!$AN335&lt;&gt;"",'[1]Game Input'!$AN335,"")</f>
        <v>7</v>
      </c>
      <c r="O335" s="9">
        <f>IF('[1]Game Input'!$AO335&lt;&gt;"",'[1]Game Input'!$AO335,"")</f>
        <v>0</v>
      </c>
      <c r="P335" s="9">
        <f>IF('[1]Game Input'!$AP335&lt;&gt;"",'[1]Game Input'!$AP335,"")</f>
        <v>0</v>
      </c>
      <c r="Q335" s="9">
        <f>IF('[1]Game Input'!$AQ335&lt;&gt;"",'[1]Game Input'!$AQ335,"")</f>
        <v>0</v>
      </c>
      <c r="R335" s="9">
        <f>IF('[1]Game Input'!$AR335&lt;&gt;"",'[1]Game Input'!$AR335,"")</f>
        <v>0</v>
      </c>
      <c r="S335" s="9">
        <f>IF('[1]Game Input'!$AS335&lt;&gt;"",'[1]Game Input'!$AS335,"")</f>
        <v>0</v>
      </c>
      <c r="T335" s="10" t="str">
        <f>IF('[1]Game Input'!$BA335&lt;&gt;"",'[1]Game Input'!$BA335,"")</f>
        <v>DES MOINES</v>
      </c>
      <c r="U335" s="9">
        <f>IF('[1]Game Input'!$BU335&lt;&gt;"",'[1]Game Input'!$BU335,"")</f>
        <v>10</v>
      </c>
      <c r="V335" s="9">
        <f>IF('[1]Game Input'!$BV335&lt;&gt;"",'[1]Game Input'!$BV335,"")</f>
        <v>5</v>
      </c>
      <c r="W335" s="9">
        <f>IF('[1]Game Input'!$CB335&lt;&gt;"",'[1]Game Input'!$CB335,"")</f>
        <v>0</v>
      </c>
      <c r="X335" s="9">
        <f>IF('[1]Game Input'!$CC335&lt;&gt;"",'[1]Game Input'!$CC335,"")</f>
        <v>0</v>
      </c>
      <c r="Y335" s="9">
        <f>IF('[1]Game Input'!$CF335&lt;&gt;"",'[1]Game Input'!$CF335,"")</f>
        <v>5</v>
      </c>
      <c r="Z335" s="9">
        <f>IF('[1]Game Input'!$CG335&lt;&gt;"",'[1]Game Input'!$CG335,"")</f>
        <v>0</v>
      </c>
      <c r="AA335" s="9">
        <f>IF('[1]Game Input'!$CH335&lt;&gt;"",'[1]Game Input'!$CH335,"")</f>
        <v>0</v>
      </c>
      <c r="AB335" s="9">
        <f>IF('[1]Game Input'!$CI335&lt;&gt;"",'[1]Game Input'!$CI335,"")</f>
        <v>0</v>
      </c>
      <c r="AC335" s="9">
        <f>IF('[1]Game Input'!$CJ335&lt;&gt;"",'[1]Game Input'!$CJ335,"")</f>
        <v>0</v>
      </c>
      <c r="AD335" s="9">
        <f>IF('[1]Game Input'!$CK335&lt;&gt;"",'[1]Game Input'!$CK335,"")</f>
        <v>0</v>
      </c>
      <c r="AE335" s="8" t="s">
        <v>103</v>
      </c>
      <c r="AF335" s="8"/>
      <c r="AG335" s="8" t="s">
        <v>108</v>
      </c>
      <c r="AH335" s="8" t="s">
        <v>119</v>
      </c>
    </row>
    <row r="336" spans="1:34" x14ac:dyDescent="0.2">
      <c r="A336" s="6">
        <f>IF('[1]Game Input'!$A336&lt;&gt;"",'[1]Game Input'!$A336,"")</f>
        <v>43504</v>
      </c>
      <c r="B336" s="6" t="str">
        <f>IF(A336&gt;$B$1,VLOOKUP(MONTH($A336),DOTWMonth,2,FALSE),"")</f>
        <v>February</v>
      </c>
      <c r="C336" s="10" t="str">
        <f>IF(A336&gt;$B$1,VLOOKUP(WEEKDAY($A336),DOTWMonth,3,FALSE),"")</f>
        <v>Friday</v>
      </c>
      <c r="D336" s="7">
        <f>IF('[1]Game Input'!$B336&lt;&gt;"",'[1]Game Input'!$B336,"")</f>
        <v>0.83680555555555547</v>
      </c>
      <c r="E336" s="7">
        <f>IF('[1]Game Input'!$C336&lt;&gt;"",'[1]Game Input'!$C336,"")</f>
        <v>0.79513888888888884</v>
      </c>
      <c r="F336" s="8" t="str">
        <f>IF('[1]Game Input'!$D336&lt;&gt;"",'[1]Game Input'!$D336,"")</f>
        <v>Standard</v>
      </c>
      <c r="G336" s="8" t="str">
        <f>IF('[1]Game Input'!$G336&lt;&gt;"",'[1]Game Input'!$G336,"")</f>
        <v>MAD @ FGO</v>
      </c>
      <c r="H336" s="8" t="str">
        <f>IF('[1]Game Input'!$H336&lt;&gt;"",'[1]Game Input'!$H336,"")</f>
        <v>Vs. Non-Conference</v>
      </c>
      <c r="I336" s="8" t="str">
        <f>IF('[1]Game Input'!$I336&lt;&gt;"",'[1]Game Input'!$I336,"")</f>
        <v>MADISON</v>
      </c>
      <c r="J336" s="9">
        <f>IF('[1]Game Input'!$AC336&lt;&gt;"",'[1]Game Input'!$AC336,"")</f>
        <v>21</v>
      </c>
      <c r="K336" s="9">
        <f>IF('[1]Game Input'!$AD336&lt;&gt;"",'[1]Game Input'!$AD336,"")</f>
        <v>5</v>
      </c>
      <c r="L336" s="9">
        <f>IF('[1]Game Input'!$AJ336&lt;&gt;"",'[1]Game Input'!$AJ336,"")</f>
        <v>0</v>
      </c>
      <c r="M336" s="9">
        <f>IF('[1]Game Input'!$AK336&lt;&gt;"",'[1]Game Input'!$AK336,"")</f>
        <v>0</v>
      </c>
      <c r="N336" s="9">
        <f>IF('[1]Game Input'!$AN336&lt;&gt;"",'[1]Game Input'!$AN336,"")</f>
        <v>3</v>
      </c>
      <c r="O336" s="9">
        <f>IF('[1]Game Input'!$AO336&lt;&gt;"",'[1]Game Input'!$AO336,"")</f>
        <v>1</v>
      </c>
      <c r="P336" s="9">
        <f>IF('[1]Game Input'!$AP336&lt;&gt;"",'[1]Game Input'!$AP336,"")</f>
        <v>1</v>
      </c>
      <c r="Q336" s="9">
        <f>IF('[1]Game Input'!$AQ336&lt;&gt;"",'[1]Game Input'!$AQ336,"")</f>
        <v>0</v>
      </c>
      <c r="R336" s="9">
        <f>IF('[1]Game Input'!$AR336&lt;&gt;"",'[1]Game Input'!$AR336,"")</f>
        <v>0</v>
      </c>
      <c r="S336" s="9">
        <f>IF('[1]Game Input'!$AS336&lt;&gt;"",'[1]Game Input'!$AS336,"")</f>
        <v>0</v>
      </c>
      <c r="T336" s="10" t="str">
        <f>IF('[1]Game Input'!$BA336&lt;&gt;"",'[1]Game Input'!$BA336,"")</f>
        <v>FARGO</v>
      </c>
      <c r="U336" s="9">
        <f>IF('[1]Game Input'!$BU336&lt;&gt;"",'[1]Game Input'!$BU336,"")</f>
        <v>21</v>
      </c>
      <c r="V336" s="9">
        <f>IF('[1]Game Input'!$BV336&lt;&gt;"",'[1]Game Input'!$BV336,"")</f>
        <v>5</v>
      </c>
      <c r="W336" s="9">
        <f>IF('[1]Game Input'!$CB336&lt;&gt;"",'[1]Game Input'!$CB336,"")</f>
        <v>0</v>
      </c>
      <c r="X336" s="9">
        <f>IF('[1]Game Input'!$CC336&lt;&gt;"",'[1]Game Input'!$CC336,"")</f>
        <v>0</v>
      </c>
      <c r="Y336" s="9">
        <f>IF('[1]Game Input'!$CF336&lt;&gt;"",'[1]Game Input'!$CF336,"")</f>
        <v>3</v>
      </c>
      <c r="Z336" s="9">
        <f>IF('[1]Game Input'!$CG336&lt;&gt;"",'[1]Game Input'!$CG336,"")</f>
        <v>1</v>
      </c>
      <c r="AA336" s="9">
        <f>IF('[1]Game Input'!$CH336&lt;&gt;"",'[1]Game Input'!$CH336,"")</f>
        <v>1</v>
      </c>
      <c r="AB336" s="9">
        <f>IF('[1]Game Input'!$CI336&lt;&gt;"",'[1]Game Input'!$CI336,"")</f>
        <v>0</v>
      </c>
      <c r="AC336" s="9">
        <f>IF('[1]Game Input'!$CJ336&lt;&gt;"",'[1]Game Input'!$CJ336,"")</f>
        <v>0</v>
      </c>
      <c r="AD336" s="9">
        <f>IF('[1]Game Input'!$CK336&lt;&gt;"",'[1]Game Input'!$CK336,"")</f>
        <v>0</v>
      </c>
      <c r="AE336" s="8"/>
      <c r="AF336" s="8"/>
      <c r="AG336" s="8"/>
      <c r="AH336" s="8"/>
    </row>
    <row r="337" spans="1:34" x14ac:dyDescent="0.2">
      <c r="A337" s="6">
        <f>IF('[1]Game Input'!$A337&lt;&gt;"",'[1]Game Input'!$A337,"")</f>
        <v>43504</v>
      </c>
      <c r="B337" s="6" t="str">
        <f>IF(A337&gt;$B$1,VLOOKUP(MONTH($A337),DOTWMonth,2,FALSE),"")</f>
        <v>February</v>
      </c>
      <c r="C337" s="10" t="str">
        <f>IF(A337&gt;$B$1,VLOOKUP(WEEKDAY($A337),DOTWMonth,3,FALSE),"")</f>
        <v>Friday</v>
      </c>
      <c r="D337" s="7">
        <f>IF('[1]Game Input'!$B337&lt;&gt;"",'[1]Game Input'!$B337,"")</f>
        <v>0.83680555555555547</v>
      </c>
      <c r="E337" s="7">
        <f>IF('[1]Game Input'!$C337&lt;&gt;"",'[1]Game Input'!$C337,"")</f>
        <v>0.79513888888888884</v>
      </c>
      <c r="F337" s="8" t="str">
        <f>IF('[1]Game Input'!$D337&lt;&gt;"",'[1]Game Input'!$D337,"")</f>
        <v>Standard</v>
      </c>
      <c r="G337" s="8" t="str">
        <f>IF('[1]Game Input'!$G337&lt;&gt;"",'[1]Game Input'!$G337,"")</f>
        <v>CHI @ SF</v>
      </c>
      <c r="H337" s="8" t="str">
        <f>IF('[1]Game Input'!$H337&lt;&gt;"",'[1]Game Input'!$H337,"")</f>
        <v>Vs. Non-Conference</v>
      </c>
      <c r="I337" s="8" t="str">
        <f>IF('[1]Game Input'!$I337&lt;&gt;"",'[1]Game Input'!$I337,"")</f>
        <v>CHICAGO</v>
      </c>
      <c r="J337" s="9">
        <f>IF('[1]Game Input'!$AC337&lt;&gt;"",'[1]Game Input'!$AC337,"")</f>
        <v>6</v>
      </c>
      <c r="K337" s="9">
        <f>IF('[1]Game Input'!$AD337&lt;&gt;"",'[1]Game Input'!$AD337,"")</f>
        <v>3</v>
      </c>
      <c r="L337" s="9">
        <f>IF('[1]Game Input'!$AJ337&lt;&gt;"",'[1]Game Input'!$AJ337,"")</f>
        <v>0</v>
      </c>
      <c r="M337" s="9">
        <f>IF('[1]Game Input'!$AK337&lt;&gt;"",'[1]Game Input'!$AK337,"")</f>
        <v>0</v>
      </c>
      <c r="N337" s="9">
        <f>IF('[1]Game Input'!$AN337&lt;&gt;"",'[1]Game Input'!$AN337,"")</f>
        <v>3</v>
      </c>
      <c r="O337" s="9">
        <f>IF('[1]Game Input'!$AO337&lt;&gt;"",'[1]Game Input'!$AO337,"")</f>
        <v>0</v>
      </c>
      <c r="P337" s="9">
        <f>IF('[1]Game Input'!$AP337&lt;&gt;"",'[1]Game Input'!$AP337,"")</f>
        <v>0</v>
      </c>
      <c r="Q337" s="9">
        <f>IF('[1]Game Input'!$AQ337&lt;&gt;"",'[1]Game Input'!$AQ337,"")</f>
        <v>0</v>
      </c>
      <c r="R337" s="9">
        <f>IF('[1]Game Input'!$AR337&lt;&gt;"",'[1]Game Input'!$AR337,"")</f>
        <v>0</v>
      </c>
      <c r="S337" s="9">
        <f>IF('[1]Game Input'!$AS337&lt;&gt;"",'[1]Game Input'!$AS337,"")</f>
        <v>0</v>
      </c>
      <c r="T337" s="10" t="str">
        <f>IF('[1]Game Input'!$BA337&lt;&gt;"",'[1]Game Input'!$BA337,"")</f>
        <v>SIOUX FALLS</v>
      </c>
      <c r="U337" s="9">
        <f>IF('[1]Game Input'!$BU337&lt;&gt;"",'[1]Game Input'!$BU337,"")</f>
        <v>6</v>
      </c>
      <c r="V337" s="9">
        <f>IF('[1]Game Input'!$BV337&lt;&gt;"",'[1]Game Input'!$BV337,"")</f>
        <v>3</v>
      </c>
      <c r="W337" s="9">
        <f>IF('[1]Game Input'!$CB337&lt;&gt;"",'[1]Game Input'!$CB337,"")</f>
        <v>0</v>
      </c>
      <c r="X337" s="9">
        <f>IF('[1]Game Input'!$CC337&lt;&gt;"",'[1]Game Input'!$CC337,"")</f>
        <v>0</v>
      </c>
      <c r="Y337" s="9">
        <f>IF('[1]Game Input'!$CF337&lt;&gt;"",'[1]Game Input'!$CF337,"")</f>
        <v>3</v>
      </c>
      <c r="Z337" s="9">
        <f>IF('[1]Game Input'!$CG337&lt;&gt;"",'[1]Game Input'!$CG337,"")</f>
        <v>0</v>
      </c>
      <c r="AA337" s="9">
        <f>IF('[1]Game Input'!$CH337&lt;&gt;"",'[1]Game Input'!$CH337,"")</f>
        <v>0</v>
      </c>
      <c r="AB337" s="9">
        <f>IF('[1]Game Input'!$CI337&lt;&gt;"",'[1]Game Input'!$CI337,"")</f>
        <v>0</v>
      </c>
      <c r="AC337" s="9">
        <f>IF('[1]Game Input'!$CJ337&lt;&gt;"",'[1]Game Input'!$CJ337,"")</f>
        <v>0</v>
      </c>
      <c r="AD337" s="9">
        <f>IF('[1]Game Input'!$CK337&lt;&gt;"",'[1]Game Input'!$CK337,"")</f>
        <v>0</v>
      </c>
      <c r="AE337" s="8"/>
      <c r="AF337" s="8"/>
      <c r="AG337" s="8"/>
      <c r="AH337" s="8"/>
    </row>
    <row r="338" spans="1:34" x14ac:dyDescent="0.2">
      <c r="A338" s="6">
        <f>IF('[1]Game Input'!$A338&lt;&gt;"",'[1]Game Input'!$A338,"")</f>
        <v>43504</v>
      </c>
      <c r="B338" s="6" t="str">
        <f>IF(A338&gt;$B$1,VLOOKUP(MONTH($A338),DOTWMonth,2,FALSE),"")</f>
        <v>February</v>
      </c>
      <c r="C338" s="10" t="str">
        <f>IF(A338&gt;$B$1,VLOOKUP(WEEKDAY($A338),DOTWMonth,3,FALSE),"")</f>
        <v>Friday</v>
      </c>
      <c r="D338" s="7">
        <f>IF('[1]Game Input'!$B338&lt;&gt;"",'[1]Game Input'!$B338,"")</f>
        <v>0.83680555555555547</v>
      </c>
      <c r="E338" s="7">
        <f>IF('[1]Game Input'!$C338&lt;&gt;"",'[1]Game Input'!$C338,"")</f>
        <v>0.79513888888888884</v>
      </c>
      <c r="F338" s="8" t="str">
        <f>IF('[1]Game Input'!$D338&lt;&gt;"",'[1]Game Input'!$D338,"")</f>
        <v>Standard</v>
      </c>
      <c r="G338" s="8" t="str">
        <f>IF('[1]Game Input'!$G338&lt;&gt;"",'[1]Game Input'!$G338,"")</f>
        <v>GB @ TC</v>
      </c>
      <c r="H338" s="8" t="str">
        <f>IF('[1]Game Input'!$H338&lt;&gt;"",'[1]Game Input'!$H338,"")</f>
        <v>Vs. Non-Conference</v>
      </c>
      <c r="I338" s="8" t="str">
        <f>IF('[1]Game Input'!$I338&lt;&gt;"",'[1]Game Input'!$I338,"")</f>
        <v>GREEN BAY</v>
      </c>
      <c r="J338" s="9">
        <f>IF('[1]Game Input'!$AC338&lt;&gt;"",'[1]Game Input'!$AC338,"")</f>
        <v>6</v>
      </c>
      <c r="K338" s="9">
        <f>IF('[1]Game Input'!$AD338&lt;&gt;"",'[1]Game Input'!$AD338,"")</f>
        <v>3</v>
      </c>
      <c r="L338" s="9">
        <f>IF('[1]Game Input'!$AJ338&lt;&gt;"",'[1]Game Input'!$AJ338,"")</f>
        <v>0</v>
      </c>
      <c r="M338" s="9">
        <f>IF('[1]Game Input'!$AK338&lt;&gt;"",'[1]Game Input'!$AK338,"")</f>
        <v>0</v>
      </c>
      <c r="N338" s="9">
        <f>IF('[1]Game Input'!$AN338&lt;&gt;"",'[1]Game Input'!$AN338,"")</f>
        <v>3</v>
      </c>
      <c r="O338" s="9">
        <f>IF('[1]Game Input'!$AO338&lt;&gt;"",'[1]Game Input'!$AO338,"")</f>
        <v>0</v>
      </c>
      <c r="P338" s="9">
        <f>IF('[1]Game Input'!$AP338&lt;&gt;"",'[1]Game Input'!$AP338,"")</f>
        <v>0</v>
      </c>
      <c r="Q338" s="9">
        <f>IF('[1]Game Input'!$AQ338&lt;&gt;"",'[1]Game Input'!$AQ338,"")</f>
        <v>0</v>
      </c>
      <c r="R338" s="9">
        <f>IF('[1]Game Input'!$AR338&lt;&gt;"",'[1]Game Input'!$AR338,"")</f>
        <v>0</v>
      </c>
      <c r="S338" s="9">
        <f>IF('[1]Game Input'!$AS338&lt;&gt;"",'[1]Game Input'!$AS338,"")</f>
        <v>0</v>
      </c>
      <c r="T338" s="10" t="str">
        <f>IF('[1]Game Input'!$BA338&lt;&gt;"",'[1]Game Input'!$BA338,"")</f>
        <v>TRI-CITY</v>
      </c>
      <c r="U338" s="9">
        <f>IF('[1]Game Input'!$BU338&lt;&gt;"",'[1]Game Input'!$BU338,"")</f>
        <v>4</v>
      </c>
      <c r="V338" s="9">
        <f>IF('[1]Game Input'!$BV338&lt;&gt;"",'[1]Game Input'!$BV338,"")</f>
        <v>2</v>
      </c>
      <c r="W338" s="9">
        <f>IF('[1]Game Input'!$CB338&lt;&gt;"",'[1]Game Input'!$CB338,"")</f>
        <v>0</v>
      </c>
      <c r="X338" s="9">
        <f>IF('[1]Game Input'!$CC338&lt;&gt;"",'[1]Game Input'!$CC338,"")</f>
        <v>0</v>
      </c>
      <c r="Y338" s="9">
        <f>IF('[1]Game Input'!$CF338&lt;&gt;"",'[1]Game Input'!$CF338,"")</f>
        <v>2</v>
      </c>
      <c r="Z338" s="9">
        <f>IF('[1]Game Input'!$CG338&lt;&gt;"",'[1]Game Input'!$CG338,"")</f>
        <v>0</v>
      </c>
      <c r="AA338" s="9">
        <f>IF('[1]Game Input'!$CH338&lt;&gt;"",'[1]Game Input'!$CH338,"")</f>
        <v>0</v>
      </c>
      <c r="AB338" s="9">
        <f>IF('[1]Game Input'!$CI338&lt;&gt;"",'[1]Game Input'!$CI338,"")</f>
        <v>0</v>
      </c>
      <c r="AC338" s="9">
        <f>IF('[1]Game Input'!$CJ338&lt;&gt;"",'[1]Game Input'!$CJ338,"")</f>
        <v>0</v>
      </c>
      <c r="AD338" s="9">
        <f>IF('[1]Game Input'!$CK338&lt;&gt;"",'[1]Game Input'!$CK338,"")</f>
        <v>0</v>
      </c>
      <c r="AE338" s="8"/>
      <c r="AF338" s="8"/>
      <c r="AG338" s="8"/>
      <c r="AH338" s="8"/>
    </row>
    <row r="339" spans="1:34" x14ac:dyDescent="0.2">
      <c r="A339" s="6">
        <f>IF('[1]Game Input'!$A339&lt;&gt;"",'[1]Game Input'!$A339,"")</f>
        <v>43504</v>
      </c>
      <c r="B339" s="6" t="str">
        <f>IF(A339&gt;$B$1,VLOOKUP(MONTH($A339),DOTWMonth,2,FALSE),"")</f>
        <v>February</v>
      </c>
      <c r="C339" s="10" t="str">
        <f>IF(A339&gt;$B$1,VLOOKUP(WEEKDAY($A339),DOTWMonth,3,FALSE),"")</f>
        <v>Friday</v>
      </c>
      <c r="D339" s="7">
        <f>IF('[1]Game Input'!$B339&lt;&gt;"",'[1]Game Input'!$B339,"")</f>
        <v>0.85763888888888884</v>
      </c>
      <c r="E339" s="7">
        <f>IF('[1]Game Input'!$C339&lt;&gt;"",'[1]Game Input'!$C339,"")</f>
        <v>0.81597222222222221</v>
      </c>
      <c r="F339" s="8" t="str">
        <f>IF('[1]Game Input'!$D339&lt;&gt;"",'[1]Game Input'!$D339,"")</f>
        <v>Standard</v>
      </c>
      <c r="G339" s="8" t="str">
        <f>IF('[1]Game Input'!$G339&lt;&gt;"",'[1]Game Input'!$G339,"")</f>
        <v>SC @ OMA</v>
      </c>
      <c r="H339" s="8" t="str">
        <f>IF('[1]Game Input'!$H339&lt;&gt;"",'[1]Game Input'!$H339,"")</f>
        <v>Vs. Conference</v>
      </c>
      <c r="I339" s="8" t="str">
        <f>IF('[1]Game Input'!$I339&lt;&gt;"",'[1]Game Input'!$I339,"")</f>
        <v>SIOUX CITY</v>
      </c>
      <c r="J339" s="9">
        <f>IF('[1]Game Input'!$AC339&lt;&gt;"",'[1]Game Input'!$AC339,"")</f>
        <v>37</v>
      </c>
      <c r="K339" s="9">
        <f>IF('[1]Game Input'!$AD339&lt;&gt;"",'[1]Game Input'!$AD339,"")</f>
        <v>9</v>
      </c>
      <c r="L339" s="9">
        <f>IF('[1]Game Input'!$AJ339&lt;&gt;"",'[1]Game Input'!$AJ339,"")</f>
        <v>0</v>
      </c>
      <c r="M339" s="9">
        <f>IF('[1]Game Input'!$AK339&lt;&gt;"",'[1]Game Input'!$AK339,"")</f>
        <v>0</v>
      </c>
      <c r="N339" s="9">
        <f>IF('[1]Game Input'!$AN339&lt;&gt;"",'[1]Game Input'!$AN339,"")</f>
        <v>6</v>
      </c>
      <c r="O339" s="9">
        <f>IF('[1]Game Input'!$AO339&lt;&gt;"",'[1]Game Input'!$AO339,"")</f>
        <v>1</v>
      </c>
      <c r="P339" s="9">
        <f>IF('[1]Game Input'!$AP339&lt;&gt;"",'[1]Game Input'!$AP339,"")</f>
        <v>2</v>
      </c>
      <c r="Q339" s="9">
        <f>IF('[1]Game Input'!$AQ339&lt;&gt;"",'[1]Game Input'!$AQ339,"")</f>
        <v>0</v>
      </c>
      <c r="R339" s="9">
        <f>IF('[1]Game Input'!$AR339&lt;&gt;"",'[1]Game Input'!$AR339,"")</f>
        <v>0</v>
      </c>
      <c r="S339" s="9">
        <f>IF('[1]Game Input'!$AS339&lt;&gt;"",'[1]Game Input'!$AS339,"")</f>
        <v>0</v>
      </c>
      <c r="T339" s="10" t="str">
        <f>IF('[1]Game Input'!$BA339&lt;&gt;"",'[1]Game Input'!$BA339,"")</f>
        <v>OMAHA</v>
      </c>
      <c r="U339" s="9">
        <f>IF('[1]Game Input'!$BU339&lt;&gt;"",'[1]Game Input'!$BU339,"")</f>
        <v>21</v>
      </c>
      <c r="V339" s="9">
        <f>IF('[1]Game Input'!$BV339&lt;&gt;"",'[1]Game Input'!$BV339,"")</f>
        <v>5</v>
      </c>
      <c r="W339" s="9">
        <f>IF('[1]Game Input'!$CB339&lt;&gt;"",'[1]Game Input'!$CB339,"")</f>
        <v>0</v>
      </c>
      <c r="X339" s="9">
        <f>IF('[1]Game Input'!$CC339&lt;&gt;"",'[1]Game Input'!$CC339,"")</f>
        <v>0</v>
      </c>
      <c r="Y339" s="9">
        <f>IF('[1]Game Input'!$CF339&lt;&gt;"",'[1]Game Input'!$CF339,"")</f>
        <v>3</v>
      </c>
      <c r="Z339" s="9">
        <f>IF('[1]Game Input'!$CG339&lt;&gt;"",'[1]Game Input'!$CG339,"")</f>
        <v>1</v>
      </c>
      <c r="AA339" s="9">
        <f>IF('[1]Game Input'!$CH339&lt;&gt;"",'[1]Game Input'!$CH339,"")</f>
        <v>0</v>
      </c>
      <c r="AB339" s="9">
        <f>IF('[1]Game Input'!$CI339&lt;&gt;"",'[1]Game Input'!$CI339,"")</f>
        <v>1</v>
      </c>
      <c r="AC339" s="9">
        <f>IF('[1]Game Input'!$CJ339&lt;&gt;"",'[1]Game Input'!$CJ339,"")</f>
        <v>0</v>
      </c>
      <c r="AD339" s="9">
        <f>IF('[1]Game Input'!$CK339&lt;&gt;"",'[1]Game Input'!$CK339,"")</f>
        <v>0</v>
      </c>
      <c r="AE339" s="8"/>
      <c r="AF339" s="8"/>
      <c r="AG339" s="8"/>
      <c r="AH339" s="8"/>
    </row>
    <row r="340" spans="1:34" x14ac:dyDescent="0.2">
      <c r="A340" s="6">
        <f>IF('[1]Game Input'!$A340&lt;&gt;"",'[1]Game Input'!$A340,"")</f>
        <v>43505</v>
      </c>
      <c r="B340" s="6" t="str">
        <f>IF(A340&gt;$B$1,VLOOKUP(MONTH($A340),DOTWMonth,2,FALSE),"")</f>
        <v>February</v>
      </c>
      <c r="C340" s="10" t="str">
        <f>IF(A340&gt;$B$1,VLOOKUP(WEEKDAY($A340),DOTWMonth,3,FALSE),"")</f>
        <v>Saturday</v>
      </c>
      <c r="D340" s="7">
        <f>IF('[1]Game Input'!$B340&lt;&gt;"",'[1]Game Input'!$B340,"")</f>
        <v>0.79513888888888884</v>
      </c>
      <c r="E340" s="7">
        <f>IF('[1]Game Input'!$C340&lt;&gt;"",'[1]Game Input'!$C340,"")</f>
        <v>0.75347222222222221</v>
      </c>
      <c r="F340" s="8" t="str">
        <f>IF('[1]Game Input'!$D340&lt;&gt;"",'[1]Game Input'!$D340,"")</f>
        <v>Standard</v>
      </c>
      <c r="G340" s="8" t="str">
        <f>IF('[1]Game Input'!$G340&lt;&gt;"",'[1]Game Input'!$G340,"")</f>
        <v>LIN @ YNG</v>
      </c>
      <c r="H340" s="8" t="str">
        <f>IF('[1]Game Input'!$H340&lt;&gt;"",'[1]Game Input'!$H340,"")</f>
        <v>Vs. Non-Conference</v>
      </c>
      <c r="I340" s="8" t="str">
        <f>IF('[1]Game Input'!$I340&lt;&gt;"",'[1]Game Input'!$I340,"")</f>
        <v>LINCOLN</v>
      </c>
      <c r="J340" s="9">
        <f>IF('[1]Game Input'!$AC340&lt;&gt;"",'[1]Game Input'!$AC340,"")</f>
        <v>54</v>
      </c>
      <c r="K340" s="9">
        <f>IF('[1]Game Input'!$AD340&lt;&gt;"",'[1]Game Input'!$AD340,"")</f>
        <v>15</v>
      </c>
      <c r="L340" s="9">
        <f>IF('[1]Game Input'!$AJ340&lt;&gt;"",'[1]Game Input'!$AJ340,"")</f>
        <v>0</v>
      </c>
      <c r="M340" s="9">
        <f>IF('[1]Game Input'!$AK340&lt;&gt;"",'[1]Game Input'!$AK340,"")</f>
        <v>0</v>
      </c>
      <c r="N340" s="9">
        <f>IF('[1]Game Input'!$AN340&lt;&gt;"",'[1]Game Input'!$AN340,"")</f>
        <v>12</v>
      </c>
      <c r="O340" s="9">
        <f>IF('[1]Game Input'!$AO340&lt;&gt;"",'[1]Game Input'!$AO340,"")</f>
        <v>0</v>
      </c>
      <c r="P340" s="9">
        <f>IF('[1]Game Input'!$AP340&lt;&gt;"",'[1]Game Input'!$AP340,"")</f>
        <v>3</v>
      </c>
      <c r="Q340" s="9">
        <f>IF('[1]Game Input'!$AQ340&lt;&gt;"",'[1]Game Input'!$AQ340,"")</f>
        <v>0</v>
      </c>
      <c r="R340" s="9">
        <f>IF('[1]Game Input'!$AR340&lt;&gt;"",'[1]Game Input'!$AR340,"")</f>
        <v>0</v>
      </c>
      <c r="S340" s="9">
        <f>IF('[1]Game Input'!$AS340&lt;&gt;"",'[1]Game Input'!$AS340,"")</f>
        <v>0</v>
      </c>
      <c r="T340" s="10" t="str">
        <f>IF('[1]Game Input'!$BA340&lt;&gt;"",'[1]Game Input'!$BA340,"")</f>
        <v>YOUNGSTOWN</v>
      </c>
      <c r="U340" s="9">
        <f>IF('[1]Game Input'!$BU340&lt;&gt;"",'[1]Game Input'!$BU340,"")</f>
        <v>50</v>
      </c>
      <c r="V340" s="9">
        <f>IF('[1]Game Input'!$BV340&lt;&gt;"",'[1]Game Input'!$BV340,"")</f>
        <v>13</v>
      </c>
      <c r="W340" s="9">
        <f>IF('[1]Game Input'!$CB340&lt;&gt;"",'[1]Game Input'!$CB340,"")</f>
        <v>0</v>
      </c>
      <c r="X340" s="9">
        <f>IF('[1]Game Input'!$CC340&lt;&gt;"",'[1]Game Input'!$CC340,"")</f>
        <v>0</v>
      </c>
      <c r="Y340" s="9">
        <f>IF('[1]Game Input'!$CF340&lt;&gt;"",'[1]Game Input'!$CF340,"")</f>
        <v>10</v>
      </c>
      <c r="Z340" s="9">
        <f>IF('[1]Game Input'!$CG340&lt;&gt;"",'[1]Game Input'!$CG340,"")</f>
        <v>0</v>
      </c>
      <c r="AA340" s="9">
        <f>IF('[1]Game Input'!$CH340&lt;&gt;"",'[1]Game Input'!$CH340,"")</f>
        <v>3</v>
      </c>
      <c r="AB340" s="9">
        <f>IF('[1]Game Input'!$CI340&lt;&gt;"",'[1]Game Input'!$CI340,"")</f>
        <v>0</v>
      </c>
      <c r="AC340" s="9">
        <f>IF('[1]Game Input'!$CJ340&lt;&gt;"",'[1]Game Input'!$CJ340,"")</f>
        <v>0</v>
      </c>
      <c r="AD340" s="9">
        <f>IF('[1]Game Input'!$CK340&lt;&gt;"",'[1]Game Input'!$CK340,"")</f>
        <v>0</v>
      </c>
      <c r="AE340" s="8"/>
      <c r="AF340" s="8"/>
      <c r="AG340" s="8"/>
      <c r="AH340" s="8"/>
    </row>
    <row r="341" spans="1:34" x14ac:dyDescent="0.2">
      <c r="A341" s="6">
        <f>IF('[1]Game Input'!$A341&lt;&gt;"",'[1]Game Input'!$A341,"")</f>
        <v>43505</v>
      </c>
      <c r="B341" s="6" t="str">
        <f>IF(A341&gt;$B$1,VLOOKUP(MONTH($A341),DOTWMonth,2,FALSE),"")</f>
        <v>February</v>
      </c>
      <c r="C341" s="10" t="str">
        <f>IF(A341&gt;$B$1,VLOOKUP(WEEKDAY($A341),DOTWMonth,3,FALSE),"")</f>
        <v>Saturday</v>
      </c>
      <c r="D341" s="7">
        <f>IF('[1]Game Input'!$B341&lt;&gt;"",'[1]Game Input'!$B341,"")</f>
        <v>0.80208333333333337</v>
      </c>
      <c r="E341" s="7">
        <f>IF('[1]Game Input'!$C341&lt;&gt;"",'[1]Game Input'!$C341,"")</f>
        <v>0.76041666666666674</v>
      </c>
      <c r="F341" s="8" t="str">
        <f>IF('[1]Game Input'!$D341&lt;&gt;"",'[1]Game Input'!$D341,"")</f>
        <v>Standard</v>
      </c>
      <c r="G341" s="8" t="str">
        <f>IF('[1]Game Input'!$G341&lt;&gt;"",'[1]Game Input'!$G341,"")</f>
        <v>CIL @ MUS</v>
      </c>
      <c r="H341" s="8" t="str">
        <f>IF('[1]Game Input'!$H341&lt;&gt;"",'[1]Game Input'!$H341,"")</f>
        <v>Vs. Conference</v>
      </c>
      <c r="I341" s="8" t="str">
        <f>IF('[1]Game Input'!$I341&lt;&gt;"",'[1]Game Input'!$I341,"")</f>
        <v>CENTRAL ILLINOIS</v>
      </c>
      <c r="J341" s="9">
        <f>IF('[1]Game Input'!$AC341&lt;&gt;"",'[1]Game Input'!$AC341,"")</f>
        <v>12</v>
      </c>
      <c r="K341" s="9">
        <f>IF('[1]Game Input'!$AD341&lt;&gt;"",'[1]Game Input'!$AD341,"")</f>
        <v>6</v>
      </c>
      <c r="L341" s="9">
        <f>IF('[1]Game Input'!$AJ341&lt;&gt;"",'[1]Game Input'!$AJ341,"")</f>
        <v>0</v>
      </c>
      <c r="M341" s="9">
        <f>IF('[1]Game Input'!$AK341&lt;&gt;"",'[1]Game Input'!$AK341,"")</f>
        <v>0</v>
      </c>
      <c r="N341" s="9">
        <f>IF('[1]Game Input'!$AN341&lt;&gt;"",'[1]Game Input'!$AN341,"")</f>
        <v>6</v>
      </c>
      <c r="O341" s="9">
        <f>IF('[1]Game Input'!$AO341&lt;&gt;"",'[1]Game Input'!$AO341,"")</f>
        <v>0</v>
      </c>
      <c r="P341" s="9">
        <f>IF('[1]Game Input'!$AP341&lt;&gt;"",'[1]Game Input'!$AP341,"")</f>
        <v>0</v>
      </c>
      <c r="Q341" s="9">
        <f>IF('[1]Game Input'!$AQ341&lt;&gt;"",'[1]Game Input'!$AQ341,"")</f>
        <v>0</v>
      </c>
      <c r="R341" s="9">
        <f>IF('[1]Game Input'!$AR341&lt;&gt;"",'[1]Game Input'!$AR341,"")</f>
        <v>0</v>
      </c>
      <c r="S341" s="9">
        <f>IF('[1]Game Input'!$AS341&lt;&gt;"",'[1]Game Input'!$AS341,"")</f>
        <v>0</v>
      </c>
      <c r="T341" s="10" t="str">
        <f>IF('[1]Game Input'!$BA341&lt;&gt;"",'[1]Game Input'!$BA341,"")</f>
        <v>MUSKEGON</v>
      </c>
      <c r="U341" s="9">
        <f>IF('[1]Game Input'!$BU341&lt;&gt;"",'[1]Game Input'!$BU341,"")</f>
        <v>12</v>
      </c>
      <c r="V341" s="9">
        <f>IF('[1]Game Input'!$BV341&lt;&gt;"",'[1]Game Input'!$BV341,"")</f>
        <v>6</v>
      </c>
      <c r="W341" s="9">
        <f>IF('[1]Game Input'!$CB341&lt;&gt;"",'[1]Game Input'!$CB341,"")</f>
        <v>0</v>
      </c>
      <c r="X341" s="9">
        <f>IF('[1]Game Input'!$CC341&lt;&gt;"",'[1]Game Input'!$CC341,"")</f>
        <v>0</v>
      </c>
      <c r="Y341" s="9">
        <f>IF('[1]Game Input'!$CF341&lt;&gt;"",'[1]Game Input'!$CF341,"")</f>
        <v>6</v>
      </c>
      <c r="Z341" s="9">
        <f>IF('[1]Game Input'!$CG341&lt;&gt;"",'[1]Game Input'!$CG341,"")</f>
        <v>0</v>
      </c>
      <c r="AA341" s="9">
        <f>IF('[1]Game Input'!$CH341&lt;&gt;"",'[1]Game Input'!$CH341,"")</f>
        <v>0</v>
      </c>
      <c r="AB341" s="9">
        <f>IF('[1]Game Input'!$CI341&lt;&gt;"",'[1]Game Input'!$CI341,"")</f>
        <v>0</v>
      </c>
      <c r="AC341" s="9">
        <f>IF('[1]Game Input'!$CJ341&lt;&gt;"",'[1]Game Input'!$CJ341,"")</f>
        <v>0</v>
      </c>
      <c r="AD341" s="9">
        <f>IF('[1]Game Input'!$CK341&lt;&gt;"",'[1]Game Input'!$CK341,"")</f>
        <v>0</v>
      </c>
      <c r="AE341" s="8" t="s">
        <v>102</v>
      </c>
      <c r="AF341" s="8"/>
      <c r="AG341" s="8" t="s">
        <v>167</v>
      </c>
      <c r="AH341" s="8" t="s">
        <v>135</v>
      </c>
    </row>
    <row r="342" spans="1:34" x14ac:dyDescent="0.2">
      <c r="A342" s="6">
        <f>IF('[1]Game Input'!$A342&lt;&gt;"",'[1]Game Input'!$A342,"")</f>
        <v>43505</v>
      </c>
      <c r="B342" s="6" t="str">
        <f>IF(A342&gt;$B$1,VLOOKUP(MONTH($A342),DOTWMonth,2,FALSE),"")</f>
        <v>February</v>
      </c>
      <c r="C342" s="10" t="str">
        <f>IF(A342&gt;$B$1,VLOOKUP(WEEKDAY($A342),DOTWMonth,3,FALSE),"")</f>
        <v>Saturday</v>
      </c>
      <c r="D342" s="7">
        <f>IF('[1]Game Input'!$B342&lt;&gt;"",'[1]Game Input'!$B342,"")</f>
        <v>0.83680555555555547</v>
      </c>
      <c r="E342" s="7">
        <f>IF('[1]Game Input'!$C342&lt;&gt;"",'[1]Game Input'!$C342,"")</f>
        <v>0.79513888888888884</v>
      </c>
      <c r="F342" s="8" t="str">
        <f>IF('[1]Game Input'!$D342&lt;&gt;"",'[1]Game Input'!$D342,"")</f>
        <v>Standard</v>
      </c>
      <c r="G342" s="8" t="str">
        <f>IF('[1]Game Input'!$G342&lt;&gt;"",'[1]Game Input'!$G342,"")</f>
        <v>OMA @ DM</v>
      </c>
      <c r="H342" s="8" t="str">
        <f>IF('[1]Game Input'!$H342&lt;&gt;"",'[1]Game Input'!$H342,"")</f>
        <v>Vs. Conference</v>
      </c>
      <c r="I342" s="8" t="str">
        <f>IF('[1]Game Input'!$I342&lt;&gt;"",'[1]Game Input'!$I342,"")</f>
        <v>OMAHA</v>
      </c>
      <c r="J342" s="9">
        <f>IF('[1]Game Input'!$AC342&lt;&gt;"",'[1]Game Input'!$AC342,"")</f>
        <v>8</v>
      </c>
      <c r="K342" s="9">
        <f>IF('[1]Game Input'!$AD342&lt;&gt;"",'[1]Game Input'!$AD342,"")</f>
        <v>4</v>
      </c>
      <c r="L342" s="9">
        <f>IF('[1]Game Input'!$AJ342&lt;&gt;"",'[1]Game Input'!$AJ342,"")</f>
        <v>0</v>
      </c>
      <c r="M342" s="9">
        <f>IF('[1]Game Input'!$AK342&lt;&gt;"",'[1]Game Input'!$AK342,"")</f>
        <v>0</v>
      </c>
      <c r="N342" s="9">
        <f>IF('[1]Game Input'!$AN342&lt;&gt;"",'[1]Game Input'!$AN342,"")</f>
        <v>4</v>
      </c>
      <c r="O342" s="9">
        <f>IF('[1]Game Input'!$AO342&lt;&gt;"",'[1]Game Input'!$AO342,"")</f>
        <v>0</v>
      </c>
      <c r="P342" s="9">
        <f>IF('[1]Game Input'!$AP342&lt;&gt;"",'[1]Game Input'!$AP342,"")</f>
        <v>0</v>
      </c>
      <c r="Q342" s="9">
        <f>IF('[1]Game Input'!$AQ342&lt;&gt;"",'[1]Game Input'!$AQ342,"")</f>
        <v>0</v>
      </c>
      <c r="R342" s="9">
        <f>IF('[1]Game Input'!$AR342&lt;&gt;"",'[1]Game Input'!$AR342,"")</f>
        <v>0</v>
      </c>
      <c r="S342" s="9">
        <f>IF('[1]Game Input'!$AS342&lt;&gt;"",'[1]Game Input'!$AS342,"")</f>
        <v>0</v>
      </c>
      <c r="T342" s="10" t="str">
        <f>IF('[1]Game Input'!$BA342&lt;&gt;"",'[1]Game Input'!$BA342,"")</f>
        <v>DES MOINES</v>
      </c>
      <c r="U342" s="9">
        <f>IF('[1]Game Input'!$BU342&lt;&gt;"",'[1]Game Input'!$BU342,"")</f>
        <v>6</v>
      </c>
      <c r="V342" s="9">
        <f>IF('[1]Game Input'!$BV342&lt;&gt;"",'[1]Game Input'!$BV342,"")</f>
        <v>3</v>
      </c>
      <c r="W342" s="9">
        <f>IF('[1]Game Input'!$CB342&lt;&gt;"",'[1]Game Input'!$CB342,"")</f>
        <v>0</v>
      </c>
      <c r="X342" s="9">
        <f>IF('[1]Game Input'!$CC342&lt;&gt;"",'[1]Game Input'!$CC342,"")</f>
        <v>0</v>
      </c>
      <c r="Y342" s="9">
        <f>IF('[1]Game Input'!$CF342&lt;&gt;"",'[1]Game Input'!$CF342,"")</f>
        <v>3</v>
      </c>
      <c r="Z342" s="9">
        <f>IF('[1]Game Input'!$CG342&lt;&gt;"",'[1]Game Input'!$CG342,"")</f>
        <v>0</v>
      </c>
      <c r="AA342" s="9">
        <f>IF('[1]Game Input'!$CH342&lt;&gt;"",'[1]Game Input'!$CH342,"")</f>
        <v>0</v>
      </c>
      <c r="AB342" s="9">
        <f>IF('[1]Game Input'!$CI342&lt;&gt;"",'[1]Game Input'!$CI342,"")</f>
        <v>0</v>
      </c>
      <c r="AC342" s="9">
        <f>IF('[1]Game Input'!$CJ342&lt;&gt;"",'[1]Game Input'!$CJ342,"")</f>
        <v>0</v>
      </c>
      <c r="AD342" s="9">
        <f>IF('[1]Game Input'!$CK342&lt;&gt;"",'[1]Game Input'!$CK342,"")</f>
        <v>0</v>
      </c>
      <c r="AE342" s="8" t="s">
        <v>95</v>
      </c>
      <c r="AF342" s="8"/>
      <c r="AG342" s="8" t="s">
        <v>134</v>
      </c>
      <c r="AH342" s="8" t="s">
        <v>111</v>
      </c>
    </row>
    <row r="343" spans="1:34" x14ac:dyDescent="0.2">
      <c r="A343" s="6">
        <f>IF('[1]Game Input'!$A343&lt;&gt;"",'[1]Game Input'!$A343,"")</f>
        <v>43505</v>
      </c>
      <c r="B343" s="6" t="str">
        <f>IF(A343&gt;$B$1,VLOOKUP(MONTH($A343),DOTWMonth,2,FALSE),"")</f>
        <v>February</v>
      </c>
      <c r="C343" s="10" t="str">
        <f>IF(A343&gt;$B$1,VLOOKUP(WEEKDAY($A343),DOTWMonth,3,FALSE),"")</f>
        <v>Saturday</v>
      </c>
      <c r="D343" s="7">
        <f>IF('[1]Game Input'!$B343&lt;&gt;"",'[1]Game Input'!$B343,"")</f>
        <v>0.83680555555555547</v>
      </c>
      <c r="E343" s="7">
        <f>IF('[1]Game Input'!$C343&lt;&gt;"",'[1]Game Input'!$C343,"")</f>
        <v>0.79513888888888884</v>
      </c>
      <c r="F343" s="8" t="str">
        <f>IF('[1]Game Input'!$D343&lt;&gt;"",'[1]Game Input'!$D343,"")</f>
        <v>Standard</v>
      </c>
      <c r="G343" s="8" t="str">
        <f>IF('[1]Game Input'!$G343&lt;&gt;"",'[1]Game Input'!$G343,"")</f>
        <v>CR @ DUB</v>
      </c>
      <c r="H343" s="8" t="str">
        <f>IF('[1]Game Input'!$H343&lt;&gt;"",'[1]Game Input'!$H343,"")</f>
        <v>Vs. Conference</v>
      </c>
      <c r="I343" s="8" t="str">
        <f>IF('[1]Game Input'!$I343&lt;&gt;"",'[1]Game Input'!$I343,"")</f>
        <v>CEDAR RAPIDS</v>
      </c>
      <c r="J343" s="9">
        <f>IF('[1]Game Input'!$AC343&lt;&gt;"",'[1]Game Input'!$AC343,"")</f>
        <v>2</v>
      </c>
      <c r="K343" s="9">
        <f>IF('[1]Game Input'!$AD343&lt;&gt;"",'[1]Game Input'!$AD343,"")</f>
        <v>1</v>
      </c>
      <c r="L343" s="9">
        <f>IF('[1]Game Input'!$AJ343&lt;&gt;"",'[1]Game Input'!$AJ343,"")</f>
        <v>0</v>
      </c>
      <c r="M343" s="9">
        <f>IF('[1]Game Input'!$AK343&lt;&gt;"",'[1]Game Input'!$AK343,"")</f>
        <v>0</v>
      </c>
      <c r="N343" s="9">
        <f>IF('[1]Game Input'!$AN343&lt;&gt;"",'[1]Game Input'!$AN343,"")</f>
        <v>1</v>
      </c>
      <c r="O343" s="9">
        <f>IF('[1]Game Input'!$AO343&lt;&gt;"",'[1]Game Input'!$AO343,"")</f>
        <v>0</v>
      </c>
      <c r="P343" s="9">
        <f>IF('[1]Game Input'!$AP343&lt;&gt;"",'[1]Game Input'!$AP343,"")</f>
        <v>0</v>
      </c>
      <c r="Q343" s="9">
        <f>IF('[1]Game Input'!$AQ343&lt;&gt;"",'[1]Game Input'!$AQ343,"")</f>
        <v>0</v>
      </c>
      <c r="R343" s="9">
        <f>IF('[1]Game Input'!$AR343&lt;&gt;"",'[1]Game Input'!$AR343,"")</f>
        <v>0</v>
      </c>
      <c r="S343" s="9">
        <f>IF('[1]Game Input'!$AS343&lt;&gt;"",'[1]Game Input'!$AS343,"")</f>
        <v>0</v>
      </c>
      <c r="T343" s="10" t="str">
        <f>IF('[1]Game Input'!$BA343&lt;&gt;"",'[1]Game Input'!$BA343,"")</f>
        <v>DUBUQUE</v>
      </c>
      <c r="U343" s="9">
        <f>IF('[1]Game Input'!$BU343&lt;&gt;"",'[1]Game Input'!$BU343,"")</f>
        <v>31</v>
      </c>
      <c r="V343" s="9">
        <f>IF('[1]Game Input'!$BV343&lt;&gt;"",'[1]Game Input'!$BV343,"")</f>
        <v>6</v>
      </c>
      <c r="W343" s="9">
        <f>IF('[1]Game Input'!$CB343&lt;&gt;"",'[1]Game Input'!$CB343,"")</f>
        <v>0</v>
      </c>
      <c r="X343" s="9">
        <f>IF('[1]Game Input'!$CC343&lt;&gt;"",'[1]Game Input'!$CC343,"")</f>
        <v>0</v>
      </c>
      <c r="Y343" s="9">
        <f>IF('[1]Game Input'!$CF343&lt;&gt;"",'[1]Game Input'!$CF343,"")</f>
        <v>3</v>
      </c>
      <c r="Z343" s="9">
        <f>IF('[1]Game Input'!$CG343&lt;&gt;"",'[1]Game Input'!$CG343,"")</f>
        <v>1</v>
      </c>
      <c r="AA343" s="9">
        <f>IF('[1]Game Input'!$CH343&lt;&gt;"",'[1]Game Input'!$CH343,"")</f>
        <v>1</v>
      </c>
      <c r="AB343" s="9">
        <f>IF('[1]Game Input'!$CI343&lt;&gt;"",'[1]Game Input'!$CI343,"")</f>
        <v>1</v>
      </c>
      <c r="AC343" s="9">
        <f>IF('[1]Game Input'!$CJ343&lt;&gt;"",'[1]Game Input'!$CJ343,"")</f>
        <v>0</v>
      </c>
      <c r="AD343" s="9">
        <f>IF('[1]Game Input'!$CK343&lt;&gt;"",'[1]Game Input'!$CK343,"")</f>
        <v>0</v>
      </c>
      <c r="AE343" s="8" t="s">
        <v>127</v>
      </c>
      <c r="AF343" s="8"/>
      <c r="AG343" s="8" t="s">
        <v>108</v>
      </c>
      <c r="AH343" s="8" t="s">
        <v>153</v>
      </c>
    </row>
    <row r="344" spans="1:34" x14ac:dyDescent="0.2">
      <c r="A344" s="6">
        <f>IF('[1]Game Input'!$A344&lt;&gt;"",'[1]Game Input'!$A344,"")</f>
        <v>43505</v>
      </c>
      <c r="B344" s="6" t="str">
        <f>IF(A344&gt;$B$1,VLOOKUP(MONTH($A344),DOTWMonth,2,FALSE),"")</f>
        <v>February</v>
      </c>
      <c r="C344" s="10" t="str">
        <f>IF(A344&gt;$B$1,VLOOKUP(WEEKDAY($A344),DOTWMonth,3,FALSE),"")</f>
        <v>Saturday</v>
      </c>
      <c r="D344" s="7">
        <f>IF('[1]Game Input'!$B344&lt;&gt;"",'[1]Game Input'!$B344,"")</f>
        <v>0.83680555555555547</v>
      </c>
      <c r="E344" s="7">
        <f>IF('[1]Game Input'!$C344&lt;&gt;"",'[1]Game Input'!$C344,"")</f>
        <v>0.79513888888888884</v>
      </c>
      <c r="F344" s="8" t="str">
        <f>IF('[1]Game Input'!$D344&lt;&gt;"",'[1]Game Input'!$D344,"")</f>
        <v>Standard</v>
      </c>
      <c r="G344" s="8" t="str">
        <f>IF('[1]Game Input'!$G344&lt;&gt;"",'[1]Game Input'!$G344,"")</f>
        <v>SF @ WAT</v>
      </c>
      <c r="H344" s="8" t="str">
        <f>IF('[1]Game Input'!$H344&lt;&gt;"",'[1]Game Input'!$H344,"")</f>
        <v>Vs. Conference</v>
      </c>
      <c r="I344" s="8" t="str">
        <f>IF('[1]Game Input'!$I344&lt;&gt;"",'[1]Game Input'!$I344,"")</f>
        <v>SIOUX FALLS</v>
      </c>
      <c r="J344" s="9">
        <f>IF('[1]Game Input'!$AC344&lt;&gt;"",'[1]Game Input'!$AC344,"")</f>
        <v>10</v>
      </c>
      <c r="K344" s="9">
        <f>IF('[1]Game Input'!$AD344&lt;&gt;"",'[1]Game Input'!$AD344,"")</f>
        <v>5</v>
      </c>
      <c r="L344" s="9">
        <f>IF('[1]Game Input'!$AJ344&lt;&gt;"",'[1]Game Input'!$AJ344,"")</f>
        <v>0</v>
      </c>
      <c r="M344" s="9">
        <f>IF('[1]Game Input'!$AK344&lt;&gt;"",'[1]Game Input'!$AK344,"")</f>
        <v>0</v>
      </c>
      <c r="N344" s="9">
        <f>IF('[1]Game Input'!$AN344&lt;&gt;"",'[1]Game Input'!$AN344,"")</f>
        <v>5</v>
      </c>
      <c r="O344" s="9">
        <f>IF('[1]Game Input'!$AO344&lt;&gt;"",'[1]Game Input'!$AO344,"")</f>
        <v>0</v>
      </c>
      <c r="P344" s="9">
        <f>IF('[1]Game Input'!$AP344&lt;&gt;"",'[1]Game Input'!$AP344,"")</f>
        <v>0</v>
      </c>
      <c r="Q344" s="9">
        <f>IF('[1]Game Input'!$AQ344&lt;&gt;"",'[1]Game Input'!$AQ344,"")</f>
        <v>0</v>
      </c>
      <c r="R344" s="9">
        <f>IF('[1]Game Input'!$AR344&lt;&gt;"",'[1]Game Input'!$AR344,"")</f>
        <v>0</v>
      </c>
      <c r="S344" s="9">
        <f>IF('[1]Game Input'!$AS344&lt;&gt;"",'[1]Game Input'!$AS344,"")</f>
        <v>0</v>
      </c>
      <c r="T344" s="10" t="str">
        <f>IF('[1]Game Input'!$BA344&lt;&gt;"",'[1]Game Input'!$BA344,"")</f>
        <v>WATERLOO</v>
      </c>
      <c r="U344" s="9">
        <f>IF('[1]Game Input'!$BU344&lt;&gt;"",'[1]Game Input'!$BU344,"")</f>
        <v>10</v>
      </c>
      <c r="V344" s="9">
        <f>IF('[1]Game Input'!$BV344&lt;&gt;"",'[1]Game Input'!$BV344,"")</f>
        <v>5</v>
      </c>
      <c r="W344" s="9">
        <f>IF('[1]Game Input'!$CB344&lt;&gt;"",'[1]Game Input'!$CB344,"")</f>
        <v>0</v>
      </c>
      <c r="X344" s="9">
        <f>IF('[1]Game Input'!$CC344&lt;&gt;"",'[1]Game Input'!$CC344,"")</f>
        <v>0</v>
      </c>
      <c r="Y344" s="9">
        <f>IF('[1]Game Input'!$CF344&lt;&gt;"",'[1]Game Input'!$CF344,"")</f>
        <v>5</v>
      </c>
      <c r="Z344" s="9">
        <f>IF('[1]Game Input'!$CG344&lt;&gt;"",'[1]Game Input'!$CG344,"")</f>
        <v>0</v>
      </c>
      <c r="AA344" s="9">
        <f>IF('[1]Game Input'!$CH344&lt;&gt;"",'[1]Game Input'!$CH344,"")</f>
        <v>0</v>
      </c>
      <c r="AB344" s="9">
        <f>IF('[1]Game Input'!$CI344&lt;&gt;"",'[1]Game Input'!$CI344,"")</f>
        <v>0</v>
      </c>
      <c r="AC344" s="9">
        <f>IF('[1]Game Input'!$CJ344&lt;&gt;"",'[1]Game Input'!$CJ344,"")</f>
        <v>0</v>
      </c>
      <c r="AD344" s="9">
        <f>IF('[1]Game Input'!$CK344&lt;&gt;"",'[1]Game Input'!$CK344,"")</f>
        <v>0</v>
      </c>
      <c r="AE344" s="8"/>
      <c r="AF344" s="8"/>
      <c r="AG344" s="8"/>
      <c r="AH344" s="8"/>
    </row>
    <row r="345" spans="1:34" x14ac:dyDescent="0.2">
      <c r="A345" s="6">
        <f>IF('[1]Game Input'!$A345&lt;&gt;"",'[1]Game Input'!$A345,"")</f>
        <v>43505</v>
      </c>
      <c r="B345" s="6" t="str">
        <f>IF(A345&gt;$B$1,VLOOKUP(MONTH($A345),DOTWMonth,2,FALSE),"")</f>
        <v>February</v>
      </c>
      <c r="C345" s="10" t="str">
        <f>IF(A345&gt;$B$1,VLOOKUP(WEEKDAY($A345),DOTWMonth,3,FALSE),"")</f>
        <v>Saturday</v>
      </c>
      <c r="D345" s="7">
        <f>IF('[1]Game Input'!$B345&lt;&gt;"",'[1]Game Input'!$B345,"")</f>
        <v>0.83680555555555547</v>
      </c>
      <c r="E345" s="7">
        <f>IF('[1]Game Input'!$C345&lt;&gt;"",'[1]Game Input'!$C345,"")</f>
        <v>0.79513888888888884</v>
      </c>
      <c r="F345" s="8" t="str">
        <f>IF('[1]Game Input'!$D345&lt;&gt;"",'[1]Game Input'!$D345,"")</f>
        <v>Standard</v>
      </c>
      <c r="G345" s="8" t="str">
        <f>IF('[1]Game Input'!$G345&lt;&gt;"",'[1]Game Input'!$G345,"")</f>
        <v>MAD @ FGO</v>
      </c>
      <c r="H345" s="8" t="str">
        <f>IF('[1]Game Input'!$H345&lt;&gt;"",'[1]Game Input'!$H345,"")</f>
        <v>Vs. Non-Conference</v>
      </c>
      <c r="I345" s="8" t="str">
        <f>IF('[1]Game Input'!$I345&lt;&gt;"",'[1]Game Input'!$I345,"")</f>
        <v>MADISON</v>
      </c>
      <c r="J345" s="9">
        <f>IF('[1]Game Input'!$AC345&lt;&gt;"",'[1]Game Input'!$AC345,"")</f>
        <v>12</v>
      </c>
      <c r="K345" s="9">
        <f>IF('[1]Game Input'!$AD345&lt;&gt;"",'[1]Game Input'!$AD345,"")</f>
        <v>7</v>
      </c>
      <c r="L345" s="9">
        <f>IF('[1]Game Input'!$AJ345&lt;&gt;"",'[1]Game Input'!$AJ345,"")</f>
        <v>0</v>
      </c>
      <c r="M345" s="9">
        <f>IF('[1]Game Input'!$AK345&lt;&gt;"",'[1]Game Input'!$AK345,"")</f>
        <v>0</v>
      </c>
      <c r="N345" s="9">
        <f>IF('[1]Game Input'!$AN345&lt;&gt;"",'[1]Game Input'!$AN345,"")</f>
        <v>6</v>
      </c>
      <c r="O345" s="9">
        <f>IF('[1]Game Input'!$AO345&lt;&gt;"",'[1]Game Input'!$AO345,"")</f>
        <v>0</v>
      </c>
      <c r="P345" s="9">
        <f>IF('[1]Game Input'!$AP345&lt;&gt;"",'[1]Game Input'!$AP345,"")</f>
        <v>0</v>
      </c>
      <c r="Q345" s="9">
        <f>IF('[1]Game Input'!$AQ345&lt;&gt;"",'[1]Game Input'!$AQ345,"")</f>
        <v>0</v>
      </c>
      <c r="R345" s="9">
        <f>IF('[1]Game Input'!$AR345&lt;&gt;"",'[1]Game Input'!$AR345,"")</f>
        <v>0</v>
      </c>
      <c r="S345" s="9">
        <f>IF('[1]Game Input'!$AS345&lt;&gt;"",'[1]Game Input'!$AS345,"")</f>
        <v>0</v>
      </c>
      <c r="T345" s="10" t="str">
        <f>IF('[1]Game Input'!$BA345&lt;&gt;"",'[1]Game Input'!$BA345,"")</f>
        <v>FARGO</v>
      </c>
      <c r="U345" s="9">
        <f>IF('[1]Game Input'!$BU345&lt;&gt;"",'[1]Game Input'!$BU345,"")</f>
        <v>16</v>
      </c>
      <c r="V345" s="9">
        <f>IF('[1]Game Input'!$BV345&lt;&gt;"",'[1]Game Input'!$BV345,"")</f>
        <v>8</v>
      </c>
      <c r="W345" s="9">
        <f>IF('[1]Game Input'!$CB345&lt;&gt;"",'[1]Game Input'!$CB345,"")</f>
        <v>1</v>
      </c>
      <c r="X345" s="9">
        <f>IF('[1]Game Input'!$CC345&lt;&gt;"",'[1]Game Input'!$CC345,"")</f>
        <v>1</v>
      </c>
      <c r="Y345" s="9">
        <f>IF('[1]Game Input'!$CF345&lt;&gt;"",'[1]Game Input'!$CF345,"")</f>
        <v>8</v>
      </c>
      <c r="Z345" s="9">
        <f>IF('[1]Game Input'!$CG345&lt;&gt;"",'[1]Game Input'!$CG345,"")</f>
        <v>0</v>
      </c>
      <c r="AA345" s="9">
        <f>IF('[1]Game Input'!$CH345&lt;&gt;"",'[1]Game Input'!$CH345,"")</f>
        <v>0</v>
      </c>
      <c r="AB345" s="9">
        <f>IF('[1]Game Input'!$CI345&lt;&gt;"",'[1]Game Input'!$CI345,"")</f>
        <v>0</v>
      </c>
      <c r="AC345" s="9">
        <f>IF('[1]Game Input'!$CJ345&lt;&gt;"",'[1]Game Input'!$CJ345,"")</f>
        <v>0</v>
      </c>
      <c r="AD345" s="9">
        <f>IF('[1]Game Input'!$CK345&lt;&gt;"",'[1]Game Input'!$CK345,"")</f>
        <v>1</v>
      </c>
      <c r="AE345" s="8"/>
      <c r="AF345" s="8"/>
      <c r="AG345" s="8"/>
      <c r="AH345" s="8"/>
    </row>
    <row r="346" spans="1:34" x14ac:dyDescent="0.2">
      <c r="A346" s="6">
        <f>IF('[1]Game Input'!$A346&lt;&gt;"",'[1]Game Input'!$A346,"")</f>
        <v>43505</v>
      </c>
      <c r="B346" s="6" t="str">
        <f>IF(A346&gt;$B$1,VLOOKUP(MONTH($A346),DOTWMonth,2,FALSE),"")</f>
        <v>February</v>
      </c>
      <c r="C346" s="10" t="str">
        <f>IF(A346&gt;$B$1,VLOOKUP(WEEKDAY($A346),DOTWMonth,3,FALSE),"")</f>
        <v>Saturday</v>
      </c>
      <c r="D346" s="7">
        <f>IF('[1]Game Input'!$B346&lt;&gt;"",'[1]Game Input'!$B346,"")</f>
        <v>0.83680555555555547</v>
      </c>
      <c r="E346" s="7">
        <f>IF('[1]Game Input'!$C346&lt;&gt;"",'[1]Game Input'!$C346,"")</f>
        <v>0.79513888888888884</v>
      </c>
      <c r="F346" s="8" t="str">
        <f>IF('[1]Game Input'!$D346&lt;&gt;"",'[1]Game Input'!$D346,"")</f>
        <v>Standard</v>
      </c>
      <c r="G346" s="8" t="str">
        <f>IF('[1]Game Input'!$G346&lt;&gt;"",'[1]Game Input'!$G346,"")</f>
        <v>CHI @ SC</v>
      </c>
      <c r="H346" s="8" t="str">
        <f>IF('[1]Game Input'!$H346&lt;&gt;"",'[1]Game Input'!$H346,"")</f>
        <v>Vs. Non-Conference</v>
      </c>
      <c r="I346" s="8" t="str">
        <f>IF('[1]Game Input'!$I346&lt;&gt;"",'[1]Game Input'!$I346,"")</f>
        <v>CHICAGO</v>
      </c>
      <c r="J346" s="9">
        <f>IF('[1]Game Input'!$AC346&lt;&gt;"",'[1]Game Input'!$AC346,"")</f>
        <v>4</v>
      </c>
      <c r="K346" s="9">
        <f>IF('[1]Game Input'!$AD346&lt;&gt;"",'[1]Game Input'!$AD346,"")</f>
        <v>2</v>
      </c>
      <c r="L346" s="9">
        <f>IF('[1]Game Input'!$AJ346&lt;&gt;"",'[1]Game Input'!$AJ346,"")</f>
        <v>0</v>
      </c>
      <c r="M346" s="9">
        <f>IF('[1]Game Input'!$AK346&lt;&gt;"",'[1]Game Input'!$AK346,"")</f>
        <v>0</v>
      </c>
      <c r="N346" s="9">
        <f>IF('[1]Game Input'!$AN346&lt;&gt;"",'[1]Game Input'!$AN346,"")</f>
        <v>2</v>
      </c>
      <c r="O346" s="9">
        <f>IF('[1]Game Input'!$AO346&lt;&gt;"",'[1]Game Input'!$AO346,"")</f>
        <v>0</v>
      </c>
      <c r="P346" s="9">
        <f>IF('[1]Game Input'!$AP346&lt;&gt;"",'[1]Game Input'!$AP346,"")</f>
        <v>0</v>
      </c>
      <c r="Q346" s="9">
        <f>IF('[1]Game Input'!$AQ346&lt;&gt;"",'[1]Game Input'!$AQ346,"")</f>
        <v>0</v>
      </c>
      <c r="R346" s="9">
        <f>IF('[1]Game Input'!$AR346&lt;&gt;"",'[1]Game Input'!$AR346,"")</f>
        <v>0</v>
      </c>
      <c r="S346" s="9">
        <f>IF('[1]Game Input'!$AS346&lt;&gt;"",'[1]Game Input'!$AS346,"")</f>
        <v>0</v>
      </c>
      <c r="T346" s="10" t="str">
        <f>IF('[1]Game Input'!$BA346&lt;&gt;"",'[1]Game Input'!$BA346,"")</f>
        <v>SIOUX CITY</v>
      </c>
      <c r="U346" s="9">
        <f>IF('[1]Game Input'!$BU346&lt;&gt;"",'[1]Game Input'!$BU346,"")</f>
        <v>6</v>
      </c>
      <c r="V346" s="9">
        <f>IF('[1]Game Input'!$BV346&lt;&gt;"",'[1]Game Input'!$BV346,"")</f>
        <v>3</v>
      </c>
      <c r="W346" s="9">
        <f>IF('[1]Game Input'!$CB346&lt;&gt;"",'[1]Game Input'!$CB346,"")</f>
        <v>0</v>
      </c>
      <c r="X346" s="9">
        <f>IF('[1]Game Input'!$CC346&lt;&gt;"",'[1]Game Input'!$CC346,"")</f>
        <v>0</v>
      </c>
      <c r="Y346" s="9">
        <f>IF('[1]Game Input'!$CF346&lt;&gt;"",'[1]Game Input'!$CF346,"")</f>
        <v>3</v>
      </c>
      <c r="Z346" s="9">
        <f>IF('[1]Game Input'!$CG346&lt;&gt;"",'[1]Game Input'!$CG346,"")</f>
        <v>0</v>
      </c>
      <c r="AA346" s="9">
        <f>IF('[1]Game Input'!$CH346&lt;&gt;"",'[1]Game Input'!$CH346,"")</f>
        <v>0</v>
      </c>
      <c r="AB346" s="9">
        <f>IF('[1]Game Input'!$CI346&lt;&gt;"",'[1]Game Input'!$CI346,"")</f>
        <v>0</v>
      </c>
      <c r="AC346" s="9">
        <f>IF('[1]Game Input'!$CJ346&lt;&gt;"",'[1]Game Input'!$CJ346,"")</f>
        <v>0</v>
      </c>
      <c r="AD346" s="9">
        <f>IF('[1]Game Input'!$CK346&lt;&gt;"",'[1]Game Input'!$CK346,"")</f>
        <v>0</v>
      </c>
      <c r="AE346" s="8"/>
      <c r="AF346" s="8"/>
      <c r="AG346" s="8"/>
      <c r="AH346" s="8"/>
    </row>
    <row r="347" spans="1:34" x14ac:dyDescent="0.2">
      <c r="A347" s="6">
        <f>IF('[1]Game Input'!$A347&lt;&gt;"",'[1]Game Input'!$A347,"")</f>
        <v>43505</v>
      </c>
      <c r="B347" s="6" t="str">
        <f>IF(A347&gt;$B$1,VLOOKUP(MONTH($A347),DOTWMonth,2,FALSE),"")</f>
        <v>February</v>
      </c>
      <c r="C347" s="10" t="str">
        <f>IF(A347&gt;$B$1,VLOOKUP(WEEKDAY($A347),DOTWMonth,3,FALSE),"")</f>
        <v>Saturday</v>
      </c>
      <c r="D347" s="7">
        <f>IF('[1]Game Input'!$B347&lt;&gt;"",'[1]Game Input'!$B347,"")</f>
        <v>0.83680555555555547</v>
      </c>
      <c r="E347" s="7">
        <f>IF('[1]Game Input'!$C347&lt;&gt;"",'[1]Game Input'!$C347,"")</f>
        <v>0.79513888888888884</v>
      </c>
      <c r="F347" s="8" t="str">
        <f>IF('[1]Game Input'!$D347&lt;&gt;"",'[1]Game Input'!$D347,"")</f>
        <v>Standard</v>
      </c>
      <c r="G347" s="8" t="str">
        <f>IF('[1]Game Input'!$G347&lt;&gt;"",'[1]Game Input'!$G347,"")</f>
        <v>GB @ TC</v>
      </c>
      <c r="H347" s="8" t="str">
        <f>IF('[1]Game Input'!$H347&lt;&gt;"",'[1]Game Input'!$H347,"")</f>
        <v>Vs. Non-Conference</v>
      </c>
      <c r="I347" s="8" t="str">
        <f>IF('[1]Game Input'!$I347&lt;&gt;"",'[1]Game Input'!$I347,"")</f>
        <v>GREEN BAY</v>
      </c>
      <c r="J347" s="9">
        <f>IF('[1]Game Input'!$AC347&lt;&gt;"",'[1]Game Input'!$AC347,"")</f>
        <v>25</v>
      </c>
      <c r="K347" s="9">
        <f>IF('[1]Game Input'!$AD347&lt;&gt;"",'[1]Game Input'!$AD347,"")</f>
        <v>7</v>
      </c>
      <c r="L347" s="9">
        <f>IF('[1]Game Input'!$AJ347&lt;&gt;"",'[1]Game Input'!$AJ347,"")</f>
        <v>0</v>
      </c>
      <c r="M347" s="9">
        <f>IF('[1]Game Input'!$AK347&lt;&gt;"",'[1]Game Input'!$AK347,"")</f>
        <v>0</v>
      </c>
      <c r="N347" s="9">
        <f>IF('[1]Game Input'!$AN347&lt;&gt;"",'[1]Game Input'!$AN347,"")</f>
        <v>5</v>
      </c>
      <c r="O347" s="9">
        <f>IF('[1]Game Input'!$AO347&lt;&gt;"",'[1]Game Input'!$AO347,"")</f>
        <v>1</v>
      </c>
      <c r="P347" s="9">
        <f>IF('[1]Game Input'!$AP347&lt;&gt;"",'[1]Game Input'!$AP347,"")</f>
        <v>1</v>
      </c>
      <c r="Q347" s="9">
        <f>IF('[1]Game Input'!$AQ347&lt;&gt;"",'[1]Game Input'!$AQ347,"")</f>
        <v>0</v>
      </c>
      <c r="R347" s="9">
        <f>IF('[1]Game Input'!$AR347&lt;&gt;"",'[1]Game Input'!$AR347,"")</f>
        <v>0</v>
      </c>
      <c r="S347" s="9">
        <f>IF('[1]Game Input'!$AS347&lt;&gt;"",'[1]Game Input'!$AS347,"")</f>
        <v>0</v>
      </c>
      <c r="T347" s="10" t="str">
        <f>IF('[1]Game Input'!$BA347&lt;&gt;"",'[1]Game Input'!$BA347,"")</f>
        <v>TRI-CITY</v>
      </c>
      <c r="U347" s="9">
        <f>IF('[1]Game Input'!$BU347&lt;&gt;"",'[1]Game Input'!$BU347,"")</f>
        <v>25</v>
      </c>
      <c r="V347" s="9">
        <f>IF('[1]Game Input'!$BV347&lt;&gt;"",'[1]Game Input'!$BV347,"")</f>
        <v>7</v>
      </c>
      <c r="W347" s="9">
        <f>IF('[1]Game Input'!$CB347&lt;&gt;"",'[1]Game Input'!$CB347,"")</f>
        <v>0</v>
      </c>
      <c r="X347" s="9">
        <f>IF('[1]Game Input'!$CC347&lt;&gt;"",'[1]Game Input'!$CC347,"")</f>
        <v>0</v>
      </c>
      <c r="Y347" s="9">
        <f>IF('[1]Game Input'!$CF347&lt;&gt;"",'[1]Game Input'!$CF347,"")</f>
        <v>5</v>
      </c>
      <c r="Z347" s="9">
        <f>IF('[1]Game Input'!$CG347&lt;&gt;"",'[1]Game Input'!$CG347,"")</f>
        <v>1</v>
      </c>
      <c r="AA347" s="9">
        <f>IF('[1]Game Input'!$CH347&lt;&gt;"",'[1]Game Input'!$CH347,"")</f>
        <v>1</v>
      </c>
      <c r="AB347" s="9">
        <f>IF('[1]Game Input'!$CI347&lt;&gt;"",'[1]Game Input'!$CI347,"")</f>
        <v>0</v>
      </c>
      <c r="AC347" s="9">
        <f>IF('[1]Game Input'!$CJ347&lt;&gt;"",'[1]Game Input'!$CJ347,"")</f>
        <v>0</v>
      </c>
      <c r="AD347" s="9">
        <f>IF('[1]Game Input'!$CK347&lt;&gt;"",'[1]Game Input'!$CK347,"")</f>
        <v>0</v>
      </c>
      <c r="AE347" s="8"/>
      <c r="AF347" s="8"/>
      <c r="AG347" s="8"/>
      <c r="AH347" s="8"/>
    </row>
    <row r="348" spans="1:34" x14ac:dyDescent="0.2">
      <c r="A348" s="6">
        <f>IF('[1]Game Input'!$A348&lt;&gt;"",'[1]Game Input'!$A348,"")</f>
        <v>43506</v>
      </c>
      <c r="B348" s="6" t="str">
        <f>IF(A348&gt;$B$1,VLOOKUP(MONTH($A348),DOTWMonth,2,FALSE),"")</f>
        <v>February</v>
      </c>
      <c r="C348" s="10" t="str">
        <f>IF(A348&gt;$B$1,VLOOKUP(WEEKDAY($A348),DOTWMonth,3,FALSE),"")</f>
        <v>Sunday</v>
      </c>
      <c r="D348" s="7">
        <f>IF('[1]Game Input'!$B348&lt;&gt;"",'[1]Game Input'!$B348,"")</f>
        <v>0.71180555555555547</v>
      </c>
      <c r="E348" s="7">
        <f>IF('[1]Game Input'!$C348&lt;&gt;"",'[1]Game Input'!$C348,"")</f>
        <v>0.67013888888888884</v>
      </c>
      <c r="F348" s="8" t="str">
        <f>IF('[1]Game Input'!$D348&lt;&gt;"",'[1]Game Input'!$D348,"")</f>
        <v>Standard</v>
      </c>
      <c r="G348" s="8" t="str">
        <f>IF('[1]Game Input'!$G348&lt;&gt;"",'[1]Game Input'!$G348,"")</f>
        <v>DM @ OMA</v>
      </c>
      <c r="H348" s="8" t="str">
        <f>IF('[1]Game Input'!$H348&lt;&gt;"",'[1]Game Input'!$H348,"")</f>
        <v>Vs. Conference</v>
      </c>
      <c r="I348" s="8" t="str">
        <f>IF('[1]Game Input'!$I348&lt;&gt;"",'[1]Game Input'!$I348,"")</f>
        <v>DES MOINES</v>
      </c>
      <c r="J348" s="9">
        <f>IF('[1]Game Input'!$AC348&lt;&gt;"",'[1]Game Input'!$AC348,"")</f>
        <v>4</v>
      </c>
      <c r="K348" s="9">
        <f>IF('[1]Game Input'!$AD348&lt;&gt;"",'[1]Game Input'!$AD348,"")</f>
        <v>2</v>
      </c>
      <c r="L348" s="9">
        <f>IF('[1]Game Input'!$AJ348&lt;&gt;"",'[1]Game Input'!$AJ348,"")</f>
        <v>0</v>
      </c>
      <c r="M348" s="9">
        <f>IF('[1]Game Input'!$AK348&lt;&gt;"",'[1]Game Input'!$AK348,"")</f>
        <v>0</v>
      </c>
      <c r="N348" s="9">
        <f>IF('[1]Game Input'!$AN348&lt;&gt;"",'[1]Game Input'!$AN348,"")</f>
        <v>2</v>
      </c>
      <c r="O348" s="9">
        <f>IF('[1]Game Input'!$AO348&lt;&gt;"",'[1]Game Input'!$AO348,"")</f>
        <v>0</v>
      </c>
      <c r="P348" s="9">
        <f>IF('[1]Game Input'!$AP348&lt;&gt;"",'[1]Game Input'!$AP348,"")</f>
        <v>0</v>
      </c>
      <c r="Q348" s="9">
        <f>IF('[1]Game Input'!$AQ348&lt;&gt;"",'[1]Game Input'!$AQ348,"")</f>
        <v>0</v>
      </c>
      <c r="R348" s="9">
        <f>IF('[1]Game Input'!$AR348&lt;&gt;"",'[1]Game Input'!$AR348,"")</f>
        <v>0</v>
      </c>
      <c r="S348" s="9">
        <f>IF('[1]Game Input'!$AS348&lt;&gt;"",'[1]Game Input'!$AS348,"")</f>
        <v>0</v>
      </c>
      <c r="T348" s="10" t="str">
        <f>IF('[1]Game Input'!$BA348&lt;&gt;"",'[1]Game Input'!$BA348,"")</f>
        <v>OMAHA</v>
      </c>
      <c r="U348" s="9">
        <f>IF('[1]Game Input'!$BU348&lt;&gt;"",'[1]Game Input'!$BU348,"")</f>
        <v>2</v>
      </c>
      <c r="V348" s="9">
        <f>IF('[1]Game Input'!$BV348&lt;&gt;"",'[1]Game Input'!$BV348,"")</f>
        <v>1</v>
      </c>
      <c r="W348" s="9">
        <f>IF('[1]Game Input'!$CB348&lt;&gt;"",'[1]Game Input'!$CB348,"")</f>
        <v>0</v>
      </c>
      <c r="X348" s="9">
        <f>IF('[1]Game Input'!$CC348&lt;&gt;"",'[1]Game Input'!$CC348,"")</f>
        <v>0</v>
      </c>
      <c r="Y348" s="9">
        <f>IF('[1]Game Input'!$CF348&lt;&gt;"",'[1]Game Input'!$CF348,"")</f>
        <v>1</v>
      </c>
      <c r="Z348" s="9">
        <f>IF('[1]Game Input'!$CG348&lt;&gt;"",'[1]Game Input'!$CG348,"")</f>
        <v>0</v>
      </c>
      <c r="AA348" s="9">
        <f>IF('[1]Game Input'!$CH348&lt;&gt;"",'[1]Game Input'!$CH348,"")</f>
        <v>0</v>
      </c>
      <c r="AB348" s="9">
        <f>IF('[1]Game Input'!$CI348&lt;&gt;"",'[1]Game Input'!$CI348,"")</f>
        <v>0</v>
      </c>
      <c r="AC348" s="9">
        <f>IF('[1]Game Input'!$CJ348&lt;&gt;"",'[1]Game Input'!$CJ348,"")</f>
        <v>0</v>
      </c>
      <c r="AD348" s="9">
        <f>IF('[1]Game Input'!$CK348&lt;&gt;"",'[1]Game Input'!$CK348,"")</f>
        <v>0</v>
      </c>
      <c r="AE348" s="8" t="s">
        <v>125</v>
      </c>
      <c r="AF348" s="8" t="s">
        <v>97</v>
      </c>
      <c r="AG348" s="8" t="s">
        <v>130</v>
      </c>
      <c r="AH348" s="8" t="s">
        <v>114</v>
      </c>
    </row>
    <row r="349" spans="1:34" x14ac:dyDescent="0.2">
      <c r="A349" s="6">
        <f>IF('[1]Game Input'!$A349&lt;&gt;"",'[1]Game Input'!$A349,"")</f>
        <v>43507</v>
      </c>
      <c r="B349" s="6" t="str">
        <f>IF(A349&gt;$B$1,VLOOKUP(MONTH($A349),DOTWMonth,2,FALSE),"")</f>
        <v>February</v>
      </c>
      <c r="C349" s="10" t="str">
        <f>IF(A349&gt;$B$1,VLOOKUP(WEEKDAY($A349),DOTWMonth,3,FALSE),"")</f>
        <v>Monday</v>
      </c>
      <c r="D349" s="7">
        <f>IF('[1]Game Input'!$B349&lt;&gt;"",'[1]Game Input'!$B349,"")</f>
        <v>0.83680555555555547</v>
      </c>
      <c r="E349" s="7">
        <f>IF('[1]Game Input'!$C349&lt;&gt;"",'[1]Game Input'!$C349,"")</f>
        <v>0.79513888888888884</v>
      </c>
      <c r="F349" s="8" t="str">
        <f>IF('[1]Game Input'!$D349&lt;&gt;"",'[1]Game Input'!$D349,"")</f>
        <v>Standard</v>
      </c>
      <c r="G349" s="8" t="str">
        <f>IF('[1]Game Input'!$G349&lt;&gt;"",'[1]Game Input'!$G349,"")</f>
        <v>DUB @ MAD</v>
      </c>
      <c r="H349" s="8" t="str">
        <f>IF('[1]Game Input'!$H349&lt;&gt;"",'[1]Game Input'!$H349,"")</f>
        <v>Vs. Conference</v>
      </c>
      <c r="I349" s="8" t="str">
        <f>IF('[1]Game Input'!$I349&lt;&gt;"",'[1]Game Input'!$I349,"")</f>
        <v>DUBUQUE</v>
      </c>
      <c r="J349" s="9">
        <f>IF('[1]Game Input'!$AC349&lt;&gt;"",'[1]Game Input'!$AC349,"")</f>
        <v>8</v>
      </c>
      <c r="K349" s="9">
        <f>IF('[1]Game Input'!$AD349&lt;&gt;"",'[1]Game Input'!$AD349,"")</f>
        <v>4</v>
      </c>
      <c r="L349" s="9">
        <f>IF('[1]Game Input'!$AJ349&lt;&gt;"",'[1]Game Input'!$AJ349,"")</f>
        <v>0</v>
      </c>
      <c r="M349" s="9">
        <f>IF('[1]Game Input'!$AK349&lt;&gt;"",'[1]Game Input'!$AK349,"")</f>
        <v>0</v>
      </c>
      <c r="N349" s="9">
        <f>IF('[1]Game Input'!$AN349&lt;&gt;"",'[1]Game Input'!$AN349,"")</f>
        <v>4</v>
      </c>
      <c r="O349" s="9">
        <f>IF('[1]Game Input'!$AO349&lt;&gt;"",'[1]Game Input'!$AO349,"")</f>
        <v>0</v>
      </c>
      <c r="P349" s="9">
        <f>IF('[1]Game Input'!$AP349&lt;&gt;"",'[1]Game Input'!$AP349,"")</f>
        <v>0</v>
      </c>
      <c r="Q349" s="9">
        <f>IF('[1]Game Input'!$AQ349&lt;&gt;"",'[1]Game Input'!$AQ349,"")</f>
        <v>0</v>
      </c>
      <c r="R349" s="9">
        <f>IF('[1]Game Input'!$AR349&lt;&gt;"",'[1]Game Input'!$AR349,"")</f>
        <v>0</v>
      </c>
      <c r="S349" s="9">
        <f>IF('[1]Game Input'!$AS349&lt;&gt;"",'[1]Game Input'!$AS349,"")</f>
        <v>0</v>
      </c>
      <c r="T349" s="10" t="str">
        <f>IF('[1]Game Input'!$BA349&lt;&gt;"",'[1]Game Input'!$BA349,"")</f>
        <v>MADISON</v>
      </c>
      <c r="U349" s="9">
        <f>IF('[1]Game Input'!$BU349&lt;&gt;"",'[1]Game Input'!$BU349,"")</f>
        <v>8</v>
      </c>
      <c r="V349" s="9">
        <f>IF('[1]Game Input'!$BV349&lt;&gt;"",'[1]Game Input'!$BV349,"")</f>
        <v>4</v>
      </c>
      <c r="W349" s="9">
        <f>IF('[1]Game Input'!$CB349&lt;&gt;"",'[1]Game Input'!$CB349,"")</f>
        <v>0</v>
      </c>
      <c r="X349" s="9">
        <f>IF('[1]Game Input'!$CC349&lt;&gt;"",'[1]Game Input'!$CC349,"")</f>
        <v>0</v>
      </c>
      <c r="Y349" s="9">
        <f>IF('[1]Game Input'!$CF349&lt;&gt;"",'[1]Game Input'!$CF349,"")</f>
        <v>4</v>
      </c>
      <c r="Z349" s="9">
        <f>IF('[1]Game Input'!$CG349&lt;&gt;"",'[1]Game Input'!$CG349,"")</f>
        <v>0</v>
      </c>
      <c r="AA349" s="9">
        <f>IF('[1]Game Input'!$CH349&lt;&gt;"",'[1]Game Input'!$CH349,"")</f>
        <v>0</v>
      </c>
      <c r="AB349" s="9">
        <f>IF('[1]Game Input'!$CI349&lt;&gt;"",'[1]Game Input'!$CI349,"")</f>
        <v>0</v>
      </c>
      <c r="AC349" s="9">
        <f>IF('[1]Game Input'!$CJ349&lt;&gt;"",'[1]Game Input'!$CJ349,"")</f>
        <v>0</v>
      </c>
      <c r="AD349" s="9">
        <f>IF('[1]Game Input'!$CK349&lt;&gt;"",'[1]Game Input'!$CK349,"")</f>
        <v>0</v>
      </c>
      <c r="AE349" s="8"/>
      <c r="AF349" s="8"/>
      <c r="AG349" s="8"/>
      <c r="AH349" s="8"/>
    </row>
    <row r="350" spans="1:34" x14ac:dyDescent="0.2">
      <c r="A350" s="6">
        <f>IF('[1]Game Input'!$A350&lt;&gt;"",'[1]Game Input'!$A350,"")</f>
        <v>43510</v>
      </c>
      <c r="B350" s="6" t="str">
        <f>IF(A350&gt;$B$1,VLOOKUP(MONTH($A350),DOTWMonth,2,FALSE),"")</f>
        <v>February</v>
      </c>
      <c r="C350" s="10" t="str">
        <f>IF(A350&gt;$B$1,VLOOKUP(WEEKDAY($A350),DOTWMonth,3,FALSE),"")</f>
        <v>Thursday</v>
      </c>
      <c r="D350" s="7">
        <f>IF('[1]Game Input'!$B350&lt;&gt;"",'[1]Game Input'!$B350,"")</f>
        <v>0.83680555555555547</v>
      </c>
      <c r="E350" s="7">
        <f>IF('[1]Game Input'!$C350&lt;&gt;"",'[1]Game Input'!$C350,"")</f>
        <v>0.79513888888888884</v>
      </c>
      <c r="F350" s="8" t="str">
        <f>IF('[1]Game Input'!$D350&lt;&gt;"",'[1]Game Input'!$D350,"")</f>
        <v>Standard</v>
      </c>
      <c r="G350" s="8" t="str">
        <f>IF('[1]Game Input'!$G350&lt;&gt;"",'[1]Game Input'!$G350,"")</f>
        <v>SC @ LIN</v>
      </c>
      <c r="H350" s="8" t="str">
        <f>IF('[1]Game Input'!$H350&lt;&gt;"",'[1]Game Input'!$H350,"")</f>
        <v>Vs. Conference</v>
      </c>
      <c r="I350" s="8" t="str">
        <f>IF('[1]Game Input'!$I350&lt;&gt;"",'[1]Game Input'!$I350,"")</f>
        <v>SIOUX CITY</v>
      </c>
      <c r="J350" s="9">
        <f>IF('[1]Game Input'!$AC350&lt;&gt;"",'[1]Game Input'!$AC350,"")</f>
        <v>0</v>
      </c>
      <c r="K350" s="9">
        <f>IF('[1]Game Input'!$AD350&lt;&gt;"",'[1]Game Input'!$AD350,"")</f>
        <v>0</v>
      </c>
      <c r="L350" s="9">
        <f>IF('[1]Game Input'!$AJ350&lt;&gt;"",'[1]Game Input'!$AJ350,"")</f>
        <v>0</v>
      </c>
      <c r="M350" s="9">
        <f>IF('[1]Game Input'!$AK350&lt;&gt;"",'[1]Game Input'!$AK350,"")</f>
        <v>0</v>
      </c>
      <c r="N350" s="9">
        <f>IF('[1]Game Input'!$AN350&lt;&gt;"",'[1]Game Input'!$AN350,"")</f>
        <v>0</v>
      </c>
      <c r="O350" s="9">
        <f>IF('[1]Game Input'!$AO350&lt;&gt;"",'[1]Game Input'!$AO350,"")</f>
        <v>0</v>
      </c>
      <c r="P350" s="9">
        <f>IF('[1]Game Input'!$AP350&lt;&gt;"",'[1]Game Input'!$AP350,"")</f>
        <v>0</v>
      </c>
      <c r="Q350" s="9">
        <f>IF('[1]Game Input'!$AQ350&lt;&gt;"",'[1]Game Input'!$AQ350,"")</f>
        <v>0</v>
      </c>
      <c r="R350" s="9">
        <f>IF('[1]Game Input'!$AR350&lt;&gt;"",'[1]Game Input'!$AR350,"")</f>
        <v>0</v>
      </c>
      <c r="S350" s="9">
        <f>IF('[1]Game Input'!$AS350&lt;&gt;"",'[1]Game Input'!$AS350,"")</f>
        <v>0</v>
      </c>
      <c r="T350" s="10" t="str">
        <f>IF('[1]Game Input'!$BA350&lt;&gt;"",'[1]Game Input'!$BA350,"")</f>
        <v>LINCOLN</v>
      </c>
      <c r="U350" s="9">
        <f>IF('[1]Game Input'!$BU350&lt;&gt;"",'[1]Game Input'!$BU350,"")</f>
        <v>2</v>
      </c>
      <c r="V350" s="9">
        <f>IF('[1]Game Input'!$BV350&lt;&gt;"",'[1]Game Input'!$BV350,"")</f>
        <v>1</v>
      </c>
      <c r="W350" s="9">
        <f>IF('[1]Game Input'!$CB350&lt;&gt;"",'[1]Game Input'!$CB350,"")</f>
        <v>0</v>
      </c>
      <c r="X350" s="9">
        <f>IF('[1]Game Input'!$CC350&lt;&gt;"",'[1]Game Input'!$CC350,"")</f>
        <v>0</v>
      </c>
      <c r="Y350" s="9">
        <f>IF('[1]Game Input'!$CF350&lt;&gt;"",'[1]Game Input'!$CF350,"")</f>
        <v>1</v>
      </c>
      <c r="Z350" s="9">
        <f>IF('[1]Game Input'!$CG350&lt;&gt;"",'[1]Game Input'!$CG350,"")</f>
        <v>0</v>
      </c>
      <c r="AA350" s="9">
        <f>IF('[1]Game Input'!$CH350&lt;&gt;"",'[1]Game Input'!$CH350,"")</f>
        <v>0</v>
      </c>
      <c r="AB350" s="9">
        <f>IF('[1]Game Input'!$CI350&lt;&gt;"",'[1]Game Input'!$CI350,"")</f>
        <v>0</v>
      </c>
      <c r="AC350" s="9">
        <f>IF('[1]Game Input'!$CJ350&lt;&gt;"",'[1]Game Input'!$CJ350,"")</f>
        <v>0</v>
      </c>
      <c r="AD350" s="9">
        <f>IF('[1]Game Input'!$CK350&lt;&gt;"",'[1]Game Input'!$CK350,"")</f>
        <v>0</v>
      </c>
      <c r="AE350" s="8"/>
      <c r="AF350" s="8"/>
      <c r="AG350" s="8"/>
      <c r="AH350" s="8"/>
    </row>
    <row r="351" spans="1:34" x14ac:dyDescent="0.2">
      <c r="A351" s="6">
        <f>IF('[1]Game Input'!$A351&lt;&gt;"",'[1]Game Input'!$A351,"")</f>
        <v>43511</v>
      </c>
      <c r="B351" s="6" t="str">
        <f>IF(A351&gt;$B$1,VLOOKUP(MONTH($A351),DOTWMonth,2,FALSE),"")</f>
        <v>February</v>
      </c>
      <c r="C351" s="10" t="str">
        <f>IF(A351&gt;$B$1,VLOOKUP(WEEKDAY($A351),DOTWMonth,3,FALSE),"")</f>
        <v>Friday</v>
      </c>
      <c r="D351" s="7">
        <f>IF('[1]Game Input'!$B351&lt;&gt;"",'[1]Game Input'!$B351,"")</f>
        <v>0.79166666666666663</v>
      </c>
      <c r="E351" s="7">
        <f>IF('[1]Game Input'!$C351&lt;&gt;"",'[1]Game Input'!$C351,"")</f>
        <v>0.75</v>
      </c>
      <c r="F351" s="8" t="str">
        <f>IF('[1]Game Input'!$D351&lt;&gt;"",'[1]Game Input'!$D351,"")</f>
        <v>Standard</v>
      </c>
      <c r="G351" s="8" t="str">
        <f>IF('[1]Game Input'!$G351&lt;&gt;"",'[1]Game Input'!$G351,"")</f>
        <v>SF @ USA</v>
      </c>
      <c r="H351" s="8" t="str">
        <f>IF('[1]Game Input'!$H351&lt;&gt;"",'[1]Game Input'!$H351,"")</f>
        <v>Vs. Non-Conference</v>
      </c>
      <c r="I351" s="8" t="str">
        <f>IF('[1]Game Input'!$I351&lt;&gt;"",'[1]Game Input'!$I351,"")</f>
        <v>SIOUX FALLS</v>
      </c>
      <c r="J351" s="9">
        <f>IF('[1]Game Input'!$AC351&lt;&gt;"",'[1]Game Input'!$AC351,"")</f>
        <v>10</v>
      </c>
      <c r="K351" s="9">
        <f>IF('[1]Game Input'!$AD351&lt;&gt;"",'[1]Game Input'!$AD351,"")</f>
        <v>5</v>
      </c>
      <c r="L351" s="9">
        <f>IF('[1]Game Input'!$AJ351&lt;&gt;"",'[1]Game Input'!$AJ351,"")</f>
        <v>0</v>
      </c>
      <c r="M351" s="9">
        <f>IF('[1]Game Input'!$AK351&lt;&gt;"",'[1]Game Input'!$AK351,"")</f>
        <v>0</v>
      </c>
      <c r="N351" s="9">
        <f>IF('[1]Game Input'!$AN351&lt;&gt;"",'[1]Game Input'!$AN351,"")</f>
        <v>5</v>
      </c>
      <c r="O351" s="9">
        <f>IF('[1]Game Input'!$AO351&lt;&gt;"",'[1]Game Input'!$AO351,"")</f>
        <v>0</v>
      </c>
      <c r="P351" s="9">
        <f>IF('[1]Game Input'!$AP351&lt;&gt;"",'[1]Game Input'!$AP351,"")</f>
        <v>0</v>
      </c>
      <c r="Q351" s="9">
        <f>IF('[1]Game Input'!$AQ351&lt;&gt;"",'[1]Game Input'!$AQ351,"")</f>
        <v>0</v>
      </c>
      <c r="R351" s="9">
        <f>IF('[1]Game Input'!$AR351&lt;&gt;"",'[1]Game Input'!$AR351,"")</f>
        <v>0</v>
      </c>
      <c r="S351" s="9">
        <f>IF('[1]Game Input'!$AS351&lt;&gt;"",'[1]Game Input'!$AS351,"")</f>
        <v>0</v>
      </c>
      <c r="T351" s="10" t="str">
        <f>IF('[1]Game Input'!$BA351&lt;&gt;"",'[1]Game Input'!$BA351,"")</f>
        <v>TEAM USA</v>
      </c>
      <c r="U351" s="9">
        <f>IF('[1]Game Input'!$BU351&lt;&gt;"",'[1]Game Input'!$BU351,"")</f>
        <v>14</v>
      </c>
      <c r="V351" s="9">
        <f>IF('[1]Game Input'!$BV351&lt;&gt;"",'[1]Game Input'!$BV351,"")</f>
        <v>7</v>
      </c>
      <c r="W351" s="9">
        <f>IF('[1]Game Input'!$CB351&lt;&gt;"",'[1]Game Input'!$CB351,"")</f>
        <v>0</v>
      </c>
      <c r="X351" s="9">
        <f>IF('[1]Game Input'!$CC351&lt;&gt;"",'[1]Game Input'!$CC351,"")</f>
        <v>0</v>
      </c>
      <c r="Y351" s="9">
        <f>IF('[1]Game Input'!$CF351&lt;&gt;"",'[1]Game Input'!$CF351,"")</f>
        <v>7</v>
      </c>
      <c r="Z351" s="9">
        <f>IF('[1]Game Input'!$CG351&lt;&gt;"",'[1]Game Input'!$CG351,"")</f>
        <v>0</v>
      </c>
      <c r="AA351" s="9">
        <f>IF('[1]Game Input'!$CH351&lt;&gt;"",'[1]Game Input'!$CH351,"")</f>
        <v>0</v>
      </c>
      <c r="AB351" s="9">
        <f>IF('[1]Game Input'!$CI351&lt;&gt;"",'[1]Game Input'!$CI351,"")</f>
        <v>0</v>
      </c>
      <c r="AC351" s="9">
        <f>IF('[1]Game Input'!$CJ351&lt;&gt;"",'[1]Game Input'!$CJ351,"")</f>
        <v>0</v>
      </c>
      <c r="AD351" s="9">
        <f>IF('[1]Game Input'!$CK351&lt;&gt;"",'[1]Game Input'!$CK351,"")</f>
        <v>0</v>
      </c>
      <c r="AE351" s="8"/>
      <c r="AF351" s="8"/>
      <c r="AG351" s="8"/>
      <c r="AH351" s="8"/>
    </row>
    <row r="352" spans="1:34" x14ac:dyDescent="0.2">
      <c r="A352" s="6">
        <f>IF('[1]Game Input'!$A352&lt;&gt;"",'[1]Game Input'!$A352,"")</f>
        <v>43511</v>
      </c>
      <c r="B352" s="6" t="str">
        <f>IF(A352&gt;$B$1,VLOOKUP(MONTH($A352),DOTWMonth,2,FALSE),"")</f>
        <v>February</v>
      </c>
      <c r="C352" s="10" t="str">
        <f>IF(A352&gt;$B$1,VLOOKUP(WEEKDAY($A352),DOTWMonth,3,FALSE),"")</f>
        <v>Friday</v>
      </c>
      <c r="D352" s="7">
        <f>IF('[1]Game Input'!$B352&lt;&gt;"",'[1]Game Input'!$B352,"")</f>
        <v>0.79513888888888884</v>
      </c>
      <c r="E352" s="7">
        <f>IF('[1]Game Input'!$C352&lt;&gt;"",'[1]Game Input'!$C352,"")</f>
        <v>0.75347222222222221</v>
      </c>
      <c r="F352" s="8" t="str">
        <f>IF('[1]Game Input'!$D352&lt;&gt;"",'[1]Game Input'!$D352,"")</f>
        <v>Standard</v>
      </c>
      <c r="G352" s="8" t="str">
        <f>IF('[1]Game Input'!$G352&lt;&gt;"",'[1]Game Input'!$G352,"")</f>
        <v>USA @ YNG</v>
      </c>
      <c r="H352" s="8" t="str">
        <f>IF('[1]Game Input'!$H352&lt;&gt;"",'[1]Game Input'!$H352,"")</f>
        <v>Vs. Conference</v>
      </c>
      <c r="I352" s="8" t="str">
        <f>IF('[1]Game Input'!$I352&lt;&gt;"",'[1]Game Input'!$I352,"")</f>
        <v>TEAM USA</v>
      </c>
      <c r="J352" s="9">
        <f>IF('[1]Game Input'!$AC352&lt;&gt;"",'[1]Game Input'!$AC352,"")</f>
        <v>2</v>
      </c>
      <c r="K352" s="9">
        <f>IF('[1]Game Input'!$AD352&lt;&gt;"",'[1]Game Input'!$AD352,"")</f>
        <v>1</v>
      </c>
      <c r="L352" s="9">
        <f>IF('[1]Game Input'!$AJ352&lt;&gt;"",'[1]Game Input'!$AJ352,"")</f>
        <v>0</v>
      </c>
      <c r="M352" s="9">
        <f>IF('[1]Game Input'!$AK352&lt;&gt;"",'[1]Game Input'!$AK352,"")</f>
        <v>0</v>
      </c>
      <c r="N352" s="9">
        <f>IF('[1]Game Input'!$AN352&lt;&gt;"",'[1]Game Input'!$AN352,"")</f>
        <v>1</v>
      </c>
      <c r="O352" s="9">
        <f>IF('[1]Game Input'!$AO352&lt;&gt;"",'[1]Game Input'!$AO352,"")</f>
        <v>0</v>
      </c>
      <c r="P352" s="9">
        <f>IF('[1]Game Input'!$AP352&lt;&gt;"",'[1]Game Input'!$AP352,"")</f>
        <v>0</v>
      </c>
      <c r="Q352" s="9">
        <f>IF('[1]Game Input'!$AQ352&lt;&gt;"",'[1]Game Input'!$AQ352,"")</f>
        <v>0</v>
      </c>
      <c r="R352" s="9">
        <f>IF('[1]Game Input'!$AR352&lt;&gt;"",'[1]Game Input'!$AR352,"")</f>
        <v>0</v>
      </c>
      <c r="S352" s="9">
        <f>IF('[1]Game Input'!$AS352&lt;&gt;"",'[1]Game Input'!$AS352,"")</f>
        <v>0</v>
      </c>
      <c r="T352" s="10" t="str">
        <f>IF('[1]Game Input'!$BA352&lt;&gt;"",'[1]Game Input'!$BA352,"")</f>
        <v>YOUNGSTOWN</v>
      </c>
      <c r="U352" s="9">
        <f>IF('[1]Game Input'!$BU352&lt;&gt;"",'[1]Game Input'!$BU352,"")</f>
        <v>0</v>
      </c>
      <c r="V352" s="9">
        <f>IF('[1]Game Input'!$BV352&lt;&gt;"",'[1]Game Input'!$BV352,"")</f>
        <v>0</v>
      </c>
      <c r="W352" s="9">
        <f>IF('[1]Game Input'!$CB352&lt;&gt;"",'[1]Game Input'!$CB352,"")</f>
        <v>0</v>
      </c>
      <c r="X352" s="9">
        <f>IF('[1]Game Input'!$CC352&lt;&gt;"",'[1]Game Input'!$CC352,"")</f>
        <v>0</v>
      </c>
      <c r="Y352" s="9">
        <f>IF('[1]Game Input'!$CF352&lt;&gt;"",'[1]Game Input'!$CF352,"")</f>
        <v>0</v>
      </c>
      <c r="Z352" s="9">
        <f>IF('[1]Game Input'!$CG352&lt;&gt;"",'[1]Game Input'!$CG352,"")</f>
        <v>0</v>
      </c>
      <c r="AA352" s="9">
        <f>IF('[1]Game Input'!$CH352&lt;&gt;"",'[1]Game Input'!$CH352,"")</f>
        <v>0</v>
      </c>
      <c r="AB352" s="9">
        <f>IF('[1]Game Input'!$CI352&lt;&gt;"",'[1]Game Input'!$CI352,"")</f>
        <v>0</v>
      </c>
      <c r="AC352" s="9">
        <f>IF('[1]Game Input'!$CJ352&lt;&gt;"",'[1]Game Input'!$CJ352,"")</f>
        <v>0</v>
      </c>
      <c r="AD352" s="9">
        <f>IF('[1]Game Input'!$CK352&lt;&gt;"",'[1]Game Input'!$CK352,"")</f>
        <v>0</v>
      </c>
      <c r="AE352" s="8"/>
      <c r="AF352" s="8"/>
      <c r="AG352" s="8"/>
      <c r="AH352" s="8"/>
    </row>
    <row r="353" spans="1:34" x14ac:dyDescent="0.2">
      <c r="A353" s="6">
        <f>IF('[1]Game Input'!$A353&lt;&gt;"",'[1]Game Input'!$A353,"")</f>
        <v>43511</v>
      </c>
      <c r="B353" s="6" t="str">
        <f>IF(A353&gt;$B$1,VLOOKUP(MONTH($A353),DOTWMonth,2,FALSE),"")</f>
        <v>February</v>
      </c>
      <c r="C353" s="10" t="str">
        <f>IF(A353&gt;$B$1,VLOOKUP(WEEKDAY($A353),DOTWMonth,3,FALSE),"")</f>
        <v>Friday</v>
      </c>
      <c r="D353" s="7">
        <f>IF('[1]Game Input'!$B353&lt;&gt;"",'[1]Game Input'!$B353,"")</f>
        <v>0.83680555555555547</v>
      </c>
      <c r="E353" s="7">
        <f>IF('[1]Game Input'!$C353&lt;&gt;"",'[1]Game Input'!$C353,"")</f>
        <v>0.79513888888888884</v>
      </c>
      <c r="F353" s="8" t="str">
        <f>IF('[1]Game Input'!$D353&lt;&gt;"",'[1]Game Input'!$D353,"")</f>
        <v>Standard</v>
      </c>
      <c r="G353" s="8" t="str">
        <f>IF('[1]Game Input'!$G353&lt;&gt;"",'[1]Game Input'!$G353,"")</f>
        <v>MUS @ CHI</v>
      </c>
      <c r="H353" s="8" t="str">
        <f>IF('[1]Game Input'!$H353&lt;&gt;"",'[1]Game Input'!$H353,"")</f>
        <v>Vs. Conference</v>
      </c>
      <c r="I353" s="8" t="str">
        <f>IF('[1]Game Input'!$I353&lt;&gt;"",'[1]Game Input'!$I353,"")</f>
        <v>MUSKEGON</v>
      </c>
      <c r="J353" s="9">
        <f>IF('[1]Game Input'!$AC353&lt;&gt;"",'[1]Game Input'!$AC353,"")</f>
        <v>29</v>
      </c>
      <c r="K353" s="9">
        <f>IF('[1]Game Input'!$AD353&lt;&gt;"",'[1]Game Input'!$AD353,"")</f>
        <v>9</v>
      </c>
      <c r="L353" s="9">
        <f>IF('[1]Game Input'!$AJ353&lt;&gt;"",'[1]Game Input'!$AJ353,"")</f>
        <v>0</v>
      </c>
      <c r="M353" s="9">
        <f>IF('[1]Game Input'!$AK353&lt;&gt;"",'[1]Game Input'!$AK353,"")</f>
        <v>0</v>
      </c>
      <c r="N353" s="9">
        <f>IF('[1]Game Input'!$AN353&lt;&gt;"",'[1]Game Input'!$AN353,"")</f>
        <v>7</v>
      </c>
      <c r="O353" s="9">
        <f>IF('[1]Game Input'!$AO353&lt;&gt;"",'[1]Game Input'!$AO353,"")</f>
        <v>1</v>
      </c>
      <c r="P353" s="9">
        <f>IF('[1]Game Input'!$AP353&lt;&gt;"",'[1]Game Input'!$AP353,"")</f>
        <v>0</v>
      </c>
      <c r="Q353" s="9">
        <f>IF('[1]Game Input'!$AQ353&lt;&gt;"",'[1]Game Input'!$AQ353,"")</f>
        <v>1</v>
      </c>
      <c r="R353" s="9">
        <f>IF('[1]Game Input'!$AR353&lt;&gt;"",'[1]Game Input'!$AR353,"")</f>
        <v>0</v>
      </c>
      <c r="S353" s="9">
        <f>IF('[1]Game Input'!$AS353&lt;&gt;"",'[1]Game Input'!$AS353,"")</f>
        <v>0</v>
      </c>
      <c r="T353" s="10" t="str">
        <f>IF('[1]Game Input'!$BA353&lt;&gt;"",'[1]Game Input'!$BA353,"")</f>
        <v>CHICAGO</v>
      </c>
      <c r="U353" s="9">
        <f>IF('[1]Game Input'!$BU353&lt;&gt;"",'[1]Game Input'!$BU353,"")</f>
        <v>14</v>
      </c>
      <c r="V353" s="9">
        <f>IF('[1]Game Input'!$BV353&lt;&gt;"",'[1]Game Input'!$BV353,"")</f>
        <v>7</v>
      </c>
      <c r="W353" s="9">
        <f>IF('[1]Game Input'!$CB353&lt;&gt;"",'[1]Game Input'!$CB353,"")</f>
        <v>0</v>
      </c>
      <c r="X353" s="9">
        <f>IF('[1]Game Input'!$CC353&lt;&gt;"",'[1]Game Input'!$CC353,"")</f>
        <v>0</v>
      </c>
      <c r="Y353" s="9">
        <f>IF('[1]Game Input'!$CF353&lt;&gt;"",'[1]Game Input'!$CF353,"")</f>
        <v>7</v>
      </c>
      <c r="Z353" s="9">
        <f>IF('[1]Game Input'!$CG353&lt;&gt;"",'[1]Game Input'!$CG353,"")</f>
        <v>0</v>
      </c>
      <c r="AA353" s="9">
        <f>IF('[1]Game Input'!$CH353&lt;&gt;"",'[1]Game Input'!$CH353,"")</f>
        <v>0</v>
      </c>
      <c r="AB353" s="9">
        <f>IF('[1]Game Input'!$CI353&lt;&gt;"",'[1]Game Input'!$CI353,"")</f>
        <v>0</v>
      </c>
      <c r="AC353" s="9">
        <f>IF('[1]Game Input'!$CJ353&lt;&gt;"",'[1]Game Input'!$CJ353,"")</f>
        <v>0</v>
      </c>
      <c r="AD353" s="9">
        <f>IF('[1]Game Input'!$CK353&lt;&gt;"",'[1]Game Input'!$CK353,"")</f>
        <v>0</v>
      </c>
      <c r="AE353" s="8"/>
      <c r="AF353" s="8"/>
      <c r="AG353" s="8"/>
      <c r="AH353" s="8"/>
    </row>
    <row r="354" spans="1:34" x14ac:dyDescent="0.2">
      <c r="A354" s="6">
        <f>IF('[1]Game Input'!$A354&lt;&gt;"",'[1]Game Input'!$A354,"")</f>
        <v>43511</v>
      </c>
      <c r="B354" s="6" t="str">
        <f>IF(A354&gt;$B$1,VLOOKUP(MONTH($A354),DOTWMonth,2,FALSE),"")</f>
        <v>February</v>
      </c>
      <c r="C354" s="10" t="str">
        <f>IF(A354&gt;$B$1,VLOOKUP(WEEKDAY($A354),DOTWMonth,3,FALSE),"")</f>
        <v>Friday</v>
      </c>
      <c r="D354" s="7">
        <f>IF('[1]Game Input'!$B354&lt;&gt;"",'[1]Game Input'!$B354,"")</f>
        <v>0.83680555555555547</v>
      </c>
      <c r="E354" s="7">
        <f>IF('[1]Game Input'!$C354&lt;&gt;"",'[1]Game Input'!$C354,"")</f>
        <v>0.79513888888888884</v>
      </c>
      <c r="F354" s="8" t="str">
        <f>IF('[1]Game Input'!$D354&lt;&gt;"",'[1]Game Input'!$D354,"")</f>
        <v>Standard</v>
      </c>
      <c r="G354" s="8" t="str">
        <f>IF('[1]Game Input'!$G354&lt;&gt;"",'[1]Game Input'!$G354,"")</f>
        <v>WAT @ DM</v>
      </c>
      <c r="H354" s="8" t="str">
        <f>IF('[1]Game Input'!$H354&lt;&gt;"",'[1]Game Input'!$H354,"")</f>
        <v>Vs. Conference</v>
      </c>
      <c r="I354" s="8" t="str">
        <f>IF('[1]Game Input'!$I354&lt;&gt;"",'[1]Game Input'!$I354,"")</f>
        <v>WATERLOO</v>
      </c>
      <c r="J354" s="9">
        <f>IF('[1]Game Input'!$AC354&lt;&gt;"",'[1]Game Input'!$AC354,"")</f>
        <v>24</v>
      </c>
      <c r="K354" s="9">
        <f>IF('[1]Game Input'!$AD354&lt;&gt;"",'[1]Game Input'!$AD354,"")</f>
        <v>8</v>
      </c>
      <c r="L354" s="9">
        <f>IF('[1]Game Input'!$AJ354&lt;&gt;"",'[1]Game Input'!$AJ354,"")</f>
        <v>0</v>
      </c>
      <c r="M354" s="9">
        <f>IF('[1]Game Input'!$AK354&lt;&gt;"",'[1]Game Input'!$AK354,"")</f>
        <v>0</v>
      </c>
      <c r="N354" s="9">
        <f>IF('[1]Game Input'!$AN354&lt;&gt;"",'[1]Game Input'!$AN354,"")</f>
        <v>7</v>
      </c>
      <c r="O354" s="9">
        <f>IF('[1]Game Input'!$AO354&lt;&gt;"",'[1]Game Input'!$AO354,"")</f>
        <v>0</v>
      </c>
      <c r="P354" s="9">
        <f>IF('[1]Game Input'!$AP354&lt;&gt;"",'[1]Game Input'!$AP354,"")</f>
        <v>1</v>
      </c>
      <c r="Q354" s="9">
        <f>IF('[1]Game Input'!$AQ354&lt;&gt;"",'[1]Game Input'!$AQ354,"")</f>
        <v>0</v>
      </c>
      <c r="R354" s="9">
        <f>IF('[1]Game Input'!$AR354&lt;&gt;"",'[1]Game Input'!$AR354,"")</f>
        <v>0</v>
      </c>
      <c r="S354" s="9">
        <f>IF('[1]Game Input'!$AS354&lt;&gt;"",'[1]Game Input'!$AS354,"")</f>
        <v>0</v>
      </c>
      <c r="T354" s="10" t="str">
        <f>IF('[1]Game Input'!$BA354&lt;&gt;"",'[1]Game Input'!$BA354,"")</f>
        <v>DES MOINES</v>
      </c>
      <c r="U354" s="9">
        <f>IF('[1]Game Input'!$BU354&lt;&gt;"",'[1]Game Input'!$BU354,"")</f>
        <v>12</v>
      </c>
      <c r="V354" s="9">
        <f>IF('[1]Game Input'!$BV354&lt;&gt;"",'[1]Game Input'!$BV354,"")</f>
        <v>6</v>
      </c>
      <c r="W354" s="9">
        <f>IF('[1]Game Input'!$CB354&lt;&gt;"",'[1]Game Input'!$CB354,"")</f>
        <v>0</v>
      </c>
      <c r="X354" s="9">
        <f>IF('[1]Game Input'!$CC354&lt;&gt;"",'[1]Game Input'!$CC354,"")</f>
        <v>0</v>
      </c>
      <c r="Y354" s="9">
        <f>IF('[1]Game Input'!$CF354&lt;&gt;"",'[1]Game Input'!$CF354,"")</f>
        <v>6</v>
      </c>
      <c r="Z354" s="9">
        <f>IF('[1]Game Input'!$CG354&lt;&gt;"",'[1]Game Input'!$CG354,"")</f>
        <v>0</v>
      </c>
      <c r="AA354" s="9">
        <f>IF('[1]Game Input'!$CH354&lt;&gt;"",'[1]Game Input'!$CH354,"")</f>
        <v>0</v>
      </c>
      <c r="AB354" s="9">
        <f>IF('[1]Game Input'!$CI354&lt;&gt;"",'[1]Game Input'!$CI354,"")</f>
        <v>0</v>
      </c>
      <c r="AC354" s="9">
        <f>IF('[1]Game Input'!$CJ354&lt;&gt;"",'[1]Game Input'!$CJ354,"")</f>
        <v>0</v>
      </c>
      <c r="AD354" s="9">
        <f>IF('[1]Game Input'!$CK354&lt;&gt;"",'[1]Game Input'!$CK354,"")</f>
        <v>0</v>
      </c>
      <c r="AE354" s="8"/>
      <c r="AF354" s="8"/>
      <c r="AG354" s="8" t="s">
        <v>118</v>
      </c>
      <c r="AH354" s="8" t="s">
        <v>108</v>
      </c>
    </row>
    <row r="355" spans="1:34" x14ac:dyDescent="0.2">
      <c r="A355" s="6">
        <f>IF('[1]Game Input'!$A355&lt;&gt;"",'[1]Game Input'!$A355,"")</f>
        <v>43511</v>
      </c>
      <c r="B355" s="6" t="str">
        <f>IF(A355&gt;$B$1,VLOOKUP(MONTH($A355),DOTWMonth,2,FALSE),"")</f>
        <v>February</v>
      </c>
      <c r="C355" s="10" t="str">
        <f>IF(A355&gt;$B$1,VLOOKUP(WEEKDAY($A355),DOTWMonth,3,FALSE),"")</f>
        <v>Friday</v>
      </c>
      <c r="D355" s="7">
        <f>IF('[1]Game Input'!$B355&lt;&gt;"",'[1]Game Input'!$B355,"")</f>
        <v>0.83680555555555547</v>
      </c>
      <c r="E355" s="7">
        <f>IF('[1]Game Input'!$C355&lt;&gt;"",'[1]Game Input'!$C355,"")</f>
        <v>0.79513888888888884</v>
      </c>
      <c r="F355" s="8" t="str">
        <f>IF('[1]Game Input'!$D355&lt;&gt;"",'[1]Game Input'!$D355,"")</f>
        <v>Standard</v>
      </c>
      <c r="G355" s="8" t="str">
        <f>IF('[1]Game Input'!$G355&lt;&gt;"",'[1]Game Input'!$G355,"")</f>
        <v>GB @ DUB</v>
      </c>
      <c r="H355" s="8" t="str">
        <f>IF('[1]Game Input'!$H355&lt;&gt;"",'[1]Game Input'!$H355,"")</f>
        <v>Vs. Conference</v>
      </c>
      <c r="I355" s="8" t="str">
        <f>IF('[1]Game Input'!$I355&lt;&gt;"",'[1]Game Input'!$I355,"")</f>
        <v>GREEN BAY</v>
      </c>
      <c r="J355" s="9">
        <f>IF('[1]Game Input'!$AC355&lt;&gt;"",'[1]Game Input'!$AC355,"")</f>
        <v>4</v>
      </c>
      <c r="K355" s="9">
        <f>IF('[1]Game Input'!$AD355&lt;&gt;"",'[1]Game Input'!$AD355,"")</f>
        <v>2</v>
      </c>
      <c r="L355" s="9">
        <f>IF('[1]Game Input'!$AJ355&lt;&gt;"",'[1]Game Input'!$AJ355,"")</f>
        <v>0</v>
      </c>
      <c r="M355" s="9">
        <f>IF('[1]Game Input'!$AK355&lt;&gt;"",'[1]Game Input'!$AK355,"")</f>
        <v>0</v>
      </c>
      <c r="N355" s="9">
        <f>IF('[1]Game Input'!$AN355&lt;&gt;"",'[1]Game Input'!$AN355,"")</f>
        <v>2</v>
      </c>
      <c r="O355" s="9">
        <f>IF('[1]Game Input'!$AO355&lt;&gt;"",'[1]Game Input'!$AO355,"")</f>
        <v>0</v>
      </c>
      <c r="P355" s="9">
        <f>IF('[1]Game Input'!$AP355&lt;&gt;"",'[1]Game Input'!$AP355,"")</f>
        <v>0</v>
      </c>
      <c r="Q355" s="9">
        <f>IF('[1]Game Input'!$AQ355&lt;&gt;"",'[1]Game Input'!$AQ355,"")</f>
        <v>0</v>
      </c>
      <c r="R355" s="9">
        <f>IF('[1]Game Input'!$AR355&lt;&gt;"",'[1]Game Input'!$AR355,"")</f>
        <v>0</v>
      </c>
      <c r="S355" s="9">
        <f>IF('[1]Game Input'!$AS355&lt;&gt;"",'[1]Game Input'!$AS355,"")</f>
        <v>0</v>
      </c>
      <c r="T355" s="10" t="str">
        <f>IF('[1]Game Input'!$BA355&lt;&gt;"",'[1]Game Input'!$BA355,"")</f>
        <v>DUBUQUE</v>
      </c>
      <c r="U355" s="9">
        <f>IF('[1]Game Input'!$BU355&lt;&gt;"",'[1]Game Input'!$BU355,"")</f>
        <v>2</v>
      </c>
      <c r="V355" s="9">
        <f>IF('[1]Game Input'!$BV355&lt;&gt;"",'[1]Game Input'!$BV355,"")</f>
        <v>1</v>
      </c>
      <c r="W355" s="9">
        <f>IF('[1]Game Input'!$CB355&lt;&gt;"",'[1]Game Input'!$CB355,"")</f>
        <v>0</v>
      </c>
      <c r="X355" s="9">
        <f>IF('[1]Game Input'!$CC355&lt;&gt;"",'[1]Game Input'!$CC355,"")</f>
        <v>0</v>
      </c>
      <c r="Y355" s="9">
        <f>IF('[1]Game Input'!$CF355&lt;&gt;"",'[1]Game Input'!$CF355,"")</f>
        <v>1</v>
      </c>
      <c r="Z355" s="9">
        <f>IF('[1]Game Input'!$CG355&lt;&gt;"",'[1]Game Input'!$CG355,"")</f>
        <v>0</v>
      </c>
      <c r="AA355" s="9">
        <f>IF('[1]Game Input'!$CH355&lt;&gt;"",'[1]Game Input'!$CH355,"")</f>
        <v>0</v>
      </c>
      <c r="AB355" s="9">
        <f>IF('[1]Game Input'!$CI355&lt;&gt;"",'[1]Game Input'!$CI355,"")</f>
        <v>0</v>
      </c>
      <c r="AC355" s="9">
        <f>IF('[1]Game Input'!$CJ355&lt;&gt;"",'[1]Game Input'!$CJ355,"")</f>
        <v>0</v>
      </c>
      <c r="AD355" s="9">
        <f>IF('[1]Game Input'!$CK355&lt;&gt;"",'[1]Game Input'!$CK355,"")</f>
        <v>0</v>
      </c>
      <c r="AE355" s="8"/>
      <c r="AF355" s="8"/>
      <c r="AG355" s="8"/>
      <c r="AH355" s="8"/>
    </row>
    <row r="356" spans="1:34" x14ac:dyDescent="0.2">
      <c r="A356" s="6">
        <f>IF('[1]Game Input'!$A356&lt;&gt;"",'[1]Game Input'!$A356,"")</f>
        <v>43511</v>
      </c>
      <c r="B356" s="6" t="str">
        <f>IF(A356&gt;$B$1,VLOOKUP(MONTH($A356),DOTWMonth,2,FALSE),"")</f>
        <v>February</v>
      </c>
      <c r="C356" s="10" t="str">
        <f>IF(A356&gt;$B$1,VLOOKUP(WEEKDAY($A356),DOTWMonth,3,FALSE),"")</f>
        <v>Friday</v>
      </c>
      <c r="D356" s="7">
        <f>IF('[1]Game Input'!$B356&lt;&gt;"",'[1]Game Input'!$B356,"")</f>
        <v>0.83680555555555547</v>
      </c>
      <c r="E356" s="7">
        <f>IF('[1]Game Input'!$C356&lt;&gt;"",'[1]Game Input'!$C356,"")</f>
        <v>0.79513888888888884</v>
      </c>
      <c r="F356" s="8" t="str">
        <f>IF('[1]Game Input'!$D356&lt;&gt;"",'[1]Game Input'!$D356,"")</f>
        <v>Standard</v>
      </c>
      <c r="G356" s="8" t="str">
        <f>IF('[1]Game Input'!$G356&lt;&gt;"",'[1]Game Input'!$G356,"")</f>
        <v>CR @ MAD</v>
      </c>
      <c r="H356" s="8" t="str">
        <f>IF('[1]Game Input'!$H356&lt;&gt;"",'[1]Game Input'!$H356,"")</f>
        <v>Vs. Conference</v>
      </c>
      <c r="I356" s="8" t="str">
        <f>IF('[1]Game Input'!$I356&lt;&gt;"",'[1]Game Input'!$I356,"")</f>
        <v>CEDAR RAPIDS</v>
      </c>
      <c r="J356" s="9">
        <f>IF('[1]Game Input'!$AC356&lt;&gt;"",'[1]Game Input'!$AC356,"")</f>
        <v>4</v>
      </c>
      <c r="K356" s="9">
        <f>IF('[1]Game Input'!$AD356&lt;&gt;"",'[1]Game Input'!$AD356,"")</f>
        <v>2</v>
      </c>
      <c r="L356" s="9">
        <f>IF('[1]Game Input'!$AJ356&lt;&gt;"",'[1]Game Input'!$AJ356,"")</f>
        <v>0</v>
      </c>
      <c r="M356" s="9">
        <f>IF('[1]Game Input'!$AK356&lt;&gt;"",'[1]Game Input'!$AK356,"")</f>
        <v>0</v>
      </c>
      <c r="N356" s="9">
        <f>IF('[1]Game Input'!$AN356&lt;&gt;"",'[1]Game Input'!$AN356,"")</f>
        <v>2</v>
      </c>
      <c r="O356" s="9">
        <f>IF('[1]Game Input'!$AO356&lt;&gt;"",'[1]Game Input'!$AO356,"")</f>
        <v>0</v>
      </c>
      <c r="P356" s="9">
        <f>IF('[1]Game Input'!$AP356&lt;&gt;"",'[1]Game Input'!$AP356,"")</f>
        <v>0</v>
      </c>
      <c r="Q356" s="9">
        <f>IF('[1]Game Input'!$AQ356&lt;&gt;"",'[1]Game Input'!$AQ356,"")</f>
        <v>0</v>
      </c>
      <c r="R356" s="9">
        <f>IF('[1]Game Input'!$AR356&lt;&gt;"",'[1]Game Input'!$AR356,"")</f>
        <v>0</v>
      </c>
      <c r="S356" s="9">
        <f>IF('[1]Game Input'!$AS356&lt;&gt;"",'[1]Game Input'!$AS356,"")</f>
        <v>0</v>
      </c>
      <c r="T356" s="10" t="str">
        <f>IF('[1]Game Input'!$BA356&lt;&gt;"",'[1]Game Input'!$BA356,"")</f>
        <v>MADISON</v>
      </c>
      <c r="U356" s="9">
        <f>IF('[1]Game Input'!$BU356&lt;&gt;"",'[1]Game Input'!$BU356,"")</f>
        <v>18</v>
      </c>
      <c r="V356" s="9">
        <f>IF('[1]Game Input'!$BV356&lt;&gt;"",'[1]Game Input'!$BV356,"")</f>
        <v>5</v>
      </c>
      <c r="W356" s="9">
        <f>IF('[1]Game Input'!$CB356&lt;&gt;"",'[1]Game Input'!$CB356,"")</f>
        <v>0</v>
      </c>
      <c r="X356" s="9">
        <f>IF('[1]Game Input'!$CC356&lt;&gt;"",'[1]Game Input'!$CC356,"")</f>
        <v>0</v>
      </c>
      <c r="Y356" s="9">
        <f>IF('[1]Game Input'!$CF356&lt;&gt;"",'[1]Game Input'!$CF356,"")</f>
        <v>4</v>
      </c>
      <c r="Z356" s="9">
        <f>IF('[1]Game Input'!$CG356&lt;&gt;"",'[1]Game Input'!$CG356,"")</f>
        <v>0</v>
      </c>
      <c r="AA356" s="9">
        <f>IF('[1]Game Input'!$CH356&lt;&gt;"",'[1]Game Input'!$CH356,"")</f>
        <v>1</v>
      </c>
      <c r="AB356" s="9">
        <f>IF('[1]Game Input'!$CI356&lt;&gt;"",'[1]Game Input'!$CI356,"")</f>
        <v>0</v>
      </c>
      <c r="AC356" s="9">
        <f>IF('[1]Game Input'!$CJ356&lt;&gt;"",'[1]Game Input'!$CJ356,"")</f>
        <v>0</v>
      </c>
      <c r="AD356" s="9">
        <f>IF('[1]Game Input'!$CK356&lt;&gt;"",'[1]Game Input'!$CK356,"")</f>
        <v>0</v>
      </c>
      <c r="AE356" s="8" t="s">
        <v>104</v>
      </c>
      <c r="AF356" s="8"/>
      <c r="AG356" s="8" t="s">
        <v>120</v>
      </c>
      <c r="AH356" s="8" t="s">
        <v>160</v>
      </c>
    </row>
    <row r="357" spans="1:34" x14ac:dyDescent="0.2">
      <c r="A357" s="6">
        <f>IF('[1]Game Input'!$A357&lt;&gt;"",'[1]Game Input'!$A357,"")</f>
        <v>43511</v>
      </c>
      <c r="B357" s="6" t="str">
        <f>IF(A357&gt;$B$1,VLOOKUP(MONTH($A357),DOTWMonth,2,FALSE),"")</f>
        <v>February</v>
      </c>
      <c r="C357" s="10" t="str">
        <f>IF(A357&gt;$B$1,VLOOKUP(WEEKDAY($A357),DOTWMonth,3,FALSE),"")</f>
        <v>Friday</v>
      </c>
      <c r="D357" s="7">
        <f>IF('[1]Game Input'!$B357&lt;&gt;"",'[1]Game Input'!$B357,"")</f>
        <v>0.83819444444444446</v>
      </c>
      <c r="E357" s="7">
        <f>IF('[1]Game Input'!$C357&lt;&gt;"",'[1]Game Input'!$C357,"")</f>
        <v>0.79652777777777783</v>
      </c>
      <c r="F357" s="8" t="str">
        <f>IF('[1]Game Input'!$D357&lt;&gt;"",'[1]Game Input'!$D357,"")</f>
        <v>Standard</v>
      </c>
      <c r="G357" s="8" t="str">
        <f>IF('[1]Game Input'!$G357&lt;&gt;"",'[1]Game Input'!$G357,"")</f>
        <v>TC @ CIL</v>
      </c>
      <c r="H357" s="8" t="str">
        <f>IF('[1]Game Input'!$H357&lt;&gt;"",'[1]Game Input'!$H357,"")</f>
        <v>Vs. Non-Conference</v>
      </c>
      <c r="I357" s="8" t="str">
        <f>IF('[1]Game Input'!$I357&lt;&gt;"",'[1]Game Input'!$I357,"")</f>
        <v>TRI-CITY</v>
      </c>
      <c r="J357" s="9">
        <f>IF('[1]Game Input'!$AC357&lt;&gt;"",'[1]Game Input'!$AC357,"")</f>
        <v>27</v>
      </c>
      <c r="K357" s="9">
        <f>IF('[1]Game Input'!$AD357&lt;&gt;"",'[1]Game Input'!$AD357,"")</f>
        <v>8</v>
      </c>
      <c r="L357" s="9">
        <f>IF('[1]Game Input'!$AJ357&lt;&gt;"",'[1]Game Input'!$AJ357,"")</f>
        <v>0</v>
      </c>
      <c r="M357" s="9">
        <f>IF('[1]Game Input'!$AK357&lt;&gt;"",'[1]Game Input'!$AK357,"")</f>
        <v>0</v>
      </c>
      <c r="N357" s="9">
        <f>IF('[1]Game Input'!$AN357&lt;&gt;"",'[1]Game Input'!$AN357,"")</f>
        <v>6</v>
      </c>
      <c r="O357" s="9">
        <f>IF('[1]Game Input'!$AO357&lt;&gt;"",'[1]Game Input'!$AO357,"")</f>
        <v>1</v>
      </c>
      <c r="P357" s="9">
        <f>IF('[1]Game Input'!$AP357&lt;&gt;"",'[1]Game Input'!$AP357,"")</f>
        <v>0</v>
      </c>
      <c r="Q357" s="9">
        <f>IF('[1]Game Input'!$AQ357&lt;&gt;"",'[1]Game Input'!$AQ357,"")</f>
        <v>1</v>
      </c>
      <c r="R357" s="9">
        <f>IF('[1]Game Input'!$AR357&lt;&gt;"",'[1]Game Input'!$AR357,"")</f>
        <v>0</v>
      </c>
      <c r="S357" s="9">
        <f>IF('[1]Game Input'!$AS357&lt;&gt;"",'[1]Game Input'!$AS357,"")</f>
        <v>0</v>
      </c>
      <c r="T357" s="10" t="str">
        <f>IF('[1]Game Input'!$BA357&lt;&gt;"",'[1]Game Input'!$BA357,"")</f>
        <v>CENTRAL ILLINOIS</v>
      </c>
      <c r="U357" s="9">
        <f>IF('[1]Game Input'!$BU357&lt;&gt;"",'[1]Game Input'!$BU357,"")</f>
        <v>22</v>
      </c>
      <c r="V357" s="9">
        <f>IF('[1]Game Input'!$BV357&lt;&gt;"",'[1]Game Input'!$BV357,"")</f>
        <v>11</v>
      </c>
      <c r="W357" s="9">
        <f>IF('[1]Game Input'!$CB357&lt;&gt;"",'[1]Game Input'!$CB357,"")</f>
        <v>0</v>
      </c>
      <c r="X357" s="9">
        <f>IF('[1]Game Input'!$CC357&lt;&gt;"",'[1]Game Input'!$CC357,"")</f>
        <v>0</v>
      </c>
      <c r="Y357" s="9">
        <f>IF('[1]Game Input'!$CF357&lt;&gt;"",'[1]Game Input'!$CF357,"")</f>
        <v>11</v>
      </c>
      <c r="Z357" s="9">
        <f>IF('[1]Game Input'!$CG357&lt;&gt;"",'[1]Game Input'!$CG357,"")</f>
        <v>0</v>
      </c>
      <c r="AA357" s="9">
        <f>IF('[1]Game Input'!$CH357&lt;&gt;"",'[1]Game Input'!$CH357,"")</f>
        <v>0</v>
      </c>
      <c r="AB357" s="9">
        <f>IF('[1]Game Input'!$CI357&lt;&gt;"",'[1]Game Input'!$CI357,"")</f>
        <v>0</v>
      </c>
      <c r="AC357" s="9">
        <f>IF('[1]Game Input'!$CJ357&lt;&gt;"",'[1]Game Input'!$CJ357,"")</f>
        <v>0</v>
      </c>
      <c r="AD357" s="9">
        <f>IF('[1]Game Input'!$CK357&lt;&gt;"",'[1]Game Input'!$CK357,"")</f>
        <v>0</v>
      </c>
      <c r="AE357" s="8" t="s">
        <v>91</v>
      </c>
      <c r="AF357" s="8"/>
      <c r="AG357" s="8" t="s">
        <v>162</v>
      </c>
      <c r="AH357" s="8" t="s">
        <v>115</v>
      </c>
    </row>
    <row r="358" spans="1:34" x14ac:dyDescent="0.2">
      <c r="A358" s="6">
        <f>IF('[1]Game Input'!$A358&lt;&gt;"",'[1]Game Input'!$A358,"")</f>
        <v>43511</v>
      </c>
      <c r="B358" s="6" t="str">
        <f>IF(A358&gt;$B$1,VLOOKUP(MONTH($A358),DOTWMonth,2,FALSE),"")</f>
        <v>February</v>
      </c>
      <c r="C358" s="10" t="str">
        <f>IF(A358&gt;$B$1,VLOOKUP(WEEKDAY($A358),DOTWMonth,3,FALSE),"")</f>
        <v>Friday</v>
      </c>
      <c r="D358" s="7">
        <f>IF('[1]Game Input'!$B358&lt;&gt;"",'[1]Game Input'!$B358,"")</f>
        <v>0.85763888888888884</v>
      </c>
      <c r="E358" s="7">
        <f>IF('[1]Game Input'!$C358&lt;&gt;"",'[1]Game Input'!$C358,"")</f>
        <v>0.81597222222222221</v>
      </c>
      <c r="F358" s="8" t="str">
        <f>IF('[1]Game Input'!$D358&lt;&gt;"",'[1]Game Input'!$D358,"")</f>
        <v>Standard</v>
      </c>
      <c r="G358" s="8" t="str">
        <f>IF('[1]Game Input'!$G358&lt;&gt;"",'[1]Game Input'!$G358,"")</f>
        <v>SC @ OMA</v>
      </c>
      <c r="H358" s="8" t="str">
        <f>IF('[1]Game Input'!$H358&lt;&gt;"",'[1]Game Input'!$H358,"")</f>
        <v>Vs. Conference</v>
      </c>
      <c r="I358" s="8" t="str">
        <f>IF('[1]Game Input'!$I358&lt;&gt;"",'[1]Game Input'!$I358,"")</f>
        <v>SIOUX CITY</v>
      </c>
      <c r="J358" s="9">
        <f>IF('[1]Game Input'!$AC358&lt;&gt;"",'[1]Game Input'!$AC358,"")</f>
        <v>12</v>
      </c>
      <c r="K358" s="9">
        <f>IF('[1]Game Input'!$AD358&lt;&gt;"",'[1]Game Input'!$AD358,"")</f>
        <v>6</v>
      </c>
      <c r="L358" s="9">
        <f>IF('[1]Game Input'!$AJ358&lt;&gt;"",'[1]Game Input'!$AJ358,"")</f>
        <v>0</v>
      </c>
      <c r="M358" s="9">
        <f>IF('[1]Game Input'!$AK358&lt;&gt;"",'[1]Game Input'!$AK358,"")</f>
        <v>0</v>
      </c>
      <c r="N358" s="9">
        <f>IF('[1]Game Input'!$AN358&lt;&gt;"",'[1]Game Input'!$AN358,"")</f>
        <v>6</v>
      </c>
      <c r="O358" s="9">
        <f>IF('[1]Game Input'!$AO358&lt;&gt;"",'[1]Game Input'!$AO358,"")</f>
        <v>0</v>
      </c>
      <c r="P358" s="9">
        <f>IF('[1]Game Input'!$AP358&lt;&gt;"",'[1]Game Input'!$AP358,"")</f>
        <v>0</v>
      </c>
      <c r="Q358" s="9">
        <f>IF('[1]Game Input'!$AQ358&lt;&gt;"",'[1]Game Input'!$AQ358,"")</f>
        <v>0</v>
      </c>
      <c r="R358" s="9">
        <f>IF('[1]Game Input'!$AR358&lt;&gt;"",'[1]Game Input'!$AR358,"")</f>
        <v>0</v>
      </c>
      <c r="S358" s="9">
        <f>IF('[1]Game Input'!$AS358&lt;&gt;"",'[1]Game Input'!$AS358,"")</f>
        <v>0</v>
      </c>
      <c r="T358" s="10" t="str">
        <f>IF('[1]Game Input'!$BA358&lt;&gt;"",'[1]Game Input'!$BA358,"")</f>
        <v>OMAHA</v>
      </c>
      <c r="U358" s="9">
        <f>IF('[1]Game Input'!$BU358&lt;&gt;"",'[1]Game Input'!$BU358,"")</f>
        <v>4</v>
      </c>
      <c r="V358" s="9">
        <f>IF('[1]Game Input'!$BV358&lt;&gt;"",'[1]Game Input'!$BV358,"")</f>
        <v>2</v>
      </c>
      <c r="W358" s="9">
        <f>IF('[1]Game Input'!$CB358&lt;&gt;"",'[1]Game Input'!$CB358,"")</f>
        <v>0</v>
      </c>
      <c r="X358" s="9">
        <f>IF('[1]Game Input'!$CC358&lt;&gt;"",'[1]Game Input'!$CC358,"")</f>
        <v>0</v>
      </c>
      <c r="Y358" s="9">
        <f>IF('[1]Game Input'!$CF358&lt;&gt;"",'[1]Game Input'!$CF358,"")</f>
        <v>2</v>
      </c>
      <c r="Z358" s="9">
        <f>IF('[1]Game Input'!$CG358&lt;&gt;"",'[1]Game Input'!$CG358,"")</f>
        <v>0</v>
      </c>
      <c r="AA358" s="9">
        <f>IF('[1]Game Input'!$CH358&lt;&gt;"",'[1]Game Input'!$CH358,"")</f>
        <v>0</v>
      </c>
      <c r="AB358" s="9">
        <f>IF('[1]Game Input'!$CI358&lt;&gt;"",'[1]Game Input'!$CI358,"")</f>
        <v>0</v>
      </c>
      <c r="AC358" s="9">
        <f>IF('[1]Game Input'!$CJ358&lt;&gt;"",'[1]Game Input'!$CJ358,"")</f>
        <v>0</v>
      </c>
      <c r="AD358" s="9">
        <f>IF('[1]Game Input'!$CK358&lt;&gt;"",'[1]Game Input'!$CK358,"")</f>
        <v>0</v>
      </c>
      <c r="AE358" s="8"/>
      <c r="AF358" s="8"/>
      <c r="AG358" s="8"/>
      <c r="AH358" s="8"/>
    </row>
    <row r="359" spans="1:34" x14ac:dyDescent="0.2">
      <c r="A359" s="6">
        <f>IF('[1]Game Input'!$A359&lt;&gt;"",'[1]Game Input'!$A359,"")</f>
        <v>43512</v>
      </c>
      <c r="B359" s="6" t="str">
        <f>IF(A359&gt;$B$1,VLOOKUP(MONTH($A359),DOTWMonth,2,FALSE),"")</f>
        <v>February</v>
      </c>
      <c r="C359" s="10" t="str">
        <f>IF(A359&gt;$B$1,VLOOKUP(WEEKDAY($A359),DOTWMonth,3,FALSE),"")</f>
        <v>Saturday</v>
      </c>
      <c r="D359" s="7">
        <f>IF('[1]Game Input'!$B359&lt;&gt;"",'[1]Game Input'!$B359,"")</f>
        <v>0.79513888888888884</v>
      </c>
      <c r="E359" s="7">
        <f>IF('[1]Game Input'!$C359&lt;&gt;"",'[1]Game Input'!$C359,"")</f>
        <v>0.75347222222222221</v>
      </c>
      <c r="F359" s="8" t="str">
        <f>IF('[1]Game Input'!$D359&lt;&gt;"",'[1]Game Input'!$D359,"")</f>
        <v>Standard</v>
      </c>
      <c r="G359" s="8" t="str">
        <f>IF('[1]Game Input'!$G359&lt;&gt;"",'[1]Game Input'!$G359,"")</f>
        <v>USA @ YNG</v>
      </c>
      <c r="H359" s="8" t="str">
        <f>IF('[1]Game Input'!$H359&lt;&gt;"",'[1]Game Input'!$H359,"")</f>
        <v>Vs. Conference</v>
      </c>
      <c r="I359" s="8" t="str">
        <f>IF('[1]Game Input'!$I359&lt;&gt;"",'[1]Game Input'!$I359,"")</f>
        <v>TEAM USA</v>
      </c>
      <c r="J359" s="9">
        <f>IF('[1]Game Input'!$AC359&lt;&gt;"",'[1]Game Input'!$AC359,"")</f>
        <v>10</v>
      </c>
      <c r="K359" s="9">
        <f>IF('[1]Game Input'!$AD359&lt;&gt;"",'[1]Game Input'!$AD359,"")</f>
        <v>5</v>
      </c>
      <c r="L359" s="9">
        <f>IF('[1]Game Input'!$AJ359&lt;&gt;"",'[1]Game Input'!$AJ359,"")</f>
        <v>0</v>
      </c>
      <c r="M359" s="9">
        <f>IF('[1]Game Input'!$AK359&lt;&gt;"",'[1]Game Input'!$AK359,"")</f>
        <v>0</v>
      </c>
      <c r="N359" s="9">
        <f>IF('[1]Game Input'!$AN359&lt;&gt;"",'[1]Game Input'!$AN359,"")</f>
        <v>5</v>
      </c>
      <c r="O359" s="9">
        <f>IF('[1]Game Input'!$AO359&lt;&gt;"",'[1]Game Input'!$AO359,"")</f>
        <v>0</v>
      </c>
      <c r="P359" s="9">
        <f>IF('[1]Game Input'!$AP359&lt;&gt;"",'[1]Game Input'!$AP359,"")</f>
        <v>0</v>
      </c>
      <c r="Q359" s="9">
        <f>IF('[1]Game Input'!$AQ359&lt;&gt;"",'[1]Game Input'!$AQ359,"")</f>
        <v>0</v>
      </c>
      <c r="R359" s="9">
        <f>IF('[1]Game Input'!$AR359&lt;&gt;"",'[1]Game Input'!$AR359,"")</f>
        <v>0</v>
      </c>
      <c r="S359" s="9">
        <f>IF('[1]Game Input'!$AS359&lt;&gt;"",'[1]Game Input'!$AS359,"")</f>
        <v>0</v>
      </c>
      <c r="T359" s="10" t="str">
        <f>IF('[1]Game Input'!$BA359&lt;&gt;"",'[1]Game Input'!$BA359,"")</f>
        <v>YOUNGSTOWN</v>
      </c>
      <c r="U359" s="9">
        <f>IF('[1]Game Input'!$BU359&lt;&gt;"",'[1]Game Input'!$BU359,"")</f>
        <v>27</v>
      </c>
      <c r="V359" s="9">
        <f>IF('[1]Game Input'!$BV359&lt;&gt;"",'[1]Game Input'!$BV359,"")</f>
        <v>8</v>
      </c>
      <c r="W359" s="9">
        <f>IF('[1]Game Input'!$CB359&lt;&gt;"",'[1]Game Input'!$CB359,"")</f>
        <v>0</v>
      </c>
      <c r="X359" s="9">
        <f>IF('[1]Game Input'!$CC359&lt;&gt;"",'[1]Game Input'!$CC359,"")</f>
        <v>0</v>
      </c>
      <c r="Y359" s="9">
        <f>IF('[1]Game Input'!$CF359&lt;&gt;"",'[1]Game Input'!$CF359,"")</f>
        <v>6</v>
      </c>
      <c r="Z359" s="9">
        <f>IF('[1]Game Input'!$CG359&lt;&gt;"",'[1]Game Input'!$CG359,"")</f>
        <v>1</v>
      </c>
      <c r="AA359" s="9">
        <f>IF('[1]Game Input'!$CH359&lt;&gt;"",'[1]Game Input'!$CH359,"")</f>
        <v>0</v>
      </c>
      <c r="AB359" s="9">
        <f>IF('[1]Game Input'!$CI359&lt;&gt;"",'[1]Game Input'!$CI359,"")</f>
        <v>1</v>
      </c>
      <c r="AC359" s="9">
        <f>IF('[1]Game Input'!$CJ359&lt;&gt;"",'[1]Game Input'!$CJ359,"")</f>
        <v>0</v>
      </c>
      <c r="AD359" s="9">
        <f>IF('[1]Game Input'!$CK359&lt;&gt;"",'[1]Game Input'!$CK359,"")</f>
        <v>0</v>
      </c>
      <c r="AE359" s="8"/>
      <c r="AF359" s="8"/>
      <c r="AG359" s="8"/>
      <c r="AH359" s="8"/>
    </row>
    <row r="360" spans="1:34" x14ac:dyDescent="0.2">
      <c r="A360" s="6">
        <f>IF('[1]Game Input'!$A360&lt;&gt;"",'[1]Game Input'!$A360,"")</f>
        <v>43512</v>
      </c>
      <c r="B360" s="6" t="str">
        <f>IF(A360&gt;$B$1,VLOOKUP(MONTH($A360),DOTWMonth,2,FALSE),"")</f>
        <v>February</v>
      </c>
      <c r="C360" s="10" t="str">
        <f>IF(A360&gt;$B$1,VLOOKUP(WEEKDAY($A360),DOTWMonth,3,FALSE),"")</f>
        <v>Saturday</v>
      </c>
      <c r="D360" s="7">
        <f>IF('[1]Game Input'!$B360&lt;&gt;"",'[1]Game Input'!$B360,"")</f>
        <v>0.80208333333333337</v>
      </c>
      <c r="E360" s="7">
        <f>IF('[1]Game Input'!$C360&lt;&gt;"",'[1]Game Input'!$C360,"")</f>
        <v>0.76041666666666674</v>
      </c>
      <c r="F360" s="8" t="str">
        <f>IF('[1]Game Input'!$D360&lt;&gt;"",'[1]Game Input'!$D360,"")</f>
        <v>Standard</v>
      </c>
      <c r="G360" s="8" t="str">
        <f>IF('[1]Game Input'!$G360&lt;&gt;"",'[1]Game Input'!$G360,"")</f>
        <v>SF @ MUS</v>
      </c>
      <c r="H360" s="8" t="str">
        <f>IF('[1]Game Input'!$H360&lt;&gt;"",'[1]Game Input'!$H360,"")</f>
        <v>Vs. Non-Conference</v>
      </c>
      <c r="I360" s="8" t="str">
        <f>IF('[1]Game Input'!$I360&lt;&gt;"",'[1]Game Input'!$I360,"")</f>
        <v>SIOUX FALLS</v>
      </c>
      <c r="J360" s="9">
        <f>IF('[1]Game Input'!$AC360&lt;&gt;"",'[1]Game Input'!$AC360,"")</f>
        <v>21</v>
      </c>
      <c r="K360" s="9">
        <f>IF('[1]Game Input'!$AD360&lt;&gt;"",'[1]Game Input'!$AD360,"")</f>
        <v>5</v>
      </c>
      <c r="L360" s="9">
        <f>IF('[1]Game Input'!$AJ360&lt;&gt;"",'[1]Game Input'!$AJ360,"")</f>
        <v>0</v>
      </c>
      <c r="M360" s="9">
        <f>IF('[1]Game Input'!$AK360&lt;&gt;"",'[1]Game Input'!$AK360,"")</f>
        <v>0</v>
      </c>
      <c r="N360" s="9">
        <f>IF('[1]Game Input'!$AN360&lt;&gt;"",'[1]Game Input'!$AN360,"")</f>
        <v>3</v>
      </c>
      <c r="O360" s="9">
        <f>IF('[1]Game Input'!$AO360&lt;&gt;"",'[1]Game Input'!$AO360,"")</f>
        <v>1</v>
      </c>
      <c r="P360" s="9">
        <f>IF('[1]Game Input'!$AP360&lt;&gt;"",'[1]Game Input'!$AP360,"")</f>
        <v>0</v>
      </c>
      <c r="Q360" s="9">
        <f>IF('[1]Game Input'!$AQ360&lt;&gt;"",'[1]Game Input'!$AQ360,"")</f>
        <v>1</v>
      </c>
      <c r="R360" s="9">
        <f>IF('[1]Game Input'!$AR360&lt;&gt;"",'[1]Game Input'!$AR360,"")</f>
        <v>0</v>
      </c>
      <c r="S360" s="9">
        <f>IF('[1]Game Input'!$AS360&lt;&gt;"",'[1]Game Input'!$AS360,"")</f>
        <v>0</v>
      </c>
      <c r="T360" s="10" t="str">
        <f>IF('[1]Game Input'!$BA360&lt;&gt;"",'[1]Game Input'!$BA360,"")</f>
        <v>MUSKEGON</v>
      </c>
      <c r="U360" s="9">
        <f>IF('[1]Game Input'!$BU360&lt;&gt;"",'[1]Game Input'!$BU360,"")</f>
        <v>10</v>
      </c>
      <c r="V360" s="9">
        <f>IF('[1]Game Input'!$BV360&lt;&gt;"",'[1]Game Input'!$BV360,"")</f>
        <v>5</v>
      </c>
      <c r="W360" s="9">
        <f>IF('[1]Game Input'!$CB360&lt;&gt;"",'[1]Game Input'!$CB360,"")</f>
        <v>0</v>
      </c>
      <c r="X360" s="9">
        <f>IF('[1]Game Input'!$CC360&lt;&gt;"",'[1]Game Input'!$CC360,"")</f>
        <v>0</v>
      </c>
      <c r="Y360" s="9">
        <f>IF('[1]Game Input'!$CF360&lt;&gt;"",'[1]Game Input'!$CF360,"")</f>
        <v>5</v>
      </c>
      <c r="Z360" s="9">
        <f>IF('[1]Game Input'!$CG360&lt;&gt;"",'[1]Game Input'!$CG360,"")</f>
        <v>0</v>
      </c>
      <c r="AA360" s="9">
        <f>IF('[1]Game Input'!$CH360&lt;&gt;"",'[1]Game Input'!$CH360,"")</f>
        <v>0</v>
      </c>
      <c r="AB360" s="9">
        <f>IF('[1]Game Input'!$CI360&lt;&gt;"",'[1]Game Input'!$CI360,"")</f>
        <v>0</v>
      </c>
      <c r="AC360" s="9">
        <f>IF('[1]Game Input'!$CJ360&lt;&gt;"",'[1]Game Input'!$CJ360,"")</f>
        <v>0</v>
      </c>
      <c r="AD360" s="9">
        <f>IF('[1]Game Input'!$CK360&lt;&gt;"",'[1]Game Input'!$CK360,"")</f>
        <v>0</v>
      </c>
      <c r="AE360" s="8"/>
      <c r="AF360" s="8"/>
      <c r="AG360" s="8"/>
      <c r="AH360" s="8"/>
    </row>
    <row r="361" spans="1:34" x14ac:dyDescent="0.2">
      <c r="A361" s="6">
        <f>IF('[1]Game Input'!$A361&lt;&gt;"",'[1]Game Input'!$A361,"")</f>
        <v>43512</v>
      </c>
      <c r="B361" s="6" t="str">
        <f>IF(A361&gt;$B$1,VLOOKUP(MONTH($A361),DOTWMonth,2,FALSE),"")</f>
        <v>February</v>
      </c>
      <c r="C361" s="10" t="str">
        <f>IF(A361&gt;$B$1,VLOOKUP(WEEKDAY($A361),DOTWMonth,3,FALSE),"")</f>
        <v>Saturday</v>
      </c>
      <c r="D361" s="7">
        <f>IF('[1]Game Input'!$B361&lt;&gt;"",'[1]Game Input'!$B361,"")</f>
        <v>0.83680555555555547</v>
      </c>
      <c r="E361" s="7">
        <f>IF('[1]Game Input'!$C361&lt;&gt;"",'[1]Game Input'!$C361,"")</f>
        <v>0.79513888888888884</v>
      </c>
      <c r="F361" s="8" t="str">
        <f>IF('[1]Game Input'!$D361&lt;&gt;"",'[1]Game Input'!$D361,"")</f>
        <v>Standard</v>
      </c>
      <c r="G361" s="8" t="str">
        <f>IF('[1]Game Input'!$G361&lt;&gt;"",'[1]Game Input'!$G361,"")</f>
        <v>USA @ CHI</v>
      </c>
      <c r="H361" s="8" t="str">
        <f>IF('[1]Game Input'!$H361&lt;&gt;"",'[1]Game Input'!$H361,"")</f>
        <v>Vs. Conference</v>
      </c>
      <c r="I361" s="8" t="str">
        <f>IF('[1]Game Input'!$I361&lt;&gt;"",'[1]Game Input'!$I361,"")</f>
        <v>TEAM USA</v>
      </c>
      <c r="J361" s="9">
        <f>IF('[1]Game Input'!$AC361&lt;&gt;"",'[1]Game Input'!$AC361,"")</f>
        <v>12</v>
      </c>
      <c r="K361" s="9">
        <f>IF('[1]Game Input'!$AD361&lt;&gt;"",'[1]Game Input'!$AD361,"")</f>
        <v>6</v>
      </c>
      <c r="L361" s="9">
        <f>IF('[1]Game Input'!$AJ361&lt;&gt;"",'[1]Game Input'!$AJ361,"")</f>
        <v>0</v>
      </c>
      <c r="M361" s="9">
        <f>IF('[1]Game Input'!$AK361&lt;&gt;"",'[1]Game Input'!$AK361,"")</f>
        <v>0</v>
      </c>
      <c r="N361" s="9">
        <f>IF('[1]Game Input'!$AN361&lt;&gt;"",'[1]Game Input'!$AN361,"")</f>
        <v>6</v>
      </c>
      <c r="O361" s="9">
        <f>IF('[1]Game Input'!$AO361&lt;&gt;"",'[1]Game Input'!$AO361,"")</f>
        <v>0</v>
      </c>
      <c r="P361" s="9">
        <f>IF('[1]Game Input'!$AP361&lt;&gt;"",'[1]Game Input'!$AP361,"")</f>
        <v>0</v>
      </c>
      <c r="Q361" s="9">
        <f>IF('[1]Game Input'!$AQ361&lt;&gt;"",'[1]Game Input'!$AQ361,"")</f>
        <v>0</v>
      </c>
      <c r="R361" s="9">
        <f>IF('[1]Game Input'!$AR361&lt;&gt;"",'[1]Game Input'!$AR361,"")</f>
        <v>0</v>
      </c>
      <c r="S361" s="9">
        <f>IF('[1]Game Input'!$AS361&lt;&gt;"",'[1]Game Input'!$AS361,"")</f>
        <v>0</v>
      </c>
      <c r="T361" s="10" t="str">
        <f>IF('[1]Game Input'!$BA361&lt;&gt;"",'[1]Game Input'!$BA361,"")</f>
        <v>CHICAGO</v>
      </c>
      <c r="U361" s="9">
        <f>IF('[1]Game Input'!$BU361&lt;&gt;"",'[1]Game Input'!$BU361,"")</f>
        <v>6</v>
      </c>
      <c r="V361" s="9">
        <f>IF('[1]Game Input'!$BV361&lt;&gt;"",'[1]Game Input'!$BV361,"")</f>
        <v>3</v>
      </c>
      <c r="W361" s="9">
        <f>IF('[1]Game Input'!$CB361&lt;&gt;"",'[1]Game Input'!$CB361,"")</f>
        <v>0</v>
      </c>
      <c r="X361" s="9">
        <f>IF('[1]Game Input'!$CC361&lt;&gt;"",'[1]Game Input'!$CC361,"")</f>
        <v>0</v>
      </c>
      <c r="Y361" s="9">
        <f>IF('[1]Game Input'!$CF361&lt;&gt;"",'[1]Game Input'!$CF361,"")</f>
        <v>3</v>
      </c>
      <c r="Z361" s="9">
        <f>IF('[1]Game Input'!$CG361&lt;&gt;"",'[1]Game Input'!$CG361,"")</f>
        <v>0</v>
      </c>
      <c r="AA361" s="9">
        <f>IF('[1]Game Input'!$CH361&lt;&gt;"",'[1]Game Input'!$CH361,"")</f>
        <v>0</v>
      </c>
      <c r="AB361" s="9">
        <f>IF('[1]Game Input'!$CI361&lt;&gt;"",'[1]Game Input'!$CI361,"")</f>
        <v>0</v>
      </c>
      <c r="AC361" s="9">
        <f>IF('[1]Game Input'!$CJ361&lt;&gt;"",'[1]Game Input'!$CJ361,"")</f>
        <v>0</v>
      </c>
      <c r="AD361" s="9">
        <f>IF('[1]Game Input'!$CK361&lt;&gt;"",'[1]Game Input'!$CK361,"")</f>
        <v>0</v>
      </c>
      <c r="AE361" s="8"/>
      <c r="AF361" s="8"/>
      <c r="AG361" s="8"/>
      <c r="AH361" s="8"/>
    </row>
    <row r="362" spans="1:34" x14ac:dyDescent="0.2">
      <c r="A362" s="6">
        <f>IF('[1]Game Input'!$A362&lt;&gt;"",'[1]Game Input'!$A362,"")</f>
        <v>43512</v>
      </c>
      <c r="B362" s="6" t="str">
        <f>IF(A362&gt;$B$1,VLOOKUP(MONTH($A362),DOTWMonth,2,FALSE),"")</f>
        <v>February</v>
      </c>
      <c r="C362" s="10" t="str">
        <f>IF(A362&gt;$B$1,VLOOKUP(WEEKDAY($A362),DOTWMonth,3,FALSE),"")</f>
        <v>Saturday</v>
      </c>
      <c r="D362" s="7">
        <f>IF('[1]Game Input'!$B362&lt;&gt;"",'[1]Game Input'!$B362,"")</f>
        <v>0.83680555555555547</v>
      </c>
      <c r="E362" s="7">
        <f>IF('[1]Game Input'!$C362&lt;&gt;"",'[1]Game Input'!$C362,"")</f>
        <v>0.79513888888888884</v>
      </c>
      <c r="F362" s="8" t="str">
        <f>IF('[1]Game Input'!$D362&lt;&gt;"",'[1]Game Input'!$D362,"")</f>
        <v>Standard</v>
      </c>
      <c r="G362" s="8" t="str">
        <f>IF('[1]Game Input'!$G362&lt;&gt;"",'[1]Game Input'!$G362,"")</f>
        <v>LIN @ FGO</v>
      </c>
      <c r="H362" s="8" t="str">
        <f>IF('[1]Game Input'!$H362&lt;&gt;"",'[1]Game Input'!$H362,"")</f>
        <v>Vs. Conference</v>
      </c>
      <c r="I362" s="8" t="str">
        <f>IF('[1]Game Input'!$I362&lt;&gt;"",'[1]Game Input'!$I362,"")</f>
        <v>LINCOLN</v>
      </c>
      <c r="J362" s="9">
        <f>IF('[1]Game Input'!$AC362&lt;&gt;"",'[1]Game Input'!$AC362,"")</f>
        <v>10</v>
      </c>
      <c r="K362" s="9">
        <f>IF('[1]Game Input'!$AD362&lt;&gt;"",'[1]Game Input'!$AD362,"")</f>
        <v>5</v>
      </c>
      <c r="L362" s="9">
        <f>IF('[1]Game Input'!$AJ362&lt;&gt;"",'[1]Game Input'!$AJ362,"")</f>
        <v>0</v>
      </c>
      <c r="M362" s="9">
        <f>IF('[1]Game Input'!$AK362&lt;&gt;"",'[1]Game Input'!$AK362,"")</f>
        <v>0</v>
      </c>
      <c r="N362" s="9">
        <f>IF('[1]Game Input'!$AN362&lt;&gt;"",'[1]Game Input'!$AN362,"")</f>
        <v>5</v>
      </c>
      <c r="O362" s="9">
        <f>IF('[1]Game Input'!$AO362&lt;&gt;"",'[1]Game Input'!$AO362,"")</f>
        <v>0</v>
      </c>
      <c r="P362" s="9">
        <f>IF('[1]Game Input'!$AP362&lt;&gt;"",'[1]Game Input'!$AP362,"")</f>
        <v>0</v>
      </c>
      <c r="Q362" s="9">
        <f>IF('[1]Game Input'!$AQ362&lt;&gt;"",'[1]Game Input'!$AQ362,"")</f>
        <v>0</v>
      </c>
      <c r="R362" s="9">
        <f>IF('[1]Game Input'!$AR362&lt;&gt;"",'[1]Game Input'!$AR362,"")</f>
        <v>0</v>
      </c>
      <c r="S362" s="9">
        <f>IF('[1]Game Input'!$AS362&lt;&gt;"",'[1]Game Input'!$AS362,"")</f>
        <v>0</v>
      </c>
      <c r="T362" s="10" t="str">
        <f>IF('[1]Game Input'!$BA362&lt;&gt;"",'[1]Game Input'!$BA362,"")</f>
        <v>FARGO</v>
      </c>
      <c r="U362" s="9">
        <f>IF('[1]Game Input'!$BU362&lt;&gt;"",'[1]Game Input'!$BU362,"")</f>
        <v>6</v>
      </c>
      <c r="V362" s="9">
        <f>IF('[1]Game Input'!$BV362&lt;&gt;"",'[1]Game Input'!$BV362,"")</f>
        <v>3</v>
      </c>
      <c r="W362" s="9">
        <f>IF('[1]Game Input'!$CB362&lt;&gt;"",'[1]Game Input'!$CB362,"")</f>
        <v>0</v>
      </c>
      <c r="X362" s="9">
        <f>IF('[1]Game Input'!$CC362&lt;&gt;"",'[1]Game Input'!$CC362,"")</f>
        <v>0</v>
      </c>
      <c r="Y362" s="9">
        <f>IF('[1]Game Input'!$CF362&lt;&gt;"",'[1]Game Input'!$CF362,"")</f>
        <v>3</v>
      </c>
      <c r="Z362" s="9">
        <f>IF('[1]Game Input'!$CG362&lt;&gt;"",'[1]Game Input'!$CG362,"")</f>
        <v>0</v>
      </c>
      <c r="AA362" s="9">
        <f>IF('[1]Game Input'!$CH362&lt;&gt;"",'[1]Game Input'!$CH362,"")</f>
        <v>0</v>
      </c>
      <c r="AB362" s="9">
        <f>IF('[1]Game Input'!$CI362&lt;&gt;"",'[1]Game Input'!$CI362,"")</f>
        <v>0</v>
      </c>
      <c r="AC362" s="9">
        <f>IF('[1]Game Input'!$CJ362&lt;&gt;"",'[1]Game Input'!$CJ362,"")</f>
        <v>0</v>
      </c>
      <c r="AD362" s="9">
        <f>IF('[1]Game Input'!$CK362&lt;&gt;"",'[1]Game Input'!$CK362,"")</f>
        <v>0</v>
      </c>
      <c r="AE362" s="8"/>
      <c r="AF362" s="8"/>
      <c r="AG362" s="8"/>
      <c r="AH362" s="8"/>
    </row>
    <row r="363" spans="1:34" x14ac:dyDescent="0.2">
      <c r="A363" s="6">
        <f>IF('[1]Game Input'!$A363&lt;&gt;"",'[1]Game Input'!$A363,"")</f>
        <v>43512</v>
      </c>
      <c r="B363" s="6" t="str">
        <f>IF(A363&gt;$B$1,VLOOKUP(MONTH($A363),DOTWMonth,2,FALSE),"")</f>
        <v>February</v>
      </c>
      <c r="C363" s="10" t="str">
        <f>IF(A363&gt;$B$1,VLOOKUP(WEEKDAY($A363),DOTWMonth,3,FALSE),"")</f>
        <v>Saturday</v>
      </c>
      <c r="D363" s="7">
        <f>IF('[1]Game Input'!$B363&lt;&gt;"",'[1]Game Input'!$B363,"")</f>
        <v>0.83680555555555547</v>
      </c>
      <c r="E363" s="7">
        <f>IF('[1]Game Input'!$C363&lt;&gt;"",'[1]Game Input'!$C363,"")</f>
        <v>0.79513888888888884</v>
      </c>
      <c r="F363" s="8" t="str">
        <f>IF('[1]Game Input'!$D363&lt;&gt;"",'[1]Game Input'!$D363,"")</f>
        <v>Standard</v>
      </c>
      <c r="G363" s="8" t="str">
        <f>IF('[1]Game Input'!$G363&lt;&gt;"",'[1]Game Input'!$G363,"")</f>
        <v>MAD @ GB</v>
      </c>
      <c r="H363" s="8" t="str">
        <f>IF('[1]Game Input'!$H363&lt;&gt;"",'[1]Game Input'!$H363,"")</f>
        <v>Vs. Conference</v>
      </c>
      <c r="I363" s="8" t="str">
        <f>IF('[1]Game Input'!$I363&lt;&gt;"",'[1]Game Input'!$I363,"")</f>
        <v>MADISON</v>
      </c>
      <c r="J363" s="9">
        <f>IF('[1]Game Input'!$AC363&lt;&gt;"",'[1]Game Input'!$AC363,"")</f>
        <v>4</v>
      </c>
      <c r="K363" s="9">
        <f>IF('[1]Game Input'!$AD363&lt;&gt;"",'[1]Game Input'!$AD363,"")</f>
        <v>2</v>
      </c>
      <c r="L363" s="9">
        <f>IF('[1]Game Input'!$AJ363&lt;&gt;"",'[1]Game Input'!$AJ363,"")</f>
        <v>0</v>
      </c>
      <c r="M363" s="9">
        <f>IF('[1]Game Input'!$AK363&lt;&gt;"",'[1]Game Input'!$AK363,"")</f>
        <v>0</v>
      </c>
      <c r="N363" s="9">
        <f>IF('[1]Game Input'!$AN363&lt;&gt;"",'[1]Game Input'!$AN363,"")</f>
        <v>2</v>
      </c>
      <c r="O363" s="9">
        <f>IF('[1]Game Input'!$AO363&lt;&gt;"",'[1]Game Input'!$AO363,"")</f>
        <v>0</v>
      </c>
      <c r="P363" s="9">
        <f>IF('[1]Game Input'!$AP363&lt;&gt;"",'[1]Game Input'!$AP363,"")</f>
        <v>0</v>
      </c>
      <c r="Q363" s="9">
        <f>IF('[1]Game Input'!$AQ363&lt;&gt;"",'[1]Game Input'!$AQ363,"")</f>
        <v>0</v>
      </c>
      <c r="R363" s="9">
        <f>IF('[1]Game Input'!$AR363&lt;&gt;"",'[1]Game Input'!$AR363,"")</f>
        <v>0</v>
      </c>
      <c r="S363" s="9">
        <f>IF('[1]Game Input'!$AS363&lt;&gt;"",'[1]Game Input'!$AS363,"")</f>
        <v>0</v>
      </c>
      <c r="T363" s="10" t="str">
        <f>IF('[1]Game Input'!$BA363&lt;&gt;"",'[1]Game Input'!$BA363,"")</f>
        <v>GREEN BAY</v>
      </c>
      <c r="U363" s="9">
        <f>IF('[1]Game Input'!$BU363&lt;&gt;"",'[1]Game Input'!$BU363,"")</f>
        <v>4</v>
      </c>
      <c r="V363" s="9">
        <f>IF('[1]Game Input'!$BV363&lt;&gt;"",'[1]Game Input'!$BV363,"")</f>
        <v>2</v>
      </c>
      <c r="W363" s="9">
        <f>IF('[1]Game Input'!$CB363&lt;&gt;"",'[1]Game Input'!$CB363,"")</f>
        <v>0</v>
      </c>
      <c r="X363" s="9">
        <f>IF('[1]Game Input'!$CC363&lt;&gt;"",'[1]Game Input'!$CC363,"")</f>
        <v>0</v>
      </c>
      <c r="Y363" s="9">
        <f>IF('[1]Game Input'!$CF363&lt;&gt;"",'[1]Game Input'!$CF363,"")</f>
        <v>2</v>
      </c>
      <c r="Z363" s="9">
        <f>IF('[1]Game Input'!$CG363&lt;&gt;"",'[1]Game Input'!$CG363,"")</f>
        <v>0</v>
      </c>
      <c r="AA363" s="9">
        <f>IF('[1]Game Input'!$CH363&lt;&gt;"",'[1]Game Input'!$CH363,"")</f>
        <v>0</v>
      </c>
      <c r="AB363" s="9">
        <f>IF('[1]Game Input'!$CI363&lt;&gt;"",'[1]Game Input'!$CI363,"")</f>
        <v>0</v>
      </c>
      <c r="AC363" s="9">
        <f>IF('[1]Game Input'!$CJ363&lt;&gt;"",'[1]Game Input'!$CJ363,"")</f>
        <v>0</v>
      </c>
      <c r="AD363" s="9">
        <f>IF('[1]Game Input'!$CK363&lt;&gt;"",'[1]Game Input'!$CK363,"")</f>
        <v>0</v>
      </c>
      <c r="AE363" s="8"/>
      <c r="AF363" s="8"/>
      <c r="AG363" s="8"/>
      <c r="AH363" s="8"/>
    </row>
    <row r="364" spans="1:34" x14ac:dyDescent="0.2">
      <c r="A364" s="6">
        <f>IF('[1]Game Input'!$A364&lt;&gt;"",'[1]Game Input'!$A364,"")</f>
        <v>43512</v>
      </c>
      <c r="B364" s="6" t="str">
        <f>IF(A364&gt;$B$1,VLOOKUP(MONTH($A364),DOTWMonth,2,FALSE),"")</f>
        <v>February</v>
      </c>
      <c r="C364" s="10" t="str">
        <f>IF(A364&gt;$B$1,VLOOKUP(WEEKDAY($A364),DOTWMonth,3,FALSE),"")</f>
        <v>Saturday</v>
      </c>
      <c r="D364" s="7">
        <f>IF('[1]Game Input'!$B364&lt;&gt;"",'[1]Game Input'!$B364,"")</f>
        <v>0.83680555555555547</v>
      </c>
      <c r="E364" s="7">
        <f>IF('[1]Game Input'!$C364&lt;&gt;"",'[1]Game Input'!$C364,"")</f>
        <v>0.79513888888888884</v>
      </c>
      <c r="F364" s="8" t="str">
        <f>IF('[1]Game Input'!$D364&lt;&gt;"",'[1]Game Input'!$D364,"")</f>
        <v>Standard</v>
      </c>
      <c r="G364" s="8" t="str">
        <f>IF('[1]Game Input'!$G364&lt;&gt;"",'[1]Game Input'!$G364,"")</f>
        <v>DM @ OMA</v>
      </c>
      <c r="H364" s="8" t="str">
        <f>IF('[1]Game Input'!$H364&lt;&gt;"",'[1]Game Input'!$H364,"")</f>
        <v>Vs. Conference</v>
      </c>
      <c r="I364" s="8" t="str">
        <f>IF('[1]Game Input'!$I364&lt;&gt;"",'[1]Game Input'!$I364,"")</f>
        <v>DES MOINES</v>
      </c>
      <c r="J364" s="9">
        <f>IF('[1]Game Input'!$AC364&lt;&gt;"",'[1]Game Input'!$AC364,"")</f>
        <v>10</v>
      </c>
      <c r="K364" s="9">
        <f>IF('[1]Game Input'!$AD364&lt;&gt;"",'[1]Game Input'!$AD364,"")</f>
        <v>5</v>
      </c>
      <c r="L364" s="9">
        <f>IF('[1]Game Input'!$AJ364&lt;&gt;"",'[1]Game Input'!$AJ364,"")</f>
        <v>0</v>
      </c>
      <c r="M364" s="9">
        <f>IF('[1]Game Input'!$AK364&lt;&gt;"",'[1]Game Input'!$AK364,"")</f>
        <v>0</v>
      </c>
      <c r="N364" s="9">
        <f>IF('[1]Game Input'!$AN364&lt;&gt;"",'[1]Game Input'!$AN364,"")</f>
        <v>5</v>
      </c>
      <c r="O364" s="9">
        <f>IF('[1]Game Input'!$AO364&lt;&gt;"",'[1]Game Input'!$AO364,"")</f>
        <v>0</v>
      </c>
      <c r="P364" s="9">
        <f>IF('[1]Game Input'!$AP364&lt;&gt;"",'[1]Game Input'!$AP364,"")</f>
        <v>0</v>
      </c>
      <c r="Q364" s="9">
        <f>IF('[1]Game Input'!$AQ364&lt;&gt;"",'[1]Game Input'!$AQ364,"")</f>
        <v>0</v>
      </c>
      <c r="R364" s="9">
        <f>IF('[1]Game Input'!$AR364&lt;&gt;"",'[1]Game Input'!$AR364,"")</f>
        <v>0</v>
      </c>
      <c r="S364" s="9">
        <f>IF('[1]Game Input'!$AS364&lt;&gt;"",'[1]Game Input'!$AS364,"")</f>
        <v>0</v>
      </c>
      <c r="T364" s="10" t="str">
        <f>IF('[1]Game Input'!$BA364&lt;&gt;"",'[1]Game Input'!$BA364,"")</f>
        <v>OMAHA</v>
      </c>
      <c r="U364" s="9">
        <f>IF('[1]Game Input'!$BU364&lt;&gt;"",'[1]Game Input'!$BU364,"")</f>
        <v>6</v>
      </c>
      <c r="V364" s="9">
        <f>IF('[1]Game Input'!$BV364&lt;&gt;"",'[1]Game Input'!$BV364,"")</f>
        <v>3</v>
      </c>
      <c r="W364" s="9">
        <f>IF('[1]Game Input'!$CB364&lt;&gt;"",'[1]Game Input'!$CB364,"")</f>
        <v>0</v>
      </c>
      <c r="X364" s="9">
        <f>IF('[1]Game Input'!$CC364&lt;&gt;"",'[1]Game Input'!$CC364,"")</f>
        <v>0</v>
      </c>
      <c r="Y364" s="9">
        <f>IF('[1]Game Input'!$CF364&lt;&gt;"",'[1]Game Input'!$CF364,"")</f>
        <v>3</v>
      </c>
      <c r="Z364" s="9">
        <f>IF('[1]Game Input'!$CG364&lt;&gt;"",'[1]Game Input'!$CG364,"")</f>
        <v>0</v>
      </c>
      <c r="AA364" s="9">
        <f>IF('[1]Game Input'!$CH364&lt;&gt;"",'[1]Game Input'!$CH364,"")</f>
        <v>0</v>
      </c>
      <c r="AB364" s="9">
        <f>IF('[1]Game Input'!$CI364&lt;&gt;"",'[1]Game Input'!$CI364,"")</f>
        <v>0</v>
      </c>
      <c r="AC364" s="9">
        <f>IF('[1]Game Input'!$CJ364&lt;&gt;"",'[1]Game Input'!$CJ364,"")</f>
        <v>0</v>
      </c>
      <c r="AD364" s="9">
        <f>IF('[1]Game Input'!$CK364&lt;&gt;"",'[1]Game Input'!$CK364,"")</f>
        <v>0</v>
      </c>
      <c r="AE364" s="8" t="s">
        <v>98</v>
      </c>
      <c r="AF364" s="8"/>
      <c r="AG364" s="8" t="s">
        <v>130</v>
      </c>
      <c r="AH364" s="8" t="s">
        <v>114</v>
      </c>
    </row>
    <row r="365" spans="1:34" x14ac:dyDescent="0.2">
      <c r="A365" s="6">
        <f>IF('[1]Game Input'!$A365&lt;&gt;"",'[1]Game Input'!$A365,"")</f>
        <v>43512</v>
      </c>
      <c r="B365" s="6" t="str">
        <f>IF(A365&gt;$B$1,VLOOKUP(MONTH($A365),DOTWMonth,2,FALSE),"")</f>
        <v>February</v>
      </c>
      <c r="C365" s="10" t="str">
        <f>IF(A365&gt;$B$1,VLOOKUP(WEEKDAY($A365),DOTWMonth,3,FALSE),"")</f>
        <v>Saturday</v>
      </c>
      <c r="D365" s="7">
        <f>IF('[1]Game Input'!$B365&lt;&gt;"",'[1]Game Input'!$B365,"")</f>
        <v>0.83680555555555547</v>
      </c>
      <c r="E365" s="7">
        <f>IF('[1]Game Input'!$C365&lt;&gt;"",'[1]Game Input'!$C365,"")</f>
        <v>0.79513888888888884</v>
      </c>
      <c r="F365" s="8" t="str">
        <f>IF('[1]Game Input'!$D365&lt;&gt;"",'[1]Game Input'!$D365,"")</f>
        <v>Standard</v>
      </c>
      <c r="G365" s="8" t="str">
        <f>IF('[1]Game Input'!$G365&lt;&gt;"",'[1]Game Input'!$G365,"")</f>
        <v>WAT @ CR</v>
      </c>
      <c r="H365" s="8" t="str">
        <f>IF('[1]Game Input'!$H365&lt;&gt;"",'[1]Game Input'!$H365,"")</f>
        <v>Vs. Non-Conference</v>
      </c>
      <c r="I365" s="8" t="str">
        <f>IF('[1]Game Input'!$I365&lt;&gt;"",'[1]Game Input'!$I365,"")</f>
        <v>WATERLOO</v>
      </c>
      <c r="J365" s="9">
        <f>IF('[1]Game Input'!$AC365&lt;&gt;"",'[1]Game Input'!$AC365,"")</f>
        <v>12</v>
      </c>
      <c r="K365" s="9">
        <f>IF('[1]Game Input'!$AD365&lt;&gt;"",'[1]Game Input'!$AD365,"")</f>
        <v>6</v>
      </c>
      <c r="L365" s="9">
        <f>IF('[1]Game Input'!$AJ365&lt;&gt;"",'[1]Game Input'!$AJ365,"")</f>
        <v>0</v>
      </c>
      <c r="M365" s="9">
        <f>IF('[1]Game Input'!$AK365&lt;&gt;"",'[1]Game Input'!$AK365,"")</f>
        <v>0</v>
      </c>
      <c r="N365" s="9">
        <f>IF('[1]Game Input'!$AN365&lt;&gt;"",'[1]Game Input'!$AN365,"")</f>
        <v>6</v>
      </c>
      <c r="O365" s="9">
        <f>IF('[1]Game Input'!$AO365&lt;&gt;"",'[1]Game Input'!$AO365,"")</f>
        <v>0</v>
      </c>
      <c r="P365" s="9">
        <f>IF('[1]Game Input'!$AP365&lt;&gt;"",'[1]Game Input'!$AP365,"")</f>
        <v>0</v>
      </c>
      <c r="Q365" s="9">
        <f>IF('[1]Game Input'!$AQ365&lt;&gt;"",'[1]Game Input'!$AQ365,"")</f>
        <v>0</v>
      </c>
      <c r="R365" s="9">
        <f>IF('[1]Game Input'!$AR365&lt;&gt;"",'[1]Game Input'!$AR365,"")</f>
        <v>0</v>
      </c>
      <c r="S365" s="9">
        <f>IF('[1]Game Input'!$AS365&lt;&gt;"",'[1]Game Input'!$AS365,"")</f>
        <v>0</v>
      </c>
      <c r="T365" s="10" t="str">
        <f>IF('[1]Game Input'!$BA365&lt;&gt;"",'[1]Game Input'!$BA365,"")</f>
        <v>CEDAR RAPIDS</v>
      </c>
      <c r="U365" s="9">
        <f>IF('[1]Game Input'!$BU365&lt;&gt;"",'[1]Game Input'!$BU365,"")</f>
        <v>24</v>
      </c>
      <c r="V365" s="9">
        <f>IF('[1]Game Input'!$BV365&lt;&gt;"",'[1]Game Input'!$BV365,"")</f>
        <v>8</v>
      </c>
      <c r="W365" s="9">
        <f>IF('[1]Game Input'!$CB365&lt;&gt;"",'[1]Game Input'!$CB365,"")</f>
        <v>0</v>
      </c>
      <c r="X365" s="9">
        <f>IF('[1]Game Input'!$CC365&lt;&gt;"",'[1]Game Input'!$CC365,"")</f>
        <v>0</v>
      </c>
      <c r="Y365" s="9">
        <f>IF('[1]Game Input'!$CF365&lt;&gt;"",'[1]Game Input'!$CF365,"")</f>
        <v>7</v>
      </c>
      <c r="Z365" s="9">
        <f>IF('[1]Game Input'!$CG365&lt;&gt;"",'[1]Game Input'!$CG365,"")</f>
        <v>0</v>
      </c>
      <c r="AA365" s="9">
        <f>IF('[1]Game Input'!$CH365&lt;&gt;"",'[1]Game Input'!$CH365,"")</f>
        <v>1</v>
      </c>
      <c r="AB365" s="9">
        <f>IF('[1]Game Input'!$CI365&lt;&gt;"",'[1]Game Input'!$CI365,"")</f>
        <v>0</v>
      </c>
      <c r="AC365" s="9">
        <f>IF('[1]Game Input'!$CJ365&lt;&gt;"",'[1]Game Input'!$CJ365,"")</f>
        <v>0</v>
      </c>
      <c r="AD365" s="9">
        <f>IF('[1]Game Input'!$CK365&lt;&gt;"",'[1]Game Input'!$CK365,"")</f>
        <v>0</v>
      </c>
      <c r="AE365" s="8" t="s">
        <v>90</v>
      </c>
      <c r="AF365" s="8"/>
      <c r="AG365" s="8" t="s">
        <v>108</v>
      </c>
      <c r="AH365" s="8" t="s">
        <v>111</v>
      </c>
    </row>
    <row r="366" spans="1:34" x14ac:dyDescent="0.2">
      <c r="A366" s="6">
        <f>IF('[1]Game Input'!$A366&lt;&gt;"",'[1]Game Input'!$A366,"")</f>
        <v>43512</v>
      </c>
      <c r="B366" s="6" t="str">
        <f>IF(A366&gt;$B$1,VLOOKUP(MONTH($A366),DOTWMonth,2,FALSE),"")</f>
        <v>February</v>
      </c>
      <c r="C366" s="10" t="str">
        <f>IF(A366&gt;$B$1,VLOOKUP(WEEKDAY($A366),DOTWMonth,3,FALSE),"")</f>
        <v>Saturday</v>
      </c>
      <c r="D366" s="7">
        <f>IF('[1]Game Input'!$B366&lt;&gt;"",'[1]Game Input'!$B366,"")</f>
        <v>0.83819444444444446</v>
      </c>
      <c r="E366" s="7">
        <f>IF('[1]Game Input'!$C366&lt;&gt;"",'[1]Game Input'!$C366,"")</f>
        <v>0.79652777777777783</v>
      </c>
      <c r="F366" s="8" t="str">
        <f>IF('[1]Game Input'!$D366&lt;&gt;"",'[1]Game Input'!$D366,"")</f>
        <v>Standard</v>
      </c>
      <c r="G366" s="8" t="str">
        <f>IF('[1]Game Input'!$G366&lt;&gt;"",'[1]Game Input'!$G366,"")</f>
        <v>TC @ CIL</v>
      </c>
      <c r="H366" s="8" t="str">
        <f>IF('[1]Game Input'!$H366&lt;&gt;"",'[1]Game Input'!$H366,"")</f>
        <v>Vs. Non-Conference</v>
      </c>
      <c r="I366" s="8" t="str">
        <f>IF('[1]Game Input'!$I366&lt;&gt;"",'[1]Game Input'!$I366,"")</f>
        <v>TRI-CITY</v>
      </c>
      <c r="J366" s="9">
        <f>IF('[1]Game Input'!$AC366&lt;&gt;"",'[1]Game Input'!$AC366,"")</f>
        <v>10</v>
      </c>
      <c r="K366" s="9">
        <f>IF('[1]Game Input'!$AD366&lt;&gt;"",'[1]Game Input'!$AD366,"")</f>
        <v>5</v>
      </c>
      <c r="L366" s="9">
        <f>IF('[1]Game Input'!$AJ366&lt;&gt;"",'[1]Game Input'!$AJ366,"")</f>
        <v>0</v>
      </c>
      <c r="M366" s="9">
        <f>IF('[1]Game Input'!$AK366&lt;&gt;"",'[1]Game Input'!$AK366,"")</f>
        <v>0</v>
      </c>
      <c r="N366" s="9">
        <f>IF('[1]Game Input'!$AN366&lt;&gt;"",'[1]Game Input'!$AN366,"")</f>
        <v>5</v>
      </c>
      <c r="O366" s="9">
        <f>IF('[1]Game Input'!$AO366&lt;&gt;"",'[1]Game Input'!$AO366,"")</f>
        <v>0</v>
      </c>
      <c r="P366" s="9">
        <f>IF('[1]Game Input'!$AP366&lt;&gt;"",'[1]Game Input'!$AP366,"")</f>
        <v>0</v>
      </c>
      <c r="Q366" s="9">
        <f>IF('[1]Game Input'!$AQ366&lt;&gt;"",'[1]Game Input'!$AQ366,"")</f>
        <v>0</v>
      </c>
      <c r="R366" s="9">
        <f>IF('[1]Game Input'!$AR366&lt;&gt;"",'[1]Game Input'!$AR366,"")</f>
        <v>0</v>
      </c>
      <c r="S366" s="9">
        <f>IF('[1]Game Input'!$AS366&lt;&gt;"",'[1]Game Input'!$AS366,"")</f>
        <v>0</v>
      </c>
      <c r="T366" s="10" t="str">
        <f>IF('[1]Game Input'!$BA366&lt;&gt;"",'[1]Game Input'!$BA366,"")</f>
        <v>CENTRAL ILLINOIS</v>
      </c>
      <c r="U366" s="9">
        <f>IF('[1]Game Input'!$BU366&lt;&gt;"",'[1]Game Input'!$BU366,"")</f>
        <v>20</v>
      </c>
      <c r="V366" s="9">
        <f>IF('[1]Game Input'!$BV366&lt;&gt;"",'[1]Game Input'!$BV366,"")</f>
        <v>10</v>
      </c>
      <c r="W366" s="9">
        <f>IF('[1]Game Input'!$CB366&lt;&gt;"",'[1]Game Input'!$CB366,"")</f>
        <v>0</v>
      </c>
      <c r="X366" s="9">
        <f>IF('[1]Game Input'!$CC366&lt;&gt;"",'[1]Game Input'!$CC366,"")</f>
        <v>0</v>
      </c>
      <c r="Y366" s="9">
        <f>IF('[1]Game Input'!$CF366&lt;&gt;"",'[1]Game Input'!$CF366,"")</f>
        <v>10</v>
      </c>
      <c r="Z366" s="9">
        <f>IF('[1]Game Input'!$CG366&lt;&gt;"",'[1]Game Input'!$CG366,"")</f>
        <v>0</v>
      </c>
      <c r="AA366" s="9">
        <f>IF('[1]Game Input'!$CH366&lt;&gt;"",'[1]Game Input'!$CH366,"")</f>
        <v>0</v>
      </c>
      <c r="AB366" s="9">
        <f>IF('[1]Game Input'!$CI366&lt;&gt;"",'[1]Game Input'!$CI366,"")</f>
        <v>0</v>
      </c>
      <c r="AC366" s="9">
        <f>IF('[1]Game Input'!$CJ366&lt;&gt;"",'[1]Game Input'!$CJ366,"")</f>
        <v>0</v>
      </c>
      <c r="AD366" s="9">
        <f>IF('[1]Game Input'!$CK366&lt;&gt;"",'[1]Game Input'!$CK366,"")</f>
        <v>0</v>
      </c>
      <c r="AE366" s="8" t="s">
        <v>105</v>
      </c>
      <c r="AF366" s="8"/>
      <c r="AG366" s="8" t="s">
        <v>122</v>
      </c>
      <c r="AH366" s="8" t="s">
        <v>113</v>
      </c>
    </row>
    <row r="367" spans="1:34" x14ac:dyDescent="0.2">
      <c r="A367" s="6">
        <f>IF('[1]Game Input'!$A367&lt;&gt;"",'[1]Game Input'!$A367,"")</f>
        <v>43513</v>
      </c>
      <c r="B367" s="6" t="str">
        <f>IF(A367&gt;$B$1,VLOOKUP(MONTH($A367),DOTWMonth,2,FALSE),"")</f>
        <v>February</v>
      </c>
      <c r="C367" s="10" t="str">
        <f>IF(A367&gt;$B$1,VLOOKUP(WEEKDAY($A367),DOTWMonth,3,FALSE),"")</f>
        <v>Sunday</v>
      </c>
      <c r="D367" s="7">
        <f>IF('[1]Game Input'!$B367&lt;&gt;"",'[1]Game Input'!$B367,"")</f>
        <v>0.62847222222222221</v>
      </c>
      <c r="E367" s="7">
        <f>IF('[1]Game Input'!$C367&lt;&gt;"",'[1]Game Input'!$C367,"")</f>
        <v>0.58680555555555558</v>
      </c>
      <c r="F367" s="8" t="str">
        <f>IF('[1]Game Input'!$D367&lt;&gt;"",'[1]Game Input'!$D367,"")</f>
        <v>Standard</v>
      </c>
      <c r="G367" s="8" t="str">
        <f>IF('[1]Game Input'!$G367&lt;&gt;"",'[1]Game Input'!$G367,"")</f>
        <v>DUB @ MAD</v>
      </c>
      <c r="H367" s="8" t="str">
        <f>IF('[1]Game Input'!$H367&lt;&gt;"",'[1]Game Input'!$H367,"")</f>
        <v>Vs. Conference</v>
      </c>
      <c r="I367" s="8" t="str">
        <f>IF('[1]Game Input'!$I367&lt;&gt;"",'[1]Game Input'!$I367,"")</f>
        <v>DUBUQUE</v>
      </c>
      <c r="J367" s="9">
        <f>IF('[1]Game Input'!$AC367&lt;&gt;"",'[1]Game Input'!$AC367,"")</f>
        <v>2</v>
      </c>
      <c r="K367" s="9">
        <f>IF('[1]Game Input'!$AD367&lt;&gt;"",'[1]Game Input'!$AD367,"")</f>
        <v>1</v>
      </c>
      <c r="L367" s="9">
        <f>IF('[1]Game Input'!$AJ367&lt;&gt;"",'[1]Game Input'!$AJ367,"")</f>
        <v>0</v>
      </c>
      <c r="M367" s="9">
        <f>IF('[1]Game Input'!$AK367&lt;&gt;"",'[1]Game Input'!$AK367,"")</f>
        <v>0</v>
      </c>
      <c r="N367" s="9">
        <f>IF('[1]Game Input'!$AN367&lt;&gt;"",'[1]Game Input'!$AN367,"")</f>
        <v>1</v>
      </c>
      <c r="O367" s="9">
        <f>IF('[1]Game Input'!$AO367&lt;&gt;"",'[1]Game Input'!$AO367,"")</f>
        <v>0</v>
      </c>
      <c r="P367" s="9">
        <f>IF('[1]Game Input'!$AP367&lt;&gt;"",'[1]Game Input'!$AP367,"")</f>
        <v>0</v>
      </c>
      <c r="Q367" s="9">
        <f>IF('[1]Game Input'!$AQ367&lt;&gt;"",'[1]Game Input'!$AQ367,"")</f>
        <v>0</v>
      </c>
      <c r="R367" s="9">
        <f>IF('[1]Game Input'!$AR367&lt;&gt;"",'[1]Game Input'!$AR367,"")</f>
        <v>0</v>
      </c>
      <c r="S367" s="9">
        <f>IF('[1]Game Input'!$AS367&lt;&gt;"",'[1]Game Input'!$AS367,"")</f>
        <v>0</v>
      </c>
      <c r="T367" s="10" t="str">
        <f>IF('[1]Game Input'!$BA367&lt;&gt;"",'[1]Game Input'!$BA367,"")</f>
        <v>MADISON</v>
      </c>
      <c r="U367" s="9">
        <f>IF('[1]Game Input'!$BU367&lt;&gt;"",'[1]Game Input'!$BU367,"")</f>
        <v>8</v>
      </c>
      <c r="V367" s="9">
        <f>IF('[1]Game Input'!$BV367&lt;&gt;"",'[1]Game Input'!$BV367,"")</f>
        <v>4</v>
      </c>
      <c r="W367" s="9">
        <f>IF('[1]Game Input'!$CB367&lt;&gt;"",'[1]Game Input'!$CB367,"")</f>
        <v>0</v>
      </c>
      <c r="X367" s="9">
        <f>IF('[1]Game Input'!$CC367&lt;&gt;"",'[1]Game Input'!$CC367,"")</f>
        <v>0</v>
      </c>
      <c r="Y367" s="9">
        <f>IF('[1]Game Input'!$CF367&lt;&gt;"",'[1]Game Input'!$CF367,"")</f>
        <v>4</v>
      </c>
      <c r="Z367" s="9">
        <f>IF('[1]Game Input'!$CG367&lt;&gt;"",'[1]Game Input'!$CG367,"")</f>
        <v>0</v>
      </c>
      <c r="AA367" s="9">
        <f>IF('[1]Game Input'!$CH367&lt;&gt;"",'[1]Game Input'!$CH367,"")</f>
        <v>0</v>
      </c>
      <c r="AB367" s="9">
        <f>IF('[1]Game Input'!$CI367&lt;&gt;"",'[1]Game Input'!$CI367,"")</f>
        <v>0</v>
      </c>
      <c r="AC367" s="9">
        <f>IF('[1]Game Input'!$CJ367&lt;&gt;"",'[1]Game Input'!$CJ367,"")</f>
        <v>0</v>
      </c>
      <c r="AD367" s="9">
        <f>IF('[1]Game Input'!$CK367&lt;&gt;"",'[1]Game Input'!$CK367,"")</f>
        <v>0</v>
      </c>
      <c r="AE367" s="8"/>
      <c r="AF367" s="8"/>
      <c r="AG367" s="8"/>
      <c r="AH367" s="8"/>
    </row>
    <row r="368" spans="1:34" x14ac:dyDescent="0.2">
      <c r="A368" s="6">
        <f>IF('[1]Game Input'!$A368&lt;&gt;"",'[1]Game Input'!$A368,"")</f>
        <v>43513</v>
      </c>
      <c r="B368" s="6" t="str">
        <f>IF(A368&gt;$B$1,VLOOKUP(MONTH($A368),DOTWMonth,2,FALSE),"")</f>
        <v>February</v>
      </c>
      <c r="C368" s="10" t="str">
        <f>IF(A368&gt;$B$1,VLOOKUP(WEEKDAY($A368),DOTWMonth,3,FALSE),"")</f>
        <v>Sunday</v>
      </c>
      <c r="D368" s="7">
        <f>IF('[1]Game Input'!$B368&lt;&gt;"",'[1]Game Input'!$B368,"")</f>
        <v>0.63541666666666663</v>
      </c>
      <c r="E368" s="7">
        <f>IF('[1]Game Input'!$C368&lt;&gt;"",'[1]Game Input'!$C368,"")</f>
        <v>0.59375</v>
      </c>
      <c r="F368" s="8" t="str">
        <f>IF('[1]Game Input'!$D368&lt;&gt;"",'[1]Game Input'!$D368,"")</f>
        <v>Standard</v>
      </c>
      <c r="G368" s="8" t="str">
        <f>IF('[1]Game Input'!$G368&lt;&gt;"",'[1]Game Input'!$G368,"")</f>
        <v>SF @ MUS</v>
      </c>
      <c r="H368" s="8" t="str">
        <f>IF('[1]Game Input'!$H368&lt;&gt;"",'[1]Game Input'!$H368,"")</f>
        <v>Vs. Non-Conference</v>
      </c>
      <c r="I368" s="8" t="str">
        <f>IF('[1]Game Input'!$I368&lt;&gt;"",'[1]Game Input'!$I368,"")</f>
        <v>SIOUX FALLS</v>
      </c>
      <c r="J368" s="9">
        <f>IF('[1]Game Input'!$AC368&lt;&gt;"",'[1]Game Input'!$AC368,"")</f>
        <v>10</v>
      </c>
      <c r="K368" s="9">
        <f>IF('[1]Game Input'!$AD368&lt;&gt;"",'[1]Game Input'!$AD368,"")</f>
        <v>5</v>
      </c>
      <c r="L368" s="9">
        <f>IF('[1]Game Input'!$AJ368&lt;&gt;"",'[1]Game Input'!$AJ368,"")</f>
        <v>0</v>
      </c>
      <c r="M368" s="9">
        <f>IF('[1]Game Input'!$AK368&lt;&gt;"",'[1]Game Input'!$AK368,"")</f>
        <v>0</v>
      </c>
      <c r="N368" s="9">
        <f>IF('[1]Game Input'!$AN368&lt;&gt;"",'[1]Game Input'!$AN368,"")</f>
        <v>5</v>
      </c>
      <c r="O368" s="9">
        <f>IF('[1]Game Input'!$AO368&lt;&gt;"",'[1]Game Input'!$AO368,"")</f>
        <v>0</v>
      </c>
      <c r="P368" s="9">
        <f>IF('[1]Game Input'!$AP368&lt;&gt;"",'[1]Game Input'!$AP368,"")</f>
        <v>0</v>
      </c>
      <c r="Q368" s="9">
        <f>IF('[1]Game Input'!$AQ368&lt;&gt;"",'[1]Game Input'!$AQ368,"")</f>
        <v>0</v>
      </c>
      <c r="R368" s="9">
        <f>IF('[1]Game Input'!$AR368&lt;&gt;"",'[1]Game Input'!$AR368,"")</f>
        <v>0</v>
      </c>
      <c r="S368" s="9">
        <f>IF('[1]Game Input'!$AS368&lt;&gt;"",'[1]Game Input'!$AS368,"")</f>
        <v>0</v>
      </c>
      <c r="T368" s="10" t="str">
        <f>IF('[1]Game Input'!$BA368&lt;&gt;"",'[1]Game Input'!$BA368,"")</f>
        <v>MUSKEGON</v>
      </c>
      <c r="U368" s="9">
        <f>IF('[1]Game Input'!$BU368&lt;&gt;"",'[1]Game Input'!$BU368,"")</f>
        <v>6</v>
      </c>
      <c r="V368" s="9">
        <f>IF('[1]Game Input'!$BV368&lt;&gt;"",'[1]Game Input'!$BV368,"")</f>
        <v>3</v>
      </c>
      <c r="W368" s="9">
        <f>IF('[1]Game Input'!$CB368&lt;&gt;"",'[1]Game Input'!$CB368,"")</f>
        <v>0</v>
      </c>
      <c r="X368" s="9">
        <f>IF('[1]Game Input'!$CC368&lt;&gt;"",'[1]Game Input'!$CC368,"")</f>
        <v>0</v>
      </c>
      <c r="Y368" s="9">
        <f>IF('[1]Game Input'!$CF368&lt;&gt;"",'[1]Game Input'!$CF368,"")</f>
        <v>3</v>
      </c>
      <c r="Z368" s="9">
        <f>IF('[1]Game Input'!$CG368&lt;&gt;"",'[1]Game Input'!$CG368,"")</f>
        <v>0</v>
      </c>
      <c r="AA368" s="9">
        <f>IF('[1]Game Input'!$CH368&lt;&gt;"",'[1]Game Input'!$CH368,"")</f>
        <v>0</v>
      </c>
      <c r="AB368" s="9">
        <f>IF('[1]Game Input'!$CI368&lt;&gt;"",'[1]Game Input'!$CI368,"")</f>
        <v>0</v>
      </c>
      <c r="AC368" s="9">
        <f>IF('[1]Game Input'!$CJ368&lt;&gt;"",'[1]Game Input'!$CJ368,"")</f>
        <v>0</v>
      </c>
      <c r="AD368" s="9">
        <f>IF('[1]Game Input'!$CK368&lt;&gt;"",'[1]Game Input'!$CK368,"")</f>
        <v>0</v>
      </c>
      <c r="AE368" s="8"/>
      <c r="AF368" s="8"/>
      <c r="AG368" s="8"/>
      <c r="AH368" s="8"/>
    </row>
    <row r="369" spans="1:34" x14ac:dyDescent="0.2">
      <c r="A369" s="6">
        <f>IF('[1]Game Input'!$A369&lt;&gt;"",'[1]Game Input'!$A369,"")</f>
        <v>43513</v>
      </c>
      <c r="B369" s="6" t="str">
        <f>IF(A369&gt;$B$1,VLOOKUP(MONTH($A369),DOTWMonth,2,FALSE),"")</f>
        <v>February</v>
      </c>
      <c r="C369" s="10" t="str">
        <f>IF(A369&gt;$B$1,VLOOKUP(WEEKDAY($A369),DOTWMonth,3,FALSE),"")</f>
        <v>Sunday</v>
      </c>
      <c r="D369" s="7">
        <f>IF('[1]Game Input'!$B369&lt;&gt;"",'[1]Game Input'!$B369,"")</f>
        <v>0.67013888888888884</v>
      </c>
      <c r="E369" s="7">
        <f>IF('[1]Game Input'!$C369&lt;&gt;"",'[1]Game Input'!$C369,"")</f>
        <v>0.62847222222222221</v>
      </c>
      <c r="F369" s="8" t="str">
        <f>IF('[1]Game Input'!$D369&lt;&gt;"",'[1]Game Input'!$D369,"")</f>
        <v>Standard</v>
      </c>
      <c r="G369" s="8" t="str">
        <f>IF('[1]Game Input'!$G369&lt;&gt;"",'[1]Game Input'!$G369,"")</f>
        <v>TC @ WAT</v>
      </c>
      <c r="H369" s="8" t="str">
        <f>IF('[1]Game Input'!$H369&lt;&gt;"",'[1]Game Input'!$H369,"")</f>
        <v>Vs. Conference</v>
      </c>
      <c r="I369" s="8" t="str">
        <f>IF('[1]Game Input'!$I369&lt;&gt;"",'[1]Game Input'!$I369,"")</f>
        <v>TRI-CITY</v>
      </c>
      <c r="J369" s="9">
        <f>IF('[1]Game Input'!$AC369&lt;&gt;"",'[1]Game Input'!$AC369,"")</f>
        <v>12</v>
      </c>
      <c r="K369" s="9">
        <f>IF('[1]Game Input'!$AD369&lt;&gt;"",'[1]Game Input'!$AD369,"")</f>
        <v>6</v>
      </c>
      <c r="L369" s="9">
        <f>IF('[1]Game Input'!$AJ369&lt;&gt;"",'[1]Game Input'!$AJ369,"")</f>
        <v>1</v>
      </c>
      <c r="M369" s="9">
        <f>IF('[1]Game Input'!$AK369&lt;&gt;"",'[1]Game Input'!$AK369,"")</f>
        <v>1</v>
      </c>
      <c r="N369" s="9">
        <f>IF('[1]Game Input'!$AN369&lt;&gt;"",'[1]Game Input'!$AN369,"")</f>
        <v>6</v>
      </c>
      <c r="O369" s="9">
        <f>IF('[1]Game Input'!$AO369&lt;&gt;"",'[1]Game Input'!$AO369,"")</f>
        <v>0</v>
      </c>
      <c r="P369" s="9">
        <f>IF('[1]Game Input'!$AP369&lt;&gt;"",'[1]Game Input'!$AP369,"")</f>
        <v>0</v>
      </c>
      <c r="Q369" s="9">
        <f>IF('[1]Game Input'!$AQ369&lt;&gt;"",'[1]Game Input'!$AQ369,"")</f>
        <v>0</v>
      </c>
      <c r="R369" s="9">
        <f>IF('[1]Game Input'!$AR369&lt;&gt;"",'[1]Game Input'!$AR369,"")</f>
        <v>0</v>
      </c>
      <c r="S369" s="9">
        <f>IF('[1]Game Input'!$AS369&lt;&gt;"",'[1]Game Input'!$AS369,"")</f>
        <v>1</v>
      </c>
      <c r="T369" s="10" t="str">
        <f>IF('[1]Game Input'!$BA369&lt;&gt;"",'[1]Game Input'!$BA369,"")</f>
        <v>WATERLOO</v>
      </c>
      <c r="U369" s="9">
        <f>IF('[1]Game Input'!$BU369&lt;&gt;"",'[1]Game Input'!$BU369,"")</f>
        <v>14</v>
      </c>
      <c r="V369" s="9">
        <f>IF('[1]Game Input'!$BV369&lt;&gt;"",'[1]Game Input'!$BV369,"")</f>
        <v>8</v>
      </c>
      <c r="W369" s="9">
        <f>IF('[1]Game Input'!$CB369&lt;&gt;"",'[1]Game Input'!$CB369,"")</f>
        <v>0</v>
      </c>
      <c r="X369" s="9">
        <f>IF('[1]Game Input'!$CC369&lt;&gt;"",'[1]Game Input'!$CC369,"")</f>
        <v>0</v>
      </c>
      <c r="Y369" s="9">
        <f>IF('[1]Game Input'!$CF369&lt;&gt;"",'[1]Game Input'!$CF369,"")</f>
        <v>7</v>
      </c>
      <c r="Z369" s="9">
        <f>IF('[1]Game Input'!$CG369&lt;&gt;"",'[1]Game Input'!$CG369,"")</f>
        <v>0</v>
      </c>
      <c r="AA369" s="9">
        <f>IF('[1]Game Input'!$CH369&lt;&gt;"",'[1]Game Input'!$CH369,"")</f>
        <v>0</v>
      </c>
      <c r="AB369" s="9">
        <f>IF('[1]Game Input'!$CI369&lt;&gt;"",'[1]Game Input'!$CI369,"")</f>
        <v>0</v>
      </c>
      <c r="AC369" s="9">
        <f>IF('[1]Game Input'!$CJ369&lt;&gt;"",'[1]Game Input'!$CJ369,"")</f>
        <v>0</v>
      </c>
      <c r="AD369" s="9">
        <f>IF('[1]Game Input'!$CK369&lt;&gt;"",'[1]Game Input'!$CK369,"")</f>
        <v>0</v>
      </c>
      <c r="AE369" s="8"/>
      <c r="AF369" s="8"/>
      <c r="AG369" s="8"/>
      <c r="AH369" s="8"/>
    </row>
    <row r="370" spans="1:34" x14ac:dyDescent="0.2">
      <c r="A370" s="6">
        <f>IF('[1]Game Input'!$A370&lt;&gt;"",'[1]Game Input'!$A370,"")</f>
        <v>43513</v>
      </c>
      <c r="B370" s="6" t="str">
        <f>IF(A370&gt;$B$1,VLOOKUP(MONTH($A370),DOTWMonth,2,FALSE),"")</f>
        <v>February</v>
      </c>
      <c r="C370" s="10" t="str">
        <f>IF(A370&gt;$B$1,VLOOKUP(WEEKDAY($A370),DOTWMonth,3,FALSE),"")</f>
        <v>Sunday</v>
      </c>
      <c r="D370" s="7">
        <f>IF('[1]Game Input'!$B370&lt;&gt;"",'[1]Game Input'!$B370,"")</f>
        <v>0.7534722222222221</v>
      </c>
      <c r="E370" s="7">
        <f>IF('[1]Game Input'!$C370&lt;&gt;"",'[1]Game Input'!$C370,"")</f>
        <v>0.71180555555555547</v>
      </c>
      <c r="F370" s="8" t="str">
        <f>IF('[1]Game Input'!$D370&lt;&gt;"",'[1]Game Input'!$D370,"")</f>
        <v>Standard</v>
      </c>
      <c r="G370" s="8" t="str">
        <f>IF('[1]Game Input'!$G370&lt;&gt;"",'[1]Game Input'!$G370,"")</f>
        <v>LIN @ FGO</v>
      </c>
      <c r="H370" s="8" t="str">
        <f>IF('[1]Game Input'!$H370&lt;&gt;"",'[1]Game Input'!$H370,"")</f>
        <v>Vs. Conference</v>
      </c>
      <c r="I370" s="8" t="str">
        <f>IF('[1]Game Input'!$I370&lt;&gt;"",'[1]Game Input'!$I370,"")</f>
        <v>LINCOLN</v>
      </c>
      <c r="J370" s="9">
        <f>IF('[1]Game Input'!$AC370&lt;&gt;"",'[1]Game Input'!$AC370,"")</f>
        <v>17</v>
      </c>
      <c r="K370" s="9">
        <f>IF('[1]Game Input'!$AD370&lt;&gt;"",'[1]Game Input'!$AD370,"")</f>
        <v>3</v>
      </c>
      <c r="L370" s="9">
        <f>IF('[1]Game Input'!$AJ370&lt;&gt;"",'[1]Game Input'!$AJ370,"")</f>
        <v>0</v>
      </c>
      <c r="M370" s="9">
        <f>IF('[1]Game Input'!$AK370&lt;&gt;"",'[1]Game Input'!$AK370,"")</f>
        <v>0</v>
      </c>
      <c r="N370" s="9">
        <f>IF('[1]Game Input'!$AN370&lt;&gt;"",'[1]Game Input'!$AN370,"")</f>
        <v>1</v>
      </c>
      <c r="O370" s="9">
        <f>IF('[1]Game Input'!$AO370&lt;&gt;"",'[1]Game Input'!$AO370,"")</f>
        <v>1</v>
      </c>
      <c r="P370" s="9">
        <f>IF('[1]Game Input'!$AP370&lt;&gt;"",'[1]Game Input'!$AP370,"")</f>
        <v>1</v>
      </c>
      <c r="Q370" s="9">
        <f>IF('[1]Game Input'!$AQ370&lt;&gt;"",'[1]Game Input'!$AQ370,"")</f>
        <v>0</v>
      </c>
      <c r="R370" s="9">
        <f>IF('[1]Game Input'!$AR370&lt;&gt;"",'[1]Game Input'!$AR370,"")</f>
        <v>0</v>
      </c>
      <c r="S370" s="9">
        <f>IF('[1]Game Input'!$AS370&lt;&gt;"",'[1]Game Input'!$AS370,"")</f>
        <v>0</v>
      </c>
      <c r="T370" s="10" t="str">
        <f>IF('[1]Game Input'!$BA370&lt;&gt;"",'[1]Game Input'!$BA370,"")</f>
        <v>FARGO</v>
      </c>
      <c r="U370" s="9">
        <f>IF('[1]Game Input'!$BU370&lt;&gt;"",'[1]Game Input'!$BU370,"")</f>
        <v>21</v>
      </c>
      <c r="V370" s="9">
        <f>IF('[1]Game Input'!$BV370&lt;&gt;"",'[1]Game Input'!$BV370,"")</f>
        <v>5</v>
      </c>
      <c r="W370" s="9">
        <f>IF('[1]Game Input'!$CB370&lt;&gt;"",'[1]Game Input'!$CB370,"")</f>
        <v>0</v>
      </c>
      <c r="X370" s="9">
        <f>IF('[1]Game Input'!$CC370&lt;&gt;"",'[1]Game Input'!$CC370,"")</f>
        <v>0</v>
      </c>
      <c r="Y370" s="9">
        <f>IF('[1]Game Input'!$CF370&lt;&gt;"",'[1]Game Input'!$CF370,"")</f>
        <v>3</v>
      </c>
      <c r="Z370" s="9">
        <f>IF('[1]Game Input'!$CG370&lt;&gt;"",'[1]Game Input'!$CG370,"")</f>
        <v>1</v>
      </c>
      <c r="AA370" s="9">
        <f>IF('[1]Game Input'!$CH370&lt;&gt;"",'[1]Game Input'!$CH370,"")</f>
        <v>1</v>
      </c>
      <c r="AB370" s="9">
        <f>IF('[1]Game Input'!$CI370&lt;&gt;"",'[1]Game Input'!$CI370,"")</f>
        <v>0</v>
      </c>
      <c r="AC370" s="9">
        <f>IF('[1]Game Input'!$CJ370&lt;&gt;"",'[1]Game Input'!$CJ370,"")</f>
        <v>0</v>
      </c>
      <c r="AD370" s="9">
        <f>IF('[1]Game Input'!$CK370&lt;&gt;"",'[1]Game Input'!$CK370,"")</f>
        <v>0</v>
      </c>
      <c r="AE370" s="8"/>
      <c r="AF370" s="8"/>
      <c r="AG370" s="8"/>
      <c r="AH370" s="8"/>
    </row>
    <row r="371" spans="1:34" x14ac:dyDescent="0.2">
      <c r="A371" s="6">
        <f>IF('[1]Game Input'!$A371&lt;&gt;"",'[1]Game Input'!$A371,"")</f>
        <v>43513</v>
      </c>
      <c r="B371" s="6" t="str">
        <f>IF(A371&gt;$B$1,VLOOKUP(MONTH($A371),DOTWMonth,2,FALSE),"")</f>
        <v>February</v>
      </c>
      <c r="C371" s="10" t="str">
        <f>IF(A371&gt;$B$1,VLOOKUP(WEEKDAY($A371),DOTWMonth,3,FALSE),"")</f>
        <v>Sunday</v>
      </c>
      <c r="D371" s="7">
        <f>IF('[1]Game Input'!$B371&lt;&gt;"",'[1]Game Input'!$B371,"")</f>
        <v>0.83680555555555547</v>
      </c>
      <c r="E371" s="7">
        <f>IF('[1]Game Input'!$C371&lt;&gt;"",'[1]Game Input'!$C371,"")</f>
        <v>0.79513888888888884</v>
      </c>
      <c r="F371" s="8" t="str">
        <f>IF('[1]Game Input'!$D371&lt;&gt;"",'[1]Game Input'!$D371,"")</f>
        <v>Standard</v>
      </c>
      <c r="G371" s="8" t="str">
        <f>IF('[1]Game Input'!$G371&lt;&gt;"",'[1]Game Input'!$G371,"")</f>
        <v>CR @ GB</v>
      </c>
      <c r="H371" s="8" t="str">
        <f>IF('[1]Game Input'!$H371&lt;&gt;"",'[1]Game Input'!$H371,"")</f>
        <v>Vs. Conference</v>
      </c>
      <c r="I371" s="8" t="str">
        <f>IF('[1]Game Input'!$I371&lt;&gt;"",'[1]Game Input'!$I371,"")</f>
        <v>CEDAR RAPIDS</v>
      </c>
      <c r="J371" s="9">
        <f>IF('[1]Game Input'!$AC371&lt;&gt;"",'[1]Game Input'!$AC371,"")</f>
        <v>4</v>
      </c>
      <c r="K371" s="9">
        <f>IF('[1]Game Input'!$AD371&lt;&gt;"",'[1]Game Input'!$AD371,"")</f>
        <v>2</v>
      </c>
      <c r="L371" s="9">
        <f>IF('[1]Game Input'!$AJ371&lt;&gt;"",'[1]Game Input'!$AJ371,"")</f>
        <v>0</v>
      </c>
      <c r="M371" s="9">
        <f>IF('[1]Game Input'!$AK371&lt;&gt;"",'[1]Game Input'!$AK371,"")</f>
        <v>0</v>
      </c>
      <c r="N371" s="9">
        <f>IF('[1]Game Input'!$AN371&lt;&gt;"",'[1]Game Input'!$AN371,"")</f>
        <v>2</v>
      </c>
      <c r="O371" s="9">
        <f>IF('[1]Game Input'!$AO371&lt;&gt;"",'[1]Game Input'!$AO371,"")</f>
        <v>0</v>
      </c>
      <c r="P371" s="9">
        <f>IF('[1]Game Input'!$AP371&lt;&gt;"",'[1]Game Input'!$AP371,"")</f>
        <v>0</v>
      </c>
      <c r="Q371" s="9">
        <f>IF('[1]Game Input'!$AQ371&lt;&gt;"",'[1]Game Input'!$AQ371,"")</f>
        <v>0</v>
      </c>
      <c r="R371" s="9">
        <f>IF('[1]Game Input'!$AR371&lt;&gt;"",'[1]Game Input'!$AR371,"")</f>
        <v>0</v>
      </c>
      <c r="S371" s="9">
        <f>IF('[1]Game Input'!$AS371&lt;&gt;"",'[1]Game Input'!$AS371,"")</f>
        <v>0</v>
      </c>
      <c r="T371" s="10" t="str">
        <f>IF('[1]Game Input'!$BA371&lt;&gt;"",'[1]Game Input'!$BA371,"")</f>
        <v>GREEN BAY</v>
      </c>
      <c r="U371" s="9">
        <f>IF('[1]Game Input'!$BU371&lt;&gt;"",'[1]Game Input'!$BU371,"")</f>
        <v>4</v>
      </c>
      <c r="V371" s="9">
        <f>IF('[1]Game Input'!$BV371&lt;&gt;"",'[1]Game Input'!$BV371,"")</f>
        <v>2</v>
      </c>
      <c r="W371" s="9">
        <f>IF('[1]Game Input'!$CB371&lt;&gt;"",'[1]Game Input'!$CB371,"")</f>
        <v>0</v>
      </c>
      <c r="X371" s="9">
        <f>IF('[1]Game Input'!$CC371&lt;&gt;"",'[1]Game Input'!$CC371,"")</f>
        <v>0</v>
      </c>
      <c r="Y371" s="9">
        <f>IF('[1]Game Input'!$CF371&lt;&gt;"",'[1]Game Input'!$CF371,"")</f>
        <v>2</v>
      </c>
      <c r="Z371" s="9">
        <f>IF('[1]Game Input'!$CG371&lt;&gt;"",'[1]Game Input'!$CG371,"")</f>
        <v>0</v>
      </c>
      <c r="AA371" s="9">
        <f>IF('[1]Game Input'!$CH371&lt;&gt;"",'[1]Game Input'!$CH371,"")</f>
        <v>0</v>
      </c>
      <c r="AB371" s="9">
        <f>IF('[1]Game Input'!$CI371&lt;&gt;"",'[1]Game Input'!$CI371,"")</f>
        <v>0</v>
      </c>
      <c r="AC371" s="9">
        <f>IF('[1]Game Input'!$CJ371&lt;&gt;"",'[1]Game Input'!$CJ371,"")</f>
        <v>0</v>
      </c>
      <c r="AD371" s="9">
        <f>IF('[1]Game Input'!$CK371&lt;&gt;"",'[1]Game Input'!$CK371,"")</f>
        <v>0</v>
      </c>
      <c r="AE371" s="8" t="s">
        <v>92</v>
      </c>
      <c r="AF371" s="8" t="s">
        <v>133</v>
      </c>
      <c r="AG371" s="8" t="s">
        <v>121</v>
      </c>
      <c r="AH371" s="8" t="s">
        <v>161</v>
      </c>
    </row>
    <row r="372" spans="1:34" x14ac:dyDescent="0.2">
      <c r="A372" s="6">
        <f>IF('[1]Game Input'!$A372&lt;&gt;"",'[1]Game Input'!$A372,"")</f>
        <v>43515</v>
      </c>
      <c r="B372" s="6" t="str">
        <f>IF(A372&gt;$B$1,VLOOKUP(MONTH($A372),DOTWMonth,2,FALSE),"")</f>
        <v>February</v>
      </c>
      <c r="C372" s="10" t="str">
        <f>IF(A372&gt;$B$1,VLOOKUP(WEEKDAY($A372),DOTWMonth,3,FALSE),"")</f>
        <v>Tuesday</v>
      </c>
      <c r="D372" s="7">
        <f>IF('[1]Game Input'!$B372&lt;&gt;"",'[1]Game Input'!$B372,"")</f>
        <v>0.8159722222222221</v>
      </c>
      <c r="E372" s="7">
        <f>IF('[1]Game Input'!$C372&lt;&gt;"",'[1]Game Input'!$C372,"")</f>
        <v>0.77430555555555547</v>
      </c>
      <c r="F372" s="8" t="str">
        <f>IF('[1]Game Input'!$D372&lt;&gt;"",'[1]Game Input'!$D372,"")</f>
        <v>Standard</v>
      </c>
      <c r="G372" s="8" t="str">
        <f>IF('[1]Game Input'!$G372&lt;&gt;"",'[1]Game Input'!$G372,"")</f>
        <v>FGO @ SC</v>
      </c>
      <c r="H372" s="8" t="str">
        <f>IF('[1]Game Input'!$H372&lt;&gt;"",'[1]Game Input'!$H372,"")</f>
        <v>Vs. Conference</v>
      </c>
      <c r="I372" s="8" t="str">
        <f>IF('[1]Game Input'!$I372&lt;&gt;"",'[1]Game Input'!$I372,"")</f>
        <v>FARGO</v>
      </c>
      <c r="J372" s="9">
        <f>IF('[1]Game Input'!$AC372&lt;&gt;"",'[1]Game Input'!$AC372,"")</f>
        <v>10</v>
      </c>
      <c r="K372" s="9">
        <f>IF('[1]Game Input'!$AD372&lt;&gt;"",'[1]Game Input'!$AD372,"")</f>
        <v>5</v>
      </c>
      <c r="L372" s="9">
        <f>IF('[1]Game Input'!$AJ372&lt;&gt;"",'[1]Game Input'!$AJ372,"")</f>
        <v>0</v>
      </c>
      <c r="M372" s="9">
        <f>IF('[1]Game Input'!$AK372&lt;&gt;"",'[1]Game Input'!$AK372,"")</f>
        <v>0</v>
      </c>
      <c r="N372" s="9">
        <f>IF('[1]Game Input'!$AN372&lt;&gt;"",'[1]Game Input'!$AN372,"")</f>
        <v>5</v>
      </c>
      <c r="O372" s="9">
        <f>IF('[1]Game Input'!$AO372&lt;&gt;"",'[1]Game Input'!$AO372,"")</f>
        <v>0</v>
      </c>
      <c r="P372" s="9">
        <f>IF('[1]Game Input'!$AP372&lt;&gt;"",'[1]Game Input'!$AP372,"")</f>
        <v>0</v>
      </c>
      <c r="Q372" s="9">
        <f>IF('[1]Game Input'!$AQ372&lt;&gt;"",'[1]Game Input'!$AQ372,"")</f>
        <v>0</v>
      </c>
      <c r="R372" s="9">
        <f>IF('[1]Game Input'!$AR372&lt;&gt;"",'[1]Game Input'!$AR372,"")</f>
        <v>0</v>
      </c>
      <c r="S372" s="9">
        <f>IF('[1]Game Input'!$AS372&lt;&gt;"",'[1]Game Input'!$AS372,"")</f>
        <v>0</v>
      </c>
      <c r="T372" s="10" t="str">
        <f>IF('[1]Game Input'!$BA372&lt;&gt;"",'[1]Game Input'!$BA372,"")</f>
        <v>SIOUX CITY</v>
      </c>
      <c r="U372" s="9">
        <f>IF('[1]Game Input'!$BU372&lt;&gt;"",'[1]Game Input'!$BU372,"")</f>
        <v>10</v>
      </c>
      <c r="V372" s="9">
        <f>IF('[1]Game Input'!$BV372&lt;&gt;"",'[1]Game Input'!$BV372,"")</f>
        <v>5</v>
      </c>
      <c r="W372" s="9">
        <f>IF('[1]Game Input'!$CB372&lt;&gt;"",'[1]Game Input'!$CB372,"")</f>
        <v>0</v>
      </c>
      <c r="X372" s="9">
        <f>IF('[1]Game Input'!$CC372&lt;&gt;"",'[1]Game Input'!$CC372,"")</f>
        <v>0</v>
      </c>
      <c r="Y372" s="9">
        <f>IF('[1]Game Input'!$CF372&lt;&gt;"",'[1]Game Input'!$CF372,"")</f>
        <v>5</v>
      </c>
      <c r="Z372" s="9">
        <f>IF('[1]Game Input'!$CG372&lt;&gt;"",'[1]Game Input'!$CG372,"")</f>
        <v>0</v>
      </c>
      <c r="AA372" s="9">
        <f>IF('[1]Game Input'!$CH372&lt;&gt;"",'[1]Game Input'!$CH372,"")</f>
        <v>0</v>
      </c>
      <c r="AB372" s="9">
        <f>IF('[1]Game Input'!$CI372&lt;&gt;"",'[1]Game Input'!$CI372,"")</f>
        <v>0</v>
      </c>
      <c r="AC372" s="9">
        <f>IF('[1]Game Input'!$CJ372&lt;&gt;"",'[1]Game Input'!$CJ372,"")</f>
        <v>0</v>
      </c>
      <c r="AD372" s="9">
        <f>IF('[1]Game Input'!$CK372&lt;&gt;"",'[1]Game Input'!$CK372,"")</f>
        <v>0</v>
      </c>
      <c r="AE372" s="8"/>
      <c r="AF372" s="8"/>
      <c r="AG372" s="8"/>
      <c r="AH372" s="8"/>
    </row>
    <row r="373" spans="1:34" x14ac:dyDescent="0.2">
      <c r="A373" s="6">
        <f>IF('[1]Game Input'!$A373&lt;&gt;"",'[1]Game Input'!$A373,"")</f>
        <v>43517</v>
      </c>
      <c r="B373" s="6" t="str">
        <f>IF(A373&gt;$B$1,VLOOKUP(MONTH($A373),DOTWMonth,2,FALSE),"")</f>
        <v>February</v>
      </c>
      <c r="C373" s="10" t="str">
        <f>IF(A373&gt;$B$1,VLOOKUP(WEEKDAY($A373),DOTWMonth,3,FALSE),"")</f>
        <v>Thursday</v>
      </c>
      <c r="D373" s="7">
        <f>IF('[1]Game Input'!$B373&lt;&gt;"",'[1]Game Input'!$B373,"")</f>
        <v>0.50486111111111109</v>
      </c>
      <c r="E373" s="7">
        <f>IF('[1]Game Input'!$C373&lt;&gt;"",'[1]Game Input'!$C373,"")</f>
        <v>0.46319444444444446</v>
      </c>
      <c r="F373" s="8" t="str">
        <f>IF('[1]Game Input'!$D373&lt;&gt;"",'[1]Game Input'!$D373,"")</f>
        <v>Standard</v>
      </c>
      <c r="G373" s="8" t="str">
        <f>IF('[1]Game Input'!$G373&lt;&gt;"",'[1]Game Input'!$G373,"")</f>
        <v>MUS @ CIL</v>
      </c>
      <c r="H373" s="8" t="str">
        <f>IF('[1]Game Input'!$H373&lt;&gt;"",'[1]Game Input'!$H373,"")</f>
        <v>Vs. Conference</v>
      </c>
      <c r="I373" s="8" t="str">
        <f>IF('[1]Game Input'!$I373&lt;&gt;"",'[1]Game Input'!$I373,"")</f>
        <v>MUSKEGON</v>
      </c>
      <c r="J373" s="9">
        <f>IF('[1]Game Input'!$AC373&lt;&gt;"",'[1]Game Input'!$AC373,"")</f>
        <v>12</v>
      </c>
      <c r="K373" s="9">
        <f>IF('[1]Game Input'!$AD373&lt;&gt;"",'[1]Game Input'!$AD373,"")</f>
        <v>6</v>
      </c>
      <c r="L373" s="9">
        <f>IF('[1]Game Input'!$AJ373&lt;&gt;"",'[1]Game Input'!$AJ373,"")</f>
        <v>0</v>
      </c>
      <c r="M373" s="9">
        <f>IF('[1]Game Input'!$AK373&lt;&gt;"",'[1]Game Input'!$AK373,"")</f>
        <v>0</v>
      </c>
      <c r="N373" s="9">
        <f>IF('[1]Game Input'!$AN373&lt;&gt;"",'[1]Game Input'!$AN373,"")</f>
        <v>6</v>
      </c>
      <c r="O373" s="9">
        <f>IF('[1]Game Input'!$AO373&lt;&gt;"",'[1]Game Input'!$AO373,"")</f>
        <v>0</v>
      </c>
      <c r="P373" s="9">
        <f>IF('[1]Game Input'!$AP373&lt;&gt;"",'[1]Game Input'!$AP373,"")</f>
        <v>0</v>
      </c>
      <c r="Q373" s="9">
        <f>IF('[1]Game Input'!$AQ373&lt;&gt;"",'[1]Game Input'!$AQ373,"")</f>
        <v>0</v>
      </c>
      <c r="R373" s="9">
        <f>IF('[1]Game Input'!$AR373&lt;&gt;"",'[1]Game Input'!$AR373,"")</f>
        <v>0</v>
      </c>
      <c r="S373" s="9">
        <f>IF('[1]Game Input'!$AS373&lt;&gt;"",'[1]Game Input'!$AS373,"")</f>
        <v>0</v>
      </c>
      <c r="T373" s="10" t="str">
        <f>IF('[1]Game Input'!$BA373&lt;&gt;"",'[1]Game Input'!$BA373,"")</f>
        <v>CENTRAL ILLINOIS</v>
      </c>
      <c r="U373" s="9">
        <f>IF('[1]Game Input'!$BU373&lt;&gt;"",'[1]Game Input'!$BU373,"")</f>
        <v>16</v>
      </c>
      <c r="V373" s="9">
        <f>IF('[1]Game Input'!$BV373&lt;&gt;"",'[1]Game Input'!$BV373,"")</f>
        <v>8</v>
      </c>
      <c r="W373" s="9">
        <f>IF('[1]Game Input'!$CB373&lt;&gt;"",'[1]Game Input'!$CB373,"")</f>
        <v>0</v>
      </c>
      <c r="X373" s="9">
        <f>IF('[1]Game Input'!$CC373&lt;&gt;"",'[1]Game Input'!$CC373,"")</f>
        <v>0</v>
      </c>
      <c r="Y373" s="9">
        <f>IF('[1]Game Input'!$CF373&lt;&gt;"",'[1]Game Input'!$CF373,"")</f>
        <v>8</v>
      </c>
      <c r="Z373" s="9">
        <f>IF('[1]Game Input'!$CG373&lt;&gt;"",'[1]Game Input'!$CG373,"")</f>
        <v>0</v>
      </c>
      <c r="AA373" s="9">
        <f>IF('[1]Game Input'!$CH373&lt;&gt;"",'[1]Game Input'!$CH373,"")</f>
        <v>0</v>
      </c>
      <c r="AB373" s="9">
        <f>IF('[1]Game Input'!$CI373&lt;&gt;"",'[1]Game Input'!$CI373,"")</f>
        <v>0</v>
      </c>
      <c r="AC373" s="9">
        <f>IF('[1]Game Input'!$CJ373&lt;&gt;"",'[1]Game Input'!$CJ373,"")</f>
        <v>0</v>
      </c>
      <c r="AD373" s="9">
        <f>IF('[1]Game Input'!$CK373&lt;&gt;"",'[1]Game Input'!$CK373,"")</f>
        <v>0</v>
      </c>
      <c r="AE373" s="8" t="s">
        <v>94</v>
      </c>
      <c r="AF373" s="8" t="s">
        <v>125</v>
      </c>
      <c r="AG373" s="8" t="s">
        <v>108</v>
      </c>
      <c r="AH373" s="8" t="s">
        <v>121</v>
      </c>
    </row>
    <row r="374" spans="1:34" x14ac:dyDescent="0.2">
      <c r="A374" s="6">
        <f>IF('[1]Game Input'!$A374&lt;&gt;"",'[1]Game Input'!$A374,"")</f>
        <v>43518</v>
      </c>
      <c r="B374" s="6" t="str">
        <f>IF(A374&gt;$B$1,VLOOKUP(MONTH($A374),DOTWMonth,2,FALSE),"")</f>
        <v>February</v>
      </c>
      <c r="C374" s="10" t="str">
        <f>IF(A374&gt;$B$1,VLOOKUP(WEEKDAY($A374),DOTWMonth,3,FALSE),"")</f>
        <v>Friday</v>
      </c>
      <c r="D374" s="7">
        <f>IF('[1]Game Input'!$B374&lt;&gt;"",'[1]Game Input'!$B374,"")</f>
        <v>0.79166666666666663</v>
      </c>
      <c r="E374" s="7">
        <f>IF('[1]Game Input'!$C374&lt;&gt;"",'[1]Game Input'!$C374,"")</f>
        <v>0.75</v>
      </c>
      <c r="F374" s="8" t="str">
        <f>IF('[1]Game Input'!$D374&lt;&gt;"",'[1]Game Input'!$D374,"")</f>
        <v>Standard</v>
      </c>
      <c r="G374" s="8" t="str">
        <f>IF('[1]Game Input'!$G374&lt;&gt;"",'[1]Game Input'!$G374,"")</f>
        <v>MUS @ USA</v>
      </c>
      <c r="H374" s="8" t="str">
        <f>IF('[1]Game Input'!$H374&lt;&gt;"",'[1]Game Input'!$H374,"")</f>
        <v>Vs. Conference</v>
      </c>
      <c r="I374" s="8" t="str">
        <f>IF('[1]Game Input'!$I374&lt;&gt;"",'[1]Game Input'!$I374,"")</f>
        <v>MUSKEGON</v>
      </c>
      <c r="J374" s="9">
        <f>IF('[1]Game Input'!$AC374&lt;&gt;"",'[1]Game Input'!$AC374,"")</f>
        <v>10</v>
      </c>
      <c r="K374" s="9">
        <f>IF('[1]Game Input'!$AD374&lt;&gt;"",'[1]Game Input'!$AD374,"")</f>
        <v>5</v>
      </c>
      <c r="L374" s="9">
        <f>IF('[1]Game Input'!$AJ374&lt;&gt;"",'[1]Game Input'!$AJ374,"")</f>
        <v>0</v>
      </c>
      <c r="M374" s="9">
        <f>IF('[1]Game Input'!$AK374&lt;&gt;"",'[1]Game Input'!$AK374,"")</f>
        <v>0</v>
      </c>
      <c r="N374" s="9">
        <f>IF('[1]Game Input'!$AN374&lt;&gt;"",'[1]Game Input'!$AN374,"")</f>
        <v>5</v>
      </c>
      <c r="O374" s="9">
        <f>IF('[1]Game Input'!$AO374&lt;&gt;"",'[1]Game Input'!$AO374,"")</f>
        <v>0</v>
      </c>
      <c r="P374" s="9">
        <f>IF('[1]Game Input'!$AP374&lt;&gt;"",'[1]Game Input'!$AP374,"")</f>
        <v>0</v>
      </c>
      <c r="Q374" s="9">
        <f>IF('[1]Game Input'!$AQ374&lt;&gt;"",'[1]Game Input'!$AQ374,"")</f>
        <v>0</v>
      </c>
      <c r="R374" s="9">
        <f>IF('[1]Game Input'!$AR374&lt;&gt;"",'[1]Game Input'!$AR374,"")</f>
        <v>0</v>
      </c>
      <c r="S374" s="9">
        <f>IF('[1]Game Input'!$AS374&lt;&gt;"",'[1]Game Input'!$AS374,"")</f>
        <v>0</v>
      </c>
      <c r="T374" s="10" t="str">
        <f>IF('[1]Game Input'!$BA374&lt;&gt;"",'[1]Game Input'!$BA374,"")</f>
        <v>TEAM USA</v>
      </c>
      <c r="U374" s="9">
        <f>IF('[1]Game Input'!$BU374&lt;&gt;"",'[1]Game Input'!$BU374,"")</f>
        <v>4</v>
      </c>
      <c r="V374" s="9">
        <f>IF('[1]Game Input'!$BV374&lt;&gt;"",'[1]Game Input'!$BV374,"")</f>
        <v>2</v>
      </c>
      <c r="W374" s="9">
        <f>IF('[1]Game Input'!$CB374&lt;&gt;"",'[1]Game Input'!$CB374,"")</f>
        <v>0</v>
      </c>
      <c r="X374" s="9">
        <f>IF('[1]Game Input'!$CC374&lt;&gt;"",'[1]Game Input'!$CC374,"")</f>
        <v>0</v>
      </c>
      <c r="Y374" s="9">
        <f>IF('[1]Game Input'!$CF374&lt;&gt;"",'[1]Game Input'!$CF374,"")</f>
        <v>2</v>
      </c>
      <c r="Z374" s="9">
        <f>IF('[1]Game Input'!$CG374&lt;&gt;"",'[1]Game Input'!$CG374,"")</f>
        <v>0</v>
      </c>
      <c r="AA374" s="9">
        <f>IF('[1]Game Input'!$CH374&lt;&gt;"",'[1]Game Input'!$CH374,"")</f>
        <v>0</v>
      </c>
      <c r="AB374" s="9">
        <f>IF('[1]Game Input'!$CI374&lt;&gt;"",'[1]Game Input'!$CI374,"")</f>
        <v>0</v>
      </c>
      <c r="AC374" s="9">
        <f>IF('[1]Game Input'!$CJ374&lt;&gt;"",'[1]Game Input'!$CJ374,"")</f>
        <v>0</v>
      </c>
      <c r="AD374" s="9">
        <f>IF('[1]Game Input'!$CK374&lt;&gt;"",'[1]Game Input'!$CK374,"")</f>
        <v>0</v>
      </c>
      <c r="AE374" s="8"/>
      <c r="AF374" s="8"/>
      <c r="AG374" s="8"/>
      <c r="AH374" s="8"/>
    </row>
    <row r="375" spans="1:34" x14ac:dyDescent="0.2">
      <c r="A375" s="6">
        <f>IF('[1]Game Input'!$A375&lt;&gt;"",'[1]Game Input'!$A375,"")</f>
        <v>43518</v>
      </c>
      <c r="B375" s="6" t="str">
        <f>IF(A375&gt;$B$1,VLOOKUP(MONTH($A375),DOTWMonth,2,FALSE),"")</f>
        <v>February</v>
      </c>
      <c r="C375" s="10" t="str">
        <f>IF(A375&gt;$B$1,VLOOKUP(WEEKDAY($A375),DOTWMonth,3,FALSE),"")</f>
        <v>Friday</v>
      </c>
      <c r="D375" s="7">
        <f>IF('[1]Game Input'!$B375&lt;&gt;"",'[1]Game Input'!$B375,"")</f>
        <v>0.83680555555555547</v>
      </c>
      <c r="E375" s="7">
        <f>IF('[1]Game Input'!$C375&lt;&gt;"",'[1]Game Input'!$C375,"")</f>
        <v>0.79513888888888884</v>
      </c>
      <c r="F375" s="8" t="str">
        <f>IF('[1]Game Input'!$D375&lt;&gt;"",'[1]Game Input'!$D375,"")</f>
        <v>Standard</v>
      </c>
      <c r="G375" s="8" t="str">
        <f>IF('[1]Game Input'!$G375&lt;&gt;"",'[1]Game Input'!$G375,"")</f>
        <v>CR @ DUB</v>
      </c>
      <c r="H375" s="8" t="str">
        <f>IF('[1]Game Input'!$H375&lt;&gt;"",'[1]Game Input'!$H375,"")</f>
        <v>Vs. Conference</v>
      </c>
      <c r="I375" s="8" t="str">
        <f>IF('[1]Game Input'!$I375&lt;&gt;"",'[1]Game Input'!$I375,"")</f>
        <v>CEDAR RAPIDS</v>
      </c>
      <c r="J375" s="9">
        <f>IF('[1]Game Input'!$AC375&lt;&gt;"",'[1]Game Input'!$AC375,"")</f>
        <v>27</v>
      </c>
      <c r="K375" s="9">
        <f>IF('[1]Game Input'!$AD375&lt;&gt;"",'[1]Game Input'!$AD375,"")</f>
        <v>8</v>
      </c>
      <c r="L375" s="9">
        <f>IF('[1]Game Input'!$AJ375&lt;&gt;"",'[1]Game Input'!$AJ375,"")</f>
        <v>0</v>
      </c>
      <c r="M375" s="9">
        <f>IF('[1]Game Input'!$AK375&lt;&gt;"",'[1]Game Input'!$AK375,"")</f>
        <v>0</v>
      </c>
      <c r="N375" s="9">
        <f>IF('[1]Game Input'!$AN375&lt;&gt;"",'[1]Game Input'!$AN375,"")</f>
        <v>6</v>
      </c>
      <c r="O375" s="9">
        <f>IF('[1]Game Input'!$AO375&lt;&gt;"",'[1]Game Input'!$AO375,"")</f>
        <v>1</v>
      </c>
      <c r="P375" s="9">
        <f>IF('[1]Game Input'!$AP375&lt;&gt;"",'[1]Game Input'!$AP375,"")</f>
        <v>1</v>
      </c>
      <c r="Q375" s="9">
        <f>IF('[1]Game Input'!$AQ375&lt;&gt;"",'[1]Game Input'!$AQ375,"")</f>
        <v>0</v>
      </c>
      <c r="R375" s="9">
        <f>IF('[1]Game Input'!$AR375&lt;&gt;"",'[1]Game Input'!$AR375,"")</f>
        <v>0</v>
      </c>
      <c r="S375" s="9">
        <f>IF('[1]Game Input'!$AS375&lt;&gt;"",'[1]Game Input'!$AS375,"")</f>
        <v>0</v>
      </c>
      <c r="T375" s="10" t="str">
        <f>IF('[1]Game Input'!$BA375&lt;&gt;"",'[1]Game Input'!$BA375,"")</f>
        <v>DUBUQUE</v>
      </c>
      <c r="U375" s="9">
        <f>IF('[1]Game Input'!$BU375&lt;&gt;"",'[1]Game Input'!$BU375,"")</f>
        <v>37</v>
      </c>
      <c r="V375" s="9">
        <f>IF('[1]Game Input'!$BV375&lt;&gt;"",'[1]Game Input'!$BV375,"")</f>
        <v>9</v>
      </c>
      <c r="W375" s="9">
        <f>IF('[1]Game Input'!$CB375&lt;&gt;"",'[1]Game Input'!$CB375,"")</f>
        <v>0</v>
      </c>
      <c r="X375" s="9">
        <f>IF('[1]Game Input'!$CC375&lt;&gt;"",'[1]Game Input'!$CC375,"")</f>
        <v>0</v>
      </c>
      <c r="Y375" s="9">
        <f>IF('[1]Game Input'!$CF375&lt;&gt;"",'[1]Game Input'!$CF375,"")</f>
        <v>6</v>
      </c>
      <c r="Z375" s="9">
        <f>IF('[1]Game Input'!$CG375&lt;&gt;"",'[1]Game Input'!$CG375,"")</f>
        <v>1</v>
      </c>
      <c r="AA375" s="9">
        <f>IF('[1]Game Input'!$CH375&lt;&gt;"",'[1]Game Input'!$CH375,"")</f>
        <v>1</v>
      </c>
      <c r="AB375" s="9">
        <f>IF('[1]Game Input'!$CI375&lt;&gt;"",'[1]Game Input'!$CI375,"")</f>
        <v>1</v>
      </c>
      <c r="AC375" s="9">
        <f>IF('[1]Game Input'!$CJ375&lt;&gt;"",'[1]Game Input'!$CJ375,"")</f>
        <v>0</v>
      </c>
      <c r="AD375" s="9">
        <f>IF('[1]Game Input'!$CK375&lt;&gt;"",'[1]Game Input'!$CK375,"")</f>
        <v>0</v>
      </c>
      <c r="AE375" s="8" t="s">
        <v>131</v>
      </c>
      <c r="AF375" s="8"/>
      <c r="AG375" s="8" t="s">
        <v>108</v>
      </c>
      <c r="AH375" s="8" t="s">
        <v>111</v>
      </c>
    </row>
    <row r="376" spans="1:34" x14ac:dyDescent="0.2">
      <c r="A376" s="6">
        <f>IF('[1]Game Input'!$A376&lt;&gt;"",'[1]Game Input'!$A376,"")</f>
        <v>43518</v>
      </c>
      <c r="B376" s="6" t="str">
        <f>IF(A376&gt;$B$1,VLOOKUP(MONTH($A376),DOTWMonth,2,FALSE),"")</f>
        <v>February</v>
      </c>
      <c r="C376" s="10" t="str">
        <f>IF(A376&gt;$B$1,VLOOKUP(WEEKDAY($A376),DOTWMonth,3,FALSE),"")</f>
        <v>Friday</v>
      </c>
      <c r="D376" s="7">
        <f>IF('[1]Game Input'!$B376&lt;&gt;"",'[1]Game Input'!$B376,"")</f>
        <v>0.83680555555555547</v>
      </c>
      <c r="E376" s="7">
        <f>IF('[1]Game Input'!$C376&lt;&gt;"",'[1]Game Input'!$C376,"")</f>
        <v>0.79513888888888884</v>
      </c>
      <c r="F376" s="8" t="str">
        <f>IF('[1]Game Input'!$D376&lt;&gt;"",'[1]Game Input'!$D376,"")</f>
        <v>Standard</v>
      </c>
      <c r="G376" s="8" t="str">
        <f>IF('[1]Game Input'!$G376&lt;&gt;"",'[1]Game Input'!$G376,"")</f>
        <v>WAT @ LIN</v>
      </c>
      <c r="H376" s="8" t="str">
        <f>IF('[1]Game Input'!$H376&lt;&gt;"",'[1]Game Input'!$H376,"")</f>
        <v>Vs. Conference</v>
      </c>
      <c r="I376" s="8" t="str">
        <f>IF('[1]Game Input'!$I376&lt;&gt;"",'[1]Game Input'!$I376,"")</f>
        <v>WATERLOO</v>
      </c>
      <c r="J376" s="9">
        <f>IF('[1]Game Input'!$AC376&lt;&gt;"",'[1]Game Input'!$AC376,"")</f>
        <v>58</v>
      </c>
      <c r="K376" s="9">
        <f>IF('[1]Game Input'!$AD376&lt;&gt;"",'[1]Game Input'!$AD376,"")</f>
        <v>14</v>
      </c>
      <c r="L376" s="9">
        <f>IF('[1]Game Input'!$AJ376&lt;&gt;"",'[1]Game Input'!$AJ376,"")</f>
        <v>0</v>
      </c>
      <c r="M376" s="9">
        <f>IF('[1]Game Input'!$AK376&lt;&gt;"",'[1]Game Input'!$AK376,"")</f>
        <v>0</v>
      </c>
      <c r="N376" s="9">
        <f>IF('[1]Game Input'!$AN376&lt;&gt;"",'[1]Game Input'!$AN376,"")</f>
        <v>9</v>
      </c>
      <c r="O376" s="9">
        <f>IF('[1]Game Input'!$AO376&lt;&gt;"",'[1]Game Input'!$AO376,"")</f>
        <v>2</v>
      </c>
      <c r="P376" s="9">
        <f>IF('[1]Game Input'!$AP376&lt;&gt;"",'[1]Game Input'!$AP376,"")</f>
        <v>3</v>
      </c>
      <c r="Q376" s="9">
        <f>IF('[1]Game Input'!$AQ376&lt;&gt;"",'[1]Game Input'!$AQ376,"")</f>
        <v>0</v>
      </c>
      <c r="R376" s="9">
        <f>IF('[1]Game Input'!$AR376&lt;&gt;"",'[1]Game Input'!$AR376,"")</f>
        <v>0</v>
      </c>
      <c r="S376" s="9">
        <f>IF('[1]Game Input'!$AS376&lt;&gt;"",'[1]Game Input'!$AS376,"")</f>
        <v>0</v>
      </c>
      <c r="T376" s="10" t="str">
        <f>IF('[1]Game Input'!$BA376&lt;&gt;"",'[1]Game Input'!$BA376,"")</f>
        <v>LINCOLN</v>
      </c>
      <c r="U376" s="9">
        <f>IF('[1]Game Input'!$BU376&lt;&gt;"",'[1]Game Input'!$BU376,"")</f>
        <v>85</v>
      </c>
      <c r="V376" s="9">
        <f>IF('[1]Game Input'!$BV376&lt;&gt;"",'[1]Game Input'!$BV376,"")</f>
        <v>18</v>
      </c>
      <c r="W376" s="9">
        <f>IF('[1]Game Input'!$CB376&lt;&gt;"",'[1]Game Input'!$CB376,"")</f>
        <v>0</v>
      </c>
      <c r="X376" s="9">
        <f>IF('[1]Game Input'!$CC376&lt;&gt;"",'[1]Game Input'!$CC376,"")</f>
        <v>0</v>
      </c>
      <c r="Y376" s="9">
        <f>IF('[1]Game Input'!$CF376&lt;&gt;"",'[1]Game Input'!$CF376,"")</f>
        <v>10</v>
      </c>
      <c r="Z376" s="9">
        <f>IF('[1]Game Input'!$CG376&lt;&gt;"",'[1]Game Input'!$CG376,"")</f>
        <v>3</v>
      </c>
      <c r="AA376" s="9">
        <f>IF('[1]Game Input'!$CH376&lt;&gt;"",'[1]Game Input'!$CH376,"")</f>
        <v>4</v>
      </c>
      <c r="AB376" s="9">
        <f>IF('[1]Game Input'!$CI376&lt;&gt;"",'[1]Game Input'!$CI376,"")</f>
        <v>1</v>
      </c>
      <c r="AC376" s="9">
        <f>IF('[1]Game Input'!$CJ376&lt;&gt;"",'[1]Game Input'!$CJ376,"")</f>
        <v>0</v>
      </c>
      <c r="AD376" s="9">
        <f>IF('[1]Game Input'!$CK376&lt;&gt;"",'[1]Game Input'!$CK376,"")</f>
        <v>0</v>
      </c>
      <c r="AE376" s="8"/>
      <c r="AF376" s="8"/>
      <c r="AG376" s="8"/>
      <c r="AH376" s="8"/>
    </row>
    <row r="377" spans="1:34" x14ac:dyDescent="0.2">
      <c r="A377" s="6">
        <f>IF('[1]Game Input'!$A377&lt;&gt;"",'[1]Game Input'!$A377,"")</f>
        <v>43518</v>
      </c>
      <c r="B377" s="6" t="str">
        <f>IF(A377&gt;$B$1,VLOOKUP(MONTH($A377),DOTWMonth,2,FALSE),"")</f>
        <v>February</v>
      </c>
      <c r="C377" s="10" t="str">
        <f>IF(A377&gt;$B$1,VLOOKUP(WEEKDAY($A377),DOTWMonth,3,FALSE),"")</f>
        <v>Friday</v>
      </c>
      <c r="D377" s="7">
        <f>IF('[1]Game Input'!$B377&lt;&gt;"",'[1]Game Input'!$B377,"")</f>
        <v>0.83680555555555547</v>
      </c>
      <c r="E377" s="7">
        <f>IF('[1]Game Input'!$C377&lt;&gt;"",'[1]Game Input'!$C377,"")</f>
        <v>0.79513888888888884</v>
      </c>
      <c r="F377" s="8" t="str">
        <f>IF('[1]Game Input'!$D377&lt;&gt;"",'[1]Game Input'!$D377,"")</f>
        <v>Standard</v>
      </c>
      <c r="G377" s="8" t="str">
        <f>IF('[1]Game Input'!$G377&lt;&gt;"",'[1]Game Input'!$G377,"")</f>
        <v>GB @ MAD</v>
      </c>
      <c r="H377" s="8" t="str">
        <f>IF('[1]Game Input'!$H377&lt;&gt;"",'[1]Game Input'!$H377,"")</f>
        <v>Vs. Conference</v>
      </c>
      <c r="I377" s="8" t="str">
        <f>IF('[1]Game Input'!$I377&lt;&gt;"",'[1]Game Input'!$I377,"")</f>
        <v>GREEN BAY</v>
      </c>
      <c r="J377" s="9">
        <f>IF('[1]Game Input'!$AC377&lt;&gt;"",'[1]Game Input'!$AC377,"")</f>
        <v>29</v>
      </c>
      <c r="K377" s="9">
        <f>IF('[1]Game Input'!$AD377&lt;&gt;"",'[1]Game Input'!$AD377,"")</f>
        <v>9</v>
      </c>
      <c r="L377" s="9">
        <f>IF('[1]Game Input'!$AJ377&lt;&gt;"",'[1]Game Input'!$AJ377,"")</f>
        <v>0</v>
      </c>
      <c r="M377" s="9">
        <f>IF('[1]Game Input'!$AK377&lt;&gt;"",'[1]Game Input'!$AK377,"")</f>
        <v>0</v>
      </c>
      <c r="N377" s="9">
        <f>IF('[1]Game Input'!$AN377&lt;&gt;"",'[1]Game Input'!$AN377,"")</f>
        <v>7</v>
      </c>
      <c r="O377" s="9">
        <f>IF('[1]Game Input'!$AO377&lt;&gt;"",'[1]Game Input'!$AO377,"")</f>
        <v>1</v>
      </c>
      <c r="P377" s="9">
        <f>IF('[1]Game Input'!$AP377&lt;&gt;"",'[1]Game Input'!$AP377,"")</f>
        <v>1</v>
      </c>
      <c r="Q377" s="9">
        <f>IF('[1]Game Input'!$AQ377&lt;&gt;"",'[1]Game Input'!$AQ377,"")</f>
        <v>0</v>
      </c>
      <c r="R377" s="9">
        <f>IF('[1]Game Input'!$AR377&lt;&gt;"",'[1]Game Input'!$AR377,"")</f>
        <v>0</v>
      </c>
      <c r="S377" s="9">
        <f>IF('[1]Game Input'!$AS377&lt;&gt;"",'[1]Game Input'!$AS377,"")</f>
        <v>0</v>
      </c>
      <c r="T377" s="10" t="str">
        <f>IF('[1]Game Input'!$BA377&lt;&gt;"",'[1]Game Input'!$BA377,"")</f>
        <v>MADISON</v>
      </c>
      <c r="U377" s="9">
        <f>IF('[1]Game Input'!$BU377&lt;&gt;"",'[1]Game Input'!$BU377,"")</f>
        <v>31</v>
      </c>
      <c r="V377" s="9">
        <f>IF('[1]Game Input'!$BV377&lt;&gt;"",'[1]Game Input'!$BV377,"")</f>
        <v>10</v>
      </c>
      <c r="W377" s="9">
        <f>IF('[1]Game Input'!$CB377&lt;&gt;"",'[1]Game Input'!$CB377,"")</f>
        <v>0</v>
      </c>
      <c r="X377" s="9">
        <f>IF('[1]Game Input'!$CC377&lt;&gt;"",'[1]Game Input'!$CC377,"")</f>
        <v>0</v>
      </c>
      <c r="Y377" s="9">
        <f>IF('[1]Game Input'!$CF377&lt;&gt;"",'[1]Game Input'!$CF377,"")</f>
        <v>8</v>
      </c>
      <c r="Z377" s="9">
        <f>IF('[1]Game Input'!$CG377&lt;&gt;"",'[1]Game Input'!$CG377,"")</f>
        <v>1</v>
      </c>
      <c r="AA377" s="9">
        <f>IF('[1]Game Input'!$CH377&lt;&gt;"",'[1]Game Input'!$CH377,"")</f>
        <v>1</v>
      </c>
      <c r="AB377" s="9">
        <f>IF('[1]Game Input'!$CI377&lt;&gt;"",'[1]Game Input'!$CI377,"")</f>
        <v>0</v>
      </c>
      <c r="AC377" s="9">
        <f>IF('[1]Game Input'!$CJ377&lt;&gt;"",'[1]Game Input'!$CJ377,"")</f>
        <v>0</v>
      </c>
      <c r="AD377" s="9">
        <f>IF('[1]Game Input'!$CK377&lt;&gt;"",'[1]Game Input'!$CK377,"")</f>
        <v>0</v>
      </c>
      <c r="AE377" s="8"/>
      <c r="AF377" s="8"/>
      <c r="AG377" s="8"/>
      <c r="AH377" s="8"/>
    </row>
    <row r="378" spans="1:34" x14ac:dyDescent="0.2">
      <c r="A378" s="6">
        <f>IF('[1]Game Input'!$A378&lt;&gt;"",'[1]Game Input'!$A378,"")</f>
        <v>43518</v>
      </c>
      <c r="B378" s="6" t="str">
        <f>IF(A378&gt;$B$1,VLOOKUP(MONTH($A378),DOTWMonth,2,FALSE),"")</f>
        <v>February</v>
      </c>
      <c r="C378" s="10" t="str">
        <f>IF(A378&gt;$B$1,VLOOKUP(WEEKDAY($A378),DOTWMonth,3,FALSE),"")</f>
        <v>Friday</v>
      </c>
      <c r="D378" s="7">
        <f>IF('[1]Game Input'!$B378&lt;&gt;"",'[1]Game Input'!$B378,"")</f>
        <v>0.83680555555555547</v>
      </c>
      <c r="E378" s="7">
        <f>IF('[1]Game Input'!$C378&lt;&gt;"",'[1]Game Input'!$C378,"")</f>
        <v>0.79513888888888884</v>
      </c>
      <c r="F378" s="8" t="str">
        <f>IF('[1]Game Input'!$D378&lt;&gt;"",'[1]Game Input'!$D378,"")</f>
        <v>Standard</v>
      </c>
      <c r="G378" s="8" t="str">
        <f>IF('[1]Game Input'!$G378&lt;&gt;"",'[1]Game Input'!$G378,"")</f>
        <v>SF @ SC</v>
      </c>
      <c r="H378" s="8" t="str">
        <f>IF('[1]Game Input'!$H378&lt;&gt;"",'[1]Game Input'!$H378,"")</f>
        <v>Vs. Conference</v>
      </c>
      <c r="I378" s="8" t="str">
        <f>IF('[1]Game Input'!$I378&lt;&gt;"",'[1]Game Input'!$I378,"")</f>
        <v>SIOUX FALLS</v>
      </c>
      <c r="J378" s="9">
        <f>IF('[1]Game Input'!$AC378&lt;&gt;"",'[1]Game Input'!$AC378,"")</f>
        <v>23</v>
      </c>
      <c r="K378" s="9">
        <f>IF('[1]Game Input'!$AD378&lt;&gt;"",'[1]Game Input'!$AD378,"")</f>
        <v>6</v>
      </c>
      <c r="L378" s="9">
        <f>IF('[1]Game Input'!$AJ378&lt;&gt;"",'[1]Game Input'!$AJ378,"")</f>
        <v>0</v>
      </c>
      <c r="M378" s="9">
        <f>IF('[1]Game Input'!$AK378&lt;&gt;"",'[1]Game Input'!$AK378,"")</f>
        <v>0</v>
      </c>
      <c r="N378" s="9">
        <f>IF('[1]Game Input'!$AN378&lt;&gt;"",'[1]Game Input'!$AN378,"")</f>
        <v>4</v>
      </c>
      <c r="O378" s="9">
        <f>IF('[1]Game Input'!$AO378&lt;&gt;"",'[1]Game Input'!$AO378,"")</f>
        <v>1</v>
      </c>
      <c r="P378" s="9">
        <f>IF('[1]Game Input'!$AP378&lt;&gt;"",'[1]Game Input'!$AP378,"")</f>
        <v>1</v>
      </c>
      <c r="Q378" s="9">
        <f>IF('[1]Game Input'!$AQ378&lt;&gt;"",'[1]Game Input'!$AQ378,"")</f>
        <v>0</v>
      </c>
      <c r="R378" s="9">
        <f>IF('[1]Game Input'!$AR378&lt;&gt;"",'[1]Game Input'!$AR378,"")</f>
        <v>0</v>
      </c>
      <c r="S378" s="9">
        <f>IF('[1]Game Input'!$AS378&lt;&gt;"",'[1]Game Input'!$AS378,"")</f>
        <v>0</v>
      </c>
      <c r="T378" s="10" t="str">
        <f>IF('[1]Game Input'!$BA378&lt;&gt;"",'[1]Game Input'!$BA378,"")</f>
        <v>SIOUX CITY</v>
      </c>
      <c r="U378" s="9">
        <f>IF('[1]Game Input'!$BU378&lt;&gt;"",'[1]Game Input'!$BU378,"")</f>
        <v>15</v>
      </c>
      <c r="V378" s="9">
        <f>IF('[1]Game Input'!$BV378&lt;&gt;"",'[1]Game Input'!$BV378,"")</f>
        <v>2</v>
      </c>
      <c r="W378" s="9">
        <f>IF('[1]Game Input'!$CB378&lt;&gt;"",'[1]Game Input'!$CB378,"")</f>
        <v>0</v>
      </c>
      <c r="X378" s="9">
        <f>IF('[1]Game Input'!$CC378&lt;&gt;"",'[1]Game Input'!$CC378,"")</f>
        <v>0</v>
      </c>
      <c r="Y378" s="9">
        <f>IF('[1]Game Input'!$CF378&lt;&gt;"",'[1]Game Input'!$CF378,"")</f>
        <v>0</v>
      </c>
      <c r="Z378" s="9">
        <f>IF('[1]Game Input'!$CG378&lt;&gt;"",'[1]Game Input'!$CG378,"")</f>
        <v>1</v>
      </c>
      <c r="AA378" s="9">
        <f>IF('[1]Game Input'!$CH378&lt;&gt;"",'[1]Game Input'!$CH378,"")</f>
        <v>1</v>
      </c>
      <c r="AB378" s="9">
        <f>IF('[1]Game Input'!$CI378&lt;&gt;"",'[1]Game Input'!$CI378,"")</f>
        <v>0</v>
      </c>
      <c r="AC378" s="9">
        <f>IF('[1]Game Input'!$CJ378&lt;&gt;"",'[1]Game Input'!$CJ378,"")</f>
        <v>0</v>
      </c>
      <c r="AD378" s="9">
        <f>IF('[1]Game Input'!$CK378&lt;&gt;"",'[1]Game Input'!$CK378,"")</f>
        <v>0</v>
      </c>
      <c r="AE378" s="8"/>
      <c r="AF378" s="8"/>
      <c r="AG378" s="8"/>
      <c r="AH378" s="8"/>
    </row>
    <row r="379" spans="1:34" x14ac:dyDescent="0.2">
      <c r="A379" s="6">
        <f>IF('[1]Game Input'!$A379&lt;&gt;"",'[1]Game Input'!$A379,"")</f>
        <v>43518</v>
      </c>
      <c r="B379" s="6" t="str">
        <f>IF(A379&gt;$B$1,VLOOKUP(MONTH($A379),DOTWMonth,2,FALSE),"")</f>
        <v>February</v>
      </c>
      <c r="C379" s="10" t="str">
        <f>IF(A379&gt;$B$1,VLOOKUP(WEEKDAY($A379),DOTWMonth,3,FALSE),"")</f>
        <v>Friday</v>
      </c>
      <c r="D379" s="7">
        <f>IF('[1]Game Input'!$B379&lt;&gt;"",'[1]Game Input'!$B379,"")</f>
        <v>0.83680555555555547</v>
      </c>
      <c r="E379" s="7">
        <f>IF('[1]Game Input'!$C379&lt;&gt;"",'[1]Game Input'!$C379,"")</f>
        <v>0.79513888888888884</v>
      </c>
      <c r="F379" s="8" t="str">
        <f>IF('[1]Game Input'!$D379&lt;&gt;"",'[1]Game Input'!$D379,"")</f>
        <v>Standard</v>
      </c>
      <c r="G379" s="8" t="str">
        <f>IF('[1]Game Input'!$G379&lt;&gt;"",'[1]Game Input'!$G379,"")</f>
        <v>YNG @ DM</v>
      </c>
      <c r="H379" s="8" t="str">
        <f>IF('[1]Game Input'!$H379&lt;&gt;"",'[1]Game Input'!$H379,"")</f>
        <v>Vs. Non-Conference</v>
      </c>
      <c r="I379" s="8" t="str">
        <f>IF('[1]Game Input'!$I379&lt;&gt;"",'[1]Game Input'!$I379,"")</f>
        <v>YOUNGSTOWN</v>
      </c>
      <c r="J379" s="9">
        <f>IF('[1]Game Input'!$AC379&lt;&gt;"",'[1]Game Input'!$AC379,"")</f>
        <v>8</v>
      </c>
      <c r="K379" s="9">
        <f>IF('[1]Game Input'!$AD379&lt;&gt;"",'[1]Game Input'!$AD379,"")</f>
        <v>4</v>
      </c>
      <c r="L379" s="9">
        <f>IF('[1]Game Input'!$AJ379&lt;&gt;"",'[1]Game Input'!$AJ379,"")</f>
        <v>0</v>
      </c>
      <c r="M379" s="9">
        <f>IF('[1]Game Input'!$AK379&lt;&gt;"",'[1]Game Input'!$AK379,"")</f>
        <v>0</v>
      </c>
      <c r="N379" s="9">
        <f>IF('[1]Game Input'!$AN379&lt;&gt;"",'[1]Game Input'!$AN379,"")</f>
        <v>4</v>
      </c>
      <c r="O379" s="9">
        <f>IF('[1]Game Input'!$AO379&lt;&gt;"",'[1]Game Input'!$AO379,"")</f>
        <v>0</v>
      </c>
      <c r="P379" s="9">
        <f>IF('[1]Game Input'!$AP379&lt;&gt;"",'[1]Game Input'!$AP379,"")</f>
        <v>0</v>
      </c>
      <c r="Q379" s="9">
        <f>IF('[1]Game Input'!$AQ379&lt;&gt;"",'[1]Game Input'!$AQ379,"")</f>
        <v>0</v>
      </c>
      <c r="R379" s="9">
        <f>IF('[1]Game Input'!$AR379&lt;&gt;"",'[1]Game Input'!$AR379,"")</f>
        <v>0</v>
      </c>
      <c r="S379" s="9">
        <f>IF('[1]Game Input'!$AS379&lt;&gt;"",'[1]Game Input'!$AS379,"")</f>
        <v>0</v>
      </c>
      <c r="T379" s="10" t="str">
        <f>IF('[1]Game Input'!$BA379&lt;&gt;"",'[1]Game Input'!$BA379,"")</f>
        <v>DES MOINES</v>
      </c>
      <c r="U379" s="9">
        <f>IF('[1]Game Input'!$BU379&lt;&gt;"",'[1]Game Input'!$BU379,"")</f>
        <v>8</v>
      </c>
      <c r="V379" s="9">
        <f>IF('[1]Game Input'!$BV379&lt;&gt;"",'[1]Game Input'!$BV379,"")</f>
        <v>4</v>
      </c>
      <c r="W379" s="9">
        <f>IF('[1]Game Input'!$CB379&lt;&gt;"",'[1]Game Input'!$CB379,"")</f>
        <v>0</v>
      </c>
      <c r="X379" s="9">
        <f>IF('[1]Game Input'!$CC379&lt;&gt;"",'[1]Game Input'!$CC379,"")</f>
        <v>0</v>
      </c>
      <c r="Y379" s="9">
        <f>IF('[1]Game Input'!$CF379&lt;&gt;"",'[1]Game Input'!$CF379,"")</f>
        <v>4</v>
      </c>
      <c r="Z379" s="9">
        <f>IF('[1]Game Input'!$CG379&lt;&gt;"",'[1]Game Input'!$CG379,"")</f>
        <v>0</v>
      </c>
      <c r="AA379" s="9">
        <f>IF('[1]Game Input'!$CH379&lt;&gt;"",'[1]Game Input'!$CH379,"")</f>
        <v>0</v>
      </c>
      <c r="AB379" s="9">
        <f>IF('[1]Game Input'!$CI379&lt;&gt;"",'[1]Game Input'!$CI379,"")</f>
        <v>0</v>
      </c>
      <c r="AC379" s="9">
        <f>IF('[1]Game Input'!$CJ379&lt;&gt;"",'[1]Game Input'!$CJ379,"")</f>
        <v>0</v>
      </c>
      <c r="AD379" s="9">
        <f>IF('[1]Game Input'!$CK379&lt;&gt;"",'[1]Game Input'!$CK379,"")</f>
        <v>0</v>
      </c>
      <c r="AE379" s="8" t="s">
        <v>92</v>
      </c>
      <c r="AF379" s="8"/>
      <c r="AG379" s="8" t="s">
        <v>135</v>
      </c>
      <c r="AH379" s="8" t="s">
        <v>136</v>
      </c>
    </row>
    <row r="380" spans="1:34" x14ac:dyDescent="0.2">
      <c r="A380" s="6">
        <f>IF('[1]Game Input'!$A380&lt;&gt;"",'[1]Game Input'!$A380,"")</f>
        <v>43518</v>
      </c>
      <c r="B380" s="6" t="str">
        <f>IF(A380&gt;$B$1,VLOOKUP(MONTH($A380),DOTWMonth,2,FALSE),"")</f>
        <v>February</v>
      </c>
      <c r="C380" s="10" t="str">
        <f>IF(A380&gt;$B$1,VLOOKUP(WEEKDAY($A380),DOTWMonth,3,FALSE),"")</f>
        <v>Friday</v>
      </c>
      <c r="D380" s="7">
        <f>IF('[1]Game Input'!$B380&lt;&gt;"",'[1]Game Input'!$B380,"")</f>
        <v>0.83680555555555547</v>
      </c>
      <c r="E380" s="7">
        <f>IF('[1]Game Input'!$C380&lt;&gt;"",'[1]Game Input'!$C380,"")</f>
        <v>0.79513888888888884</v>
      </c>
      <c r="F380" s="8" t="str">
        <f>IF('[1]Game Input'!$D380&lt;&gt;"",'[1]Game Input'!$D380,"")</f>
        <v>Standard</v>
      </c>
      <c r="G380" s="8" t="str">
        <f>IF('[1]Game Input'!$G380&lt;&gt;"",'[1]Game Input'!$G380,"")</f>
        <v>CHI @ TC</v>
      </c>
      <c r="H380" s="8" t="str">
        <f>IF('[1]Game Input'!$H380&lt;&gt;"",'[1]Game Input'!$H380,"")</f>
        <v>Vs. Non-Conference</v>
      </c>
      <c r="I380" s="8" t="str">
        <f>IF('[1]Game Input'!$I380&lt;&gt;"",'[1]Game Input'!$I380,"")</f>
        <v>CHICAGO</v>
      </c>
      <c r="J380" s="9">
        <f>IF('[1]Game Input'!$AC380&lt;&gt;"",'[1]Game Input'!$AC380,"")</f>
        <v>12</v>
      </c>
      <c r="K380" s="9">
        <f>IF('[1]Game Input'!$AD380&lt;&gt;"",'[1]Game Input'!$AD380,"")</f>
        <v>6</v>
      </c>
      <c r="L380" s="9">
        <f>IF('[1]Game Input'!$AJ380&lt;&gt;"",'[1]Game Input'!$AJ380,"")</f>
        <v>0</v>
      </c>
      <c r="M380" s="9">
        <f>IF('[1]Game Input'!$AK380&lt;&gt;"",'[1]Game Input'!$AK380,"")</f>
        <v>0</v>
      </c>
      <c r="N380" s="9">
        <f>IF('[1]Game Input'!$AN380&lt;&gt;"",'[1]Game Input'!$AN380,"")</f>
        <v>6</v>
      </c>
      <c r="O380" s="9">
        <f>IF('[1]Game Input'!$AO380&lt;&gt;"",'[1]Game Input'!$AO380,"")</f>
        <v>0</v>
      </c>
      <c r="P380" s="9">
        <f>IF('[1]Game Input'!$AP380&lt;&gt;"",'[1]Game Input'!$AP380,"")</f>
        <v>0</v>
      </c>
      <c r="Q380" s="9">
        <f>IF('[1]Game Input'!$AQ380&lt;&gt;"",'[1]Game Input'!$AQ380,"")</f>
        <v>0</v>
      </c>
      <c r="R380" s="9">
        <f>IF('[1]Game Input'!$AR380&lt;&gt;"",'[1]Game Input'!$AR380,"")</f>
        <v>0</v>
      </c>
      <c r="S380" s="9">
        <f>IF('[1]Game Input'!$AS380&lt;&gt;"",'[1]Game Input'!$AS380,"")</f>
        <v>0</v>
      </c>
      <c r="T380" s="10" t="str">
        <f>IF('[1]Game Input'!$BA380&lt;&gt;"",'[1]Game Input'!$BA380,"")</f>
        <v>TRI-CITY</v>
      </c>
      <c r="U380" s="9">
        <f>IF('[1]Game Input'!$BU380&lt;&gt;"",'[1]Game Input'!$BU380,"")</f>
        <v>16</v>
      </c>
      <c r="V380" s="9">
        <f>IF('[1]Game Input'!$BV380&lt;&gt;"",'[1]Game Input'!$BV380,"")</f>
        <v>8</v>
      </c>
      <c r="W380" s="9">
        <f>IF('[1]Game Input'!$CB380&lt;&gt;"",'[1]Game Input'!$CB380,"")</f>
        <v>0</v>
      </c>
      <c r="X380" s="9">
        <f>IF('[1]Game Input'!$CC380&lt;&gt;"",'[1]Game Input'!$CC380,"")</f>
        <v>0</v>
      </c>
      <c r="Y380" s="9">
        <f>IF('[1]Game Input'!$CF380&lt;&gt;"",'[1]Game Input'!$CF380,"")</f>
        <v>8</v>
      </c>
      <c r="Z380" s="9">
        <f>IF('[1]Game Input'!$CG380&lt;&gt;"",'[1]Game Input'!$CG380,"")</f>
        <v>0</v>
      </c>
      <c r="AA380" s="9">
        <f>IF('[1]Game Input'!$CH380&lt;&gt;"",'[1]Game Input'!$CH380,"")</f>
        <v>0</v>
      </c>
      <c r="AB380" s="9">
        <f>IF('[1]Game Input'!$CI380&lt;&gt;"",'[1]Game Input'!$CI380,"")</f>
        <v>0</v>
      </c>
      <c r="AC380" s="9">
        <f>IF('[1]Game Input'!$CJ380&lt;&gt;"",'[1]Game Input'!$CJ380,"")</f>
        <v>0</v>
      </c>
      <c r="AD380" s="9">
        <f>IF('[1]Game Input'!$CK380&lt;&gt;"",'[1]Game Input'!$CK380,"")</f>
        <v>0</v>
      </c>
      <c r="AE380" s="8"/>
      <c r="AF380" s="8"/>
      <c r="AG380" s="8"/>
      <c r="AH380" s="8"/>
    </row>
    <row r="381" spans="1:34" x14ac:dyDescent="0.2">
      <c r="A381" s="6">
        <f>IF('[1]Game Input'!$A381&lt;&gt;"",'[1]Game Input'!$A381,"")</f>
        <v>43518</v>
      </c>
      <c r="B381" s="6" t="str">
        <f>IF(A381&gt;$B$1,VLOOKUP(MONTH($A381),DOTWMonth,2,FALSE),"")</f>
        <v>February</v>
      </c>
      <c r="C381" s="10" t="str">
        <f>IF(A381&gt;$B$1,VLOOKUP(WEEKDAY($A381),DOTWMonth,3,FALSE),"")</f>
        <v>Friday</v>
      </c>
      <c r="D381" s="7">
        <f>IF('[1]Game Input'!$B381&lt;&gt;"",'[1]Game Input'!$B381,"")</f>
        <v>0.85763888888888884</v>
      </c>
      <c r="E381" s="7">
        <f>IF('[1]Game Input'!$C381&lt;&gt;"",'[1]Game Input'!$C381,"")</f>
        <v>0.81597222222222221</v>
      </c>
      <c r="F381" s="8" t="str">
        <f>IF('[1]Game Input'!$D381&lt;&gt;"",'[1]Game Input'!$D381,"")</f>
        <v>Standard</v>
      </c>
      <c r="G381" s="8" t="str">
        <f>IF('[1]Game Input'!$G381&lt;&gt;"",'[1]Game Input'!$G381,"")</f>
        <v>FGO @ OMA</v>
      </c>
      <c r="H381" s="8" t="str">
        <f>IF('[1]Game Input'!$H381&lt;&gt;"",'[1]Game Input'!$H381,"")</f>
        <v>Vs. Conference</v>
      </c>
      <c r="I381" s="8" t="str">
        <f>IF('[1]Game Input'!$I381&lt;&gt;"",'[1]Game Input'!$I381,"")</f>
        <v>FARGO</v>
      </c>
      <c r="J381" s="9">
        <f>IF('[1]Game Input'!$AC381&lt;&gt;"",'[1]Game Input'!$AC381,"")</f>
        <v>10</v>
      </c>
      <c r="K381" s="9">
        <f>IF('[1]Game Input'!$AD381&lt;&gt;"",'[1]Game Input'!$AD381,"")</f>
        <v>5</v>
      </c>
      <c r="L381" s="9">
        <f>IF('[1]Game Input'!$AJ381&lt;&gt;"",'[1]Game Input'!$AJ381,"")</f>
        <v>0</v>
      </c>
      <c r="M381" s="9">
        <f>IF('[1]Game Input'!$AK381&lt;&gt;"",'[1]Game Input'!$AK381,"")</f>
        <v>0</v>
      </c>
      <c r="N381" s="9">
        <f>IF('[1]Game Input'!$AN381&lt;&gt;"",'[1]Game Input'!$AN381,"")</f>
        <v>5</v>
      </c>
      <c r="O381" s="9">
        <f>IF('[1]Game Input'!$AO381&lt;&gt;"",'[1]Game Input'!$AO381,"")</f>
        <v>0</v>
      </c>
      <c r="P381" s="9">
        <f>IF('[1]Game Input'!$AP381&lt;&gt;"",'[1]Game Input'!$AP381,"")</f>
        <v>0</v>
      </c>
      <c r="Q381" s="9">
        <f>IF('[1]Game Input'!$AQ381&lt;&gt;"",'[1]Game Input'!$AQ381,"")</f>
        <v>0</v>
      </c>
      <c r="R381" s="9">
        <f>IF('[1]Game Input'!$AR381&lt;&gt;"",'[1]Game Input'!$AR381,"")</f>
        <v>0</v>
      </c>
      <c r="S381" s="9">
        <f>IF('[1]Game Input'!$AS381&lt;&gt;"",'[1]Game Input'!$AS381,"")</f>
        <v>0</v>
      </c>
      <c r="T381" s="10" t="str">
        <f>IF('[1]Game Input'!$BA381&lt;&gt;"",'[1]Game Input'!$BA381,"")</f>
        <v>OMAHA</v>
      </c>
      <c r="U381" s="9">
        <f>IF('[1]Game Input'!$BU381&lt;&gt;"",'[1]Game Input'!$BU381,"")</f>
        <v>6</v>
      </c>
      <c r="V381" s="9">
        <f>IF('[1]Game Input'!$BV381&lt;&gt;"",'[1]Game Input'!$BV381,"")</f>
        <v>3</v>
      </c>
      <c r="W381" s="9">
        <f>IF('[1]Game Input'!$CB381&lt;&gt;"",'[1]Game Input'!$CB381,"")</f>
        <v>0</v>
      </c>
      <c r="X381" s="9">
        <f>IF('[1]Game Input'!$CC381&lt;&gt;"",'[1]Game Input'!$CC381,"")</f>
        <v>0</v>
      </c>
      <c r="Y381" s="9">
        <f>IF('[1]Game Input'!$CF381&lt;&gt;"",'[1]Game Input'!$CF381,"")</f>
        <v>3</v>
      </c>
      <c r="Z381" s="9">
        <f>IF('[1]Game Input'!$CG381&lt;&gt;"",'[1]Game Input'!$CG381,"")</f>
        <v>0</v>
      </c>
      <c r="AA381" s="9">
        <f>IF('[1]Game Input'!$CH381&lt;&gt;"",'[1]Game Input'!$CH381,"")</f>
        <v>0</v>
      </c>
      <c r="AB381" s="9">
        <f>IF('[1]Game Input'!$CI381&lt;&gt;"",'[1]Game Input'!$CI381,"")</f>
        <v>0</v>
      </c>
      <c r="AC381" s="9">
        <f>IF('[1]Game Input'!$CJ381&lt;&gt;"",'[1]Game Input'!$CJ381,"")</f>
        <v>0</v>
      </c>
      <c r="AD381" s="9">
        <f>IF('[1]Game Input'!$CK381&lt;&gt;"",'[1]Game Input'!$CK381,"")</f>
        <v>0</v>
      </c>
      <c r="AE381" s="8"/>
      <c r="AF381" s="8"/>
      <c r="AG381" s="8"/>
      <c r="AH381" s="8"/>
    </row>
    <row r="382" spans="1:34" x14ac:dyDescent="0.2">
      <c r="A382" s="6">
        <f>IF('[1]Game Input'!$A382&lt;&gt;"",'[1]Game Input'!$A382,"")</f>
        <v>43519</v>
      </c>
      <c r="B382" s="6" t="str">
        <f>IF(A382&gt;$B$1,VLOOKUP(MONTH($A382),DOTWMonth,2,FALSE),"")</f>
        <v>February</v>
      </c>
      <c r="C382" s="10" t="str">
        <f>IF(A382&gt;$B$1,VLOOKUP(WEEKDAY($A382),DOTWMonth,3,FALSE),"")</f>
        <v>Saturday</v>
      </c>
      <c r="D382" s="7">
        <f>IF('[1]Game Input'!$B382&lt;&gt;"",'[1]Game Input'!$B382,"")</f>
        <v>0.80208333333333337</v>
      </c>
      <c r="E382" s="7">
        <f>IF('[1]Game Input'!$C382&lt;&gt;"",'[1]Game Input'!$C382,"")</f>
        <v>0.76041666666666674</v>
      </c>
      <c r="F382" s="8" t="str">
        <f>IF('[1]Game Input'!$D382&lt;&gt;"",'[1]Game Input'!$D382,"")</f>
        <v>Standard</v>
      </c>
      <c r="G382" s="8" t="str">
        <f>IF('[1]Game Input'!$G382&lt;&gt;"",'[1]Game Input'!$G382,"")</f>
        <v>MAD @ MUS</v>
      </c>
      <c r="H382" s="8" t="str">
        <f>IF('[1]Game Input'!$H382&lt;&gt;"",'[1]Game Input'!$H382,"")</f>
        <v>Vs. Conference</v>
      </c>
      <c r="I382" s="8" t="str">
        <f>IF('[1]Game Input'!$I382&lt;&gt;"",'[1]Game Input'!$I382,"")</f>
        <v>MADISON</v>
      </c>
      <c r="J382" s="9">
        <f>IF('[1]Game Input'!$AC382&lt;&gt;"",'[1]Game Input'!$AC382,"")</f>
        <v>8</v>
      </c>
      <c r="K382" s="9">
        <f>IF('[1]Game Input'!$AD382&lt;&gt;"",'[1]Game Input'!$AD382,"")</f>
        <v>4</v>
      </c>
      <c r="L382" s="9">
        <f>IF('[1]Game Input'!$AJ382&lt;&gt;"",'[1]Game Input'!$AJ382,"")</f>
        <v>0</v>
      </c>
      <c r="M382" s="9">
        <f>IF('[1]Game Input'!$AK382&lt;&gt;"",'[1]Game Input'!$AK382,"")</f>
        <v>0</v>
      </c>
      <c r="N382" s="9">
        <f>IF('[1]Game Input'!$AN382&lt;&gt;"",'[1]Game Input'!$AN382,"")</f>
        <v>4</v>
      </c>
      <c r="O382" s="9">
        <f>IF('[1]Game Input'!$AO382&lt;&gt;"",'[1]Game Input'!$AO382,"")</f>
        <v>0</v>
      </c>
      <c r="P382" s="9">
        <f>IF('[1]Game Input'!$AP382&lt;&gt;"",'[1]Game Input'!$AP382,"")</f>
        <v>0</v>
      </c>
      <c r="Q382" s="9">
        <f>IF('[1]Game Input'!$AQ382&lt;&gt;"",'[1]Game Input'!$AQ382,"")</f>
        <v>0</v>
      </c>
      <c r="R382" s="9">
        <f>IF('[1]Game Input'!$AR382&lt;&gt;"",'[1]Game Input'!$AR382,"")</f>
        <v>0</v>
      </c>
      <c r="S382" s="9">
        <f>IF('[1]Game Input'!$AS382&lt;&gt;"",'[1]Game Input'!$AS382,"")</f>
        <v>0</v>
      </c>
      <c r="T382" s="10" t="str">
        <f>IF('[1]Game Input'!$BA382&lt;&gt;"",'[1]Game Input'!$BA382,"")</f>
        <v>MUSKEGON</v>
      </c>
      <c r="U382" s="9">
        <f>IF('[1]Game Input'!$BU382&lt;&gt;"",'[1]Game Input'!$BU382,"")</f>
        <v>4</v>
      </c>
      <c r="V382" s="9">
        <f>IF('[1]Game Input'!$BV382&lt;&gt;"",'[1]Game Input'!$BV382,"")</f>
        <v>2</v>
      </c>
      <c r="W382" s="9">
        <f>IF('[1]Game Input'!$CB382&lt;&gt;"",'[1]Game Input'!$CB382,"")</f>
        <v>0</v>
      </c>
      <c r="X382" s="9">
        <f>IF('[1]Game Input'!$CC382&lt;&gt;"",'[1]Game Input'!$CC382,"")</f>
        <v>0</v>
      </c>
      <c r="Y382" s="9">
        <f>IF('[1]Game Input'!$CF382&lt;&gt;"",'[1]Game Input'!$CF382,"")</f>
        <v>2</v>
      </c>
      <c r="Z382" s="9">
        <f>IF('[1]Game Input'!$CG382&lt;&gt;"",'[1]Game Input'!$CG382,"")</f>
        <v>0</v>
      </c>
      <c r="AA382" s="9">
        <f>IF('[1]Game Input'!$CH382&lt;&gt;"",'[1]Game Input'!$CH382,"")</f>
        <v>0</v>
      </c>
      <c r="AB382" s="9">
        <f>IF('[1]Game Input'!$CI382&lt;&gt;"",'[1]Game Input'!$CI382,"")</f>
        <v>0</v>
      </c>
      <c r="AC382" s="9">
        <f>IF('[1]Game Input'!$CJ382&lt;&gt;"",'[1]Game Input'!$CJ382,"")</f>
        <v>0</v>
      </c>
      <c r="AD382" s="9">
        <f>IF('[1]Game Input'!$CK382&lt;&gt;"",'[1]Game Input'!$CK382,"")</f>
        <v>0</v>
      </c>
      <c r="AE382" s="8"/>
      <c r="AF382" s="8"/>
      <c r="AG382" s="8"/>
      <c r="AH382" s="8"/>
    </row>
    <row r="383" spans="1:34" x14ac:dyDescent="0.2">
      <c r="A383" s="6">
        <f>IF('[1]Game Input'!$A383&lt;&gt;"",'[1]Game Input'!$A383,"")</f>
        <v>43519</v>
      </c>
      <c r="B383" s="6" t="str">
        <f>IF(A383&gt;$B$1,VLOOKUP(MONTH($A383),DOTWMonth,2,FALSE),"")</f>
        <v>February</v>
      </c>
      <c r="C383" s="10" t="str">
        <f>IF(A383&gt;$B$1,VLOOKUP(WEEKDAY($A383),DOTWMonth,3,FALSE),"")</f>
        <v>Saturday</v>
      </c>
      <c r="D383" s="7">
        <f>IF('[1]Game Input'!$B383&lt;&gt;"",'[1]Game Input'!$B383,"")</f>
        <v>0.83680555555555547</v>
      </c>
      <c r="E383" s="7">
        <f>IF('[1]Game Input'!$C383&lt;&gt;"",'[1]Game Input'!$C383,"")</f>
        <v>0.79513888888888884</v>
      </c>
      <c r="F383" s="8" t="str">
        <f>IF('[1]Game Input'!$D383&lt;&gt;"",'[1]Game Input'!$D383,"")</f>
        <v>Standard</v>
      </c>
      <c r="G383" s="8" t="str">
        <f>IF('[1]Game Input'!$G383&lt;&gt;"",'[1]Game Input'!$G383,"")</f>
        <v>DUB @ CR</v>
      </c>
      <c r="H383" s="8" t="str">
        <f>IF('[1]Game Input'!$H383&lt;&gt;"",'[1]Game Input'!$H383,"")</f>
        <v>Vs. Conference</v>
      </c>
      <c r="I383" s="8" t="str">
        <f>IF('[1]Game Input'!$I383&lt;&gt;"",'[1]Game Input'!$I383,"")</f>
        <v>DUBUQUE</v>
      </c>
      <c r="J383" s="9">
        <f>IF('[1]Game Input'!$AC383&lt;&gt;"",'[1]Game Input'!$AC383,"")</f>
        <v>38</v>
      </c>
      <c r="K383" s="9">
        <f>IF('[1]Game Input'!$AD383&lt;&gt;"",'[1]Game Input'!$AD383,"")</f>
        <v>11</v>
      </c>
      <c r="L383" s="9">
        <f>IF('[1]Game Input'!$AJ383&lt;&gt;"",'[1]Game Input'!$AJ383,"")</f>
        <v>0</v>
      </c>
      <c r="M383" s="9">
        <f>IF('[1]Game Input'!$AK383&lt;&gt;"",'[1]Game Input'!$AK383,"")</f>
        <v>0</v>
      </c>
      <c r="N383" s="9">
        <f>IF('[1]Game Input'!$AN383&lt;&gt;"",'[1]Game Input'!$AN383,"")</f>
        <v>9</v>
      </c>
      <c r="O383" s="9">
        <f>IF('[1]Game Input'!$AO383&lt;&gt;"",'[1]Game Input'!$AO383,"")</f>
        <v>0</v>
      </c>
      <c r="P383" s="9">
        <f>IF('[1]Game Input'!$AP383&lt;&gt;"",'[1]Game Input'!$AP383,"")</f>
        <v>2</v>
      </c>
      <c r="Q383" s="9">
        <f>IF('[1]Game Input'!$AQ383&lt;&gt;"",'[1]Game Input'!$AQ383,"")</f>
        <v>0</v>
      </c>
      <c r="R383" s="9">
        <f>IF('[1]Game Input'!$AR383&lt;&gt;"",'[1]Game Input'!$AR383,"")</f>
        <v>0</v>
      </c>
      <c r="S383" s="9">
        <f>IF('[1]Game Input'!$AS383&lt;&gt;"",'[1]Game Input'!$AS383,"")</f>
        <v>0</v>
      </c>
      <c r="T383" s="10" t="str">
        <f>IF('[1]Game Input'!$BA383&lt;&gt;"",'[1]Game Input'!$BA383,"")</f>
        <v>CEDAR RAPIDS</v>
      </c>
      <c r="U383" s="9">
        <f>IF('[1]Game Input'!$BU383&lt;&gt;"",'[1]Game Input'!$BU383,"")</f>
        <v>32</v>
      </c>
      <c r="V383" s="9">
        <f>IF('[1]Game Input'!$BV383&lt;&gt;"",'[1]Game Input'!$BV383,"")</f>
        <v>8</v>
      </c>
      <c r="W383" s="9">
        <f>IF('[1]Game Input'!$CB383&lt;&gt;"",'[1]Game Input'!$CB383,"")</f>
        <v>0</v>
      </c>
      <c r="X383" s="9">
        <f>IF('[1]Game Input'!$CC383&lt;&gt;"",'[1]Game Input'!$CC383,"")</f>
        <v>0</v>
      </c>
      <c r="Y383" s="9">
        <f>IF('[1]Game Input'!$CF383&lt;&gt;"",'[1]Game Input'!$CF383,"")</f>
        <v>6</v>
      </c>
      <c r="Z383" s="9">
        <f>IF('[1]Game Input'!$CG383&lt;&gt;"",'[1]Game Input'!$CG383,"")</f>
        <v>0</v>
      </c>
      <c r="AA383" s="9">
        <f>IF('[1]Game Input'!$CH383&lt;&gt;"",'[1]Game Input'!$CH383,"")</f>
        <v>2</v>
      </c>
      <c r="AB383" s="9">
        <f>IF('[1]Game Input'!$CI383&lt;&gt;"",'[1]Game Input'!$CI383,"")</f>
        <v>0</v>
      </c>
      <c r="AC383" s="9">
        <f>IF('[1]Game Input'!$CJ383&lt;&gt;"",'[1]Game Input'!$CJ383,"")</f>
        <v>0</v>
      </c>
      <c r="AD383" s="9">
        <f>IF('[1]Game Input'!$CK383&lt;&gt;"",'[1]Game Input'!$CK383,"")</f>
        <v>0</v>
      </c>
      <c r="AE383" s="8" t="s">
        <v>94</v>
      </c>
      <c r="AF383" s="8" t="s">
        <v>102</v>
      </c>
      <c r="AG383" s="8" t="s">
        <v>135</v>
      </c>
      <c r="AH383" s="8" t="s">
        <v>154</v>
      </c>
    </row>
    <row r="384" spans="1:34" x14ac:dyDescent="0.2">
      <c r="A384" s="6">
        <f>IF('[1]Game Input'!$A384&lt;&gt;"",'[1]Game Input'!$A384,"")</f>
        <v>43519</v>
      </c>
      <c r="B384" s="6" t="str">
        <f>IF(A384&gt;$B$1,VLOOKUP(MONTH($A384),DOTWMonth,2,FALSE),"")</f>
        <v>February</v>
      </c>
      <c r="C384" s="10" t="str">
        <f>IF(A384&gt;$B$1,VLOOKUP(WEEKDAY($A384),DOTWMonth,3,FALSE),"")</f>
        <v>Saturday</v>
      </c>
      <c r="D384" s="7">
        <f>IF('[1]Game Input'!$B384&lt;&gt;"",'[1]Game Input'!$B384,"")</f>
        <v>0.83680555555555547</v>
      </c>
      <c r="E384" s="7">
        <f>IF('[1]Game Input'!$C384&lt;&gt;"",'[1]Game Input'!$C384,"")</f>
        <v>0.79513888888888884</v>
      </c>
      <c r="F384" s="8" t="str">
        <f>IF('[1]Game Input'!$D384&lt;&gt;"",'[1]Game Input'!$D384,"")</f>
        <v>Standard</v>
      </c>
      <c r="G384" s="8" t="str">
        <f>IF('[1]Game Input'!$G384&lt;&gt;"",'[1]Game Input'!$G384,"")</f>
        <v>CIL @ GB</v>
      </c>
      <c r="H384" s="8" t="str">
        <f>IF('[1]Game Input'!$H384&lt;&gt;"",'[1]Game Input'!$H384,"")</f>
        <v>Vs. Conference</v>
      </c>
      <c r="I384" s="8" t="str">
        <f>IF('[1]Game Input'!$I384&lt;&gt;"",'[1]Game Input'!$I384,"")</f>
        <v>CENTRAL ILLINOIS</v>
      </c>
      <c r="J384" s="9">
        <f>IF('[1]Game Input'!$AC384&lt;&gt;"",'[1]Game Input'!$AC384,"")</f>
        <v>14</v>
      </c>
      <c r="K384" s="9">
        <f>IF('[1]Game Input'!$AD384&lt;&gt;"",'[1]Game Input'!$AD384,"")</f>
        <v>7</v>
      </c>
      <c r="L384" s="9">
        <f>IF('[1]Game Input'!$AJ384&lt;&gt;"",'[1]Game Input'!$AJ384,"")</f>
        <v>0</v>
      </c>
      <c r="M384" s="9">
        <f>IF('[1]Game Input'!$AK384&lt;&gt;"",'[1]Game Input'!$AK384,"")</f>
        <v>0</v>
      </c>
      <c r="N384" s="9">
        <f>IF('[1]Game Input'!$AN384&lt;&gt;"",'[1]Game Input'!$AN384,"")</f>
        <v>7</v>
      </c>
      <c r="O384" s="9">
        <f>IF('[1]Game Input'!$AO384&lt;&gt;"",'[1]Game Input'!$AO384,"")</f>
        <v>0</v>
      </c>
      <c r="P384" s="9">
        <f>IF('[1]Game Input'!$AP384&lt;&gt;"",'[1]Game Input'!$AP384,"")</f>
        <v>0</v>
      </c>
      <c r="Q384" s="9">
        <f>IF('[1]Game Input'!$AQ384&lt;&gt;"",'[1]Game Input'!$AQ384,"")</f>
        <v>0</v>
      </c>
      <c r="R384" s="9">
        <f>IF('[1]Game Input'!$AR384&lt;&gt;"",'[1]Game Input'!$AR384,"")</f>
        <v>0</v>
      </c>
      <c r="S384" s="9">
        <f>IF('[1]Game Input'!$AS384&lt;&gt;"",'[1]Game Input'!$AS384,"")</f>
        <v>0</v>
      </c>
      <c r="T384" s="10" t="str">
        <f>IF('[1]Game Input'!$BA384&lt;&gt;"",'[1]Game Input'!$BA384,"")</f>
        <v>GREEN BAY</v>
      </c>
      <c r="U384" s="9">
        <f>IF('[1]Game Input'!$BU384&lt;&gt;"",'[1]Game Input'!$BU384,"")</f>
        <v>12</v>
      </c>
      <c r="V384" s="9">
        <f>IF('[1]Game Input'!$BV384&lt;&gt;"",'[1]Game Input'!$BV384,"")</f>
        <v>6</v>
      </c>
      <c r="W384" s="9">
        <f>IF('[1]Game Input'!$CB384&lt;&gt;"",'[1]Game Input'!$CB384,"")</f>
        <v>0</v>
      </c>
      <c r="X384" s="9">
        <f>IF('[1]Game Input'!$CC384&lt;&gt;"",'[1]Game Input'!$CC384,"")</f>
        <v>0</v>
      </c>
      <c r="Y384" s="9">
        <f>IF('[1]Game Input'!$CF384&lt;&gt;"",'[1]Game Input'!$CF384,"")</f>
        <v>6</v>
      </c>
      <c r="Z384" s="9">
        <f>IF('[1]Game Input'!$CG384&lt;&gt;"",'[1]Game Input'!$CG384,"")</f>
        <v>0</v>
      </c>
      <c r="AA384" s="9">
        <f>IF('[1]Game Input'!$CH384&lt;&gt;"",'[1]Game Input'!$CH384,"")</f>
        <v>0</v>
      </c>
      <c r="AB384" s="9">
        <f>IF('[1]Game Input'!$CI384&lt;&gt;"",'[1]Game Input'!$CI384,"")</f>
        <v>0</v>
      </c>
      <c r="AC384" s="9">
        <f>IF('[1]Game Input'!$CJ384&lt;&gt;"",'[1]Game Input'!$CJ384,"")</f>
        <v>0</v>
      </c>
      <c r="AD384" s="9">
        <f>IF('[1]Game Input'!$CK384&lt;&gt;"",'[1]Game Input'!$CK384,"")</f>
        <v>0</v>
      </c>
      <c r="AE384" s="8" t="s">
        <v>98</v>
      </c>
      <c r="AF384" s="8"/>
      <c r="AG384" s="8" t="s">
        <v>128</v>
      </c>
      <c r="AH384" s="8" t="s">
        <v>129</v>
      </c>
    </row>
    <row r="385" spans="1:34" x14ac:dyDescent="0.2">
      <c r="A385" s="6">
        <f>IF('[1]Game Input'!$A385&lt;&gt;"",'[1]Game Input'!$A385,"")</f>
        <v>43519</v>
      </c>
      <c r="B385" s="6" t="str">
        <f>IF(A385&gt;$B$1,VLOOKUP(MONTH($A385),DOTWMonth,2,FALSE),"")</f>
        <v>February</v>
      </c>
      <c r="C385" s="10" t="str">
        <f>IF(A385&gt;$B$1,VLOOKUP(WEEKDAY($A385),DOTWMonth,3,FALSE),"")</f>
        <v>Saturday</v>
      </c>
      <c r="D385" s="7">
        <f>IF('[1]Game Input'!$B385&lt;&gt;"",'[1]Game Input'!$B385,"")</f>
        <v>0.83680555555555547</v>
      </c>
      <c r="E385" s="7">
        <f>IF('[1]Game Input'!$C385&lt;&gt;"",'[1]Game Input'!$C385,"")</f>
        <v>0.79513888888888884</v>
      </c>
      <c r="F385" s="8" t="str">
        <f>IF('[1]Game Input'!$D385&lt;&gt;"",'[1]Game Input'!$D385,"")</f>
        <v>Standard</v>
      </c>
      <c r="G385" s="8" t="str">
        <f>IF('[1]Game Input'!$G385&lt;&gt;"",'[1]Game Input'!$G385,"")</f>
        <v>FGO @ LIN</v>
      </c>
      <c r="H385" s="8" t="str">
        <f>IF('[1]Game Input'!$H385&lt;&gt;"",'[1]Game Input'!$H385,"")</f>
        <v>Vs. Conference</v>
      </c>
      <c r="I385" s="8" t="str">
        <f>IF('[1]Game Input'!$I385&lt;&gt;"",'[1]Game Input'!$I385,"")</f>
        <v>FARGO</v>
      </c>
      <c r="J385" s="9">
        <f>IF('[1]Game Input'!$AC385&lt;&gt;"",'[1]Game Input'!$AC385,"")</f>
        <v>16</v>
      </c>
      <c r="K385" s="9">
        <f>IF('[1]Game Input'!$AD385&lt;&gt;"",'[1]Game Input'!$AD385,"")</f>
        <v>4</v>
      </c>
      <c r="L385" s="9">
        <f>IF('[1]Game Input'!$AJ385&lt;&gt;"",'[1]Game Input'!$AJ385,"")</f>
        <v>0</v>
      </c>
      <c r="M385" s="9">
        <f>IF('[1]Game Input'!$AK385&lt;&gt;"",'[1]Game Input'!$AK385,"")</f>
        <v>0</v>
      </c>
      <c r="N385" s="9">
        <f>IF('[1]Game Input'!$AN385&lt;&gt;"",'[1]Game Input'!$AN385,"")</f>
        <v>3</v>
      </c>
      <c r="O385" s="9">
        <f>IF('[1]Game Input'!$AO385&lt;&gt;"",'[1]Game Input'!$AO385,"")</f>
        <v>0</v>
      </c>
      <c r="P385" s="9">
        <f>IF('[1]Game Input'!$AP385&lt;&gt;"",'[1]Game Input'!$AP385,"")</f>
        <v>1</v>
      </c>
      <c r="Q385" s="9">
        <f>IF('[1]Game Input'!$AQ385&lt;&gt;"",'[1]Game Input'!$AQ385,"")</f>
        <v>0</v>
      </c>
      <c r="R385" s="9">
        <f>IF('[1]Game Input'!$AR385&lt;&gt;"",'[1]Game Input'!$AR385,"")</f>
        <v>0</v>
      </c>
      <c r="S385" s="9">
        <f>IF('[1]Game Input'!$AS385&lt;&gt;"",'[1]Game Input'!$AS385,"")</f>
        <v>0</v>
      </c>
      <c r="T385" s="10" t="str">
        <f>IF('[1]Game Input'!$BA385&lt;&gt;"",'[1]Game Input'!$BA385,"")</f>
        <v>LINCOLN</v>
      </c>
      <c r="U385" s="9">
        <f>IF('[1]Game Input'!$BU385&lt;&gt;"",'[1]Game Input'!$BU385,"")</f>
        <v>19</v>
      </c>
      <c r="V385" s="9">
        <f>IF('[1]Game Input'!$BV385&lt;&gt;"",'[1]Game Input'!$BV385,"")</f>
        <v>4</v>
      </c>
      <c r="W385" s="9">
        <f>IF('[1]Game Input'!$CB385&lt;&gt;"",'[1]Game Input'!$CB385,"")</f>
        <v>0</v>
      </c>
      <c r="X385" s="9">
        <f>IF('[1]Game Input'!$CC385&lt;&gt;"",'[1]Game Input'!$CC385,"")</f>
        <v>0</v>
      </c>
      <c r="Y385" s="9">
        <f>IF('[1]Game Input'!$CF385&lt;&gt;"",'[1]Game Input'!$CF385,"")</f>
        <v>2</v>
      </c>
      <c r="Z385" s="9">
        <f>IF('[1]Game Input'!$CG385&lt;&gt;"",'[1]Game Input'!$CG385,"")</f>
        <v>1</v>
      </c>
      <c r="AA385" s="9">
        <f>IF('[1]Game Input'!$CH385&lt;&gt;"",'[1]Game Input'!$CH385,"")</f>
        <v>1</v>
      </c>
      <c r="AB385" s="9">
        <f>IF('[1]Game Input'!$CI385&lt;&gt;"",'[1]Game Input'!$CI385,"")</f>
        <v>0</v>
      </c>
      <c r="AC385" s="9">
        <f>IF('[1]Game Input'!$CJ385&lt;&gt;"",'[1]Game Input'!$CJ385,"")</f>
        <v>0</v>
      </c>
      <c r="AD385" s="9">
        <f>IF('[1]Game Input'!$CK385&lt;&gt;"",'[1]Game Input'!$CK385,"")</f>
        <v>0</v>
      </c>
      <c r="AE385" s="8"/>
      <c r="AF385" s="8"/>
      <c r="AG385" s="8"/>
      <c r="AH385" s="8"/>
    </row>
    <row r="386" spans="1:34" x14ac:dyDescent="0.2">
      <c r="A386" s="6">
        <f>IF('[1]Game Input'!$A386&lt;&gt;"",'[1]Game Input'!$A386,"")</f>
        <v>43519</v>
      </c>
      <c r="B386" s="6" t="str">
        <f>IF(A386&gt;$B$1,VLOOKUP(MONTH($A386),DOTWMonth,2,FALSE),"")</f>
        <v>February</v>
      </c>
      <c r="C386" s="10" t="str">
        <f>IF(A386&gt;$B$1,VLOOKUP(WEEKDAY($A386),DOTWMonth,3,FALSE),"")</f>
        <v>Saturday</v>
      </c>
      <c r="D386" s="7">
        <f>IF('[1]Game Input'!$B386&lt;&gt;"",'[1]Game Input'!$B386,"")</f>
        <v>0.83680555555555547</v>
      </c>
      <c r="E386" s="7">
        <f>IF('[1]Game Input'!$C386&lt;&gt;"",'[1]Game Input'!$C386,"")</f>
        <v>0.79513888888888884</v>
      </c>
      <c r="F386" s="8" t="str">
        <f>IF('[1]Game Input'!$D386&lt;&gt;"",'[1]Game Input'!$D386,"")</f>
        <v>Standard</v>
      </c>
      <c r="G386" s="8" t="str">
        <f>IF('[1]Game Input'!$G386&lt;&gt;"",'[1]Game Input'!$G386,"")</f>
        <v>OMA @ SF</v>
      </c>
      <c r="H386" s="8" t="str">
        <f>IF('[1]Game Input'!$H386&lt;&gt;"",'[1]Game Input'!$H386,"")</f>
        <v>Vs. Conference</v>
      </c>
      <c r="I386" s="8" t="str">
        <f>IF('[1]Game Input'!$I386&lt;&gt;"",'[1]Game Input'!$I386,"")</f>
        <v>OMAHA</v>
      </c>
      <c r="J386" s="9">
        <f>IF('[1]Game Input'!$AC386&lt;&gt;"",'[1]Game Input'!$AC386,"")</f>
        <v>8</v>
      </c>
      <c r="K386" s="9">
        <f>IF('[1]Game Input'!$AD386&lt;&gt;"",'[1]Game Input'!$AD386,"")</f>
        <v>4</v>
      </c>
      <c r="L386" s="9">
        <f>IF('[1]Game Input'!$AJ386&lt;&gt;"",'[1]Game Input'!$AJ386,"")</f>
        <v>0</v>
      </c>
      <c r="M386" s="9">
        <f>IF('[1]Game Input'!$AK386&lt;&gt;"",'[1]Game Input'!$AK386,"")</f>
        <v>0</v>
      </c>
      <c r="N386" s="9">
        <f>IF('[1]Game Input'!$AN386&lt;&gt;"",'[1]Game Input'!$AN386,"")</f>
        <v>4</v>
      </c>
      <c r="O386" s="9">
        <f>IF('[1]Game Input'!$AO386&lt;&gt;"",'[1]Game Input'!$AO386,"")</f>
        <v>0</v>
      </c>
      <c r="P386" s="9">
        <f>IF('[1]Game Input'!$AP386&lt;&gt;"",'[1]Game Input'!$AP386,"")</f>
        <v>0</v>
      </c>
      <c r="Q386" s="9">
        <f>IF('[1]Game Input'!$AQ386&lt;&gt;"",'[1]Game Input'!$AQ386,"")</f>
        <v>0</v>
      </c>
      <c r="R386" s="9">
        <f>IF('[1]Game Input'!$AR386&lt;&gt;"",'[1]Game Input'!$AR386,"")</f>
        <v>0</v>
      </c>
      <c r="S386" s="9">
        <f>IF('[1]Game Input'!$AS386&lt;&gt;"",'[1]Game Input'!$AS386,"")</f>
        <v>0</v>
      </c>
      <c r="T386" s="10" t="str">
        <f>IF('[1]Game Input'!$BA386&lt;&gt;"",'[1]Game Input'!$BA386,"")</f>
        <v>SIOUX FALLS</v>
      </c>
      <c r="U386" s="9">
        <f>IF('[1]Game Input'!$BU386&lt;&gt;"",'[1]Game Input'!$BU386,"")</f>
        <v>10</v>
      </c>
      <c r="V386" s="9">
        <f>IF('[1]Game Input'!$BV386&lt;&gt;"",'[1]Game Input'!$BV386,"")</f>
        <v>5</v>
      </c>
      <c r="W386" s="9">
        <f>IF('[1]Game Input'!$CB386&lt;&gt;"",'[1]Game Input'!$CB386,"")</f>
        <v>0</v>
      </c>
      <c r="X386" s="9">
        <f>IF('[1]Game Input'!$CC386&lt;&gt;"",'[1]Game Input'!$CC386,"")</f>
        <v>0</v>
      </c>
      <c r="Y386" s="9">
        <f>IF('[1]Game Input'!$CF386&lt;&gt;"",'[1]Game Input'!$CF386,"")</f>
        <v>5</v>
      </c>
      <c r="Z386" s="9">
        <f>IF('[1]Game Input'!$CG386&lt;&gt;"",'[1]Game Input'!$CG386,"")</f>
        <v>0</v>
      </c>
      <c r="AA386" s="9">
        <f>IF('[1]Game Input'!$CH386&lt;&gt;"",'[1]Game Input'!$CH386,"")</f>
        <v>0</v>
      </c>
      <c r="AB386" s="9">
        <f>IF('[1]Game Input'!$CI386&lt;&gt;"",'[1]Game Input'!$CI386,"")</f>
        <v>0</v>
      </c>
      <c r="AC386" s="9">
        <f>IF('[1]Game Input'!$CJ386&lt;&gt;"",'[1]Game Input'!$CJ386,"")</f>
        <v>0</v>
      </c>
      <c r="AD386" s="9">
        <f>IF('[1]Game Input'!$CK386&lt;&gt;"",'[1]Game Input'!$CK386,"")</f>
        <v>0</v>
      </c>
      <c r="AE386" s="8"/>
      <c r="AF386" s="8"/>
      <c r="AG386" s="8"/>
      <c r="AH386" s="8"/>
    </row>
    <row r="387" spans="1:34" x14ac:dyDescent="0.2">
      <c r="A387" s="6">
        <f>IF('[1]Game Input'!$A387&lt;&gt;"",'[1]Game Input'!$A387,"")</f>
        <v>43519</v>
      </c>
      <c r="B387" s="6" t="str">
        <f>IF(A387&gt;$B$1,VLOOKUP(MONTH($A387),DOTWMonth,2,FALSE),"")</f>
        <v>February</v>
      </c>
      <c r="C387" s="10" t="str">
        <f>IF(A387&gt;$B$1,VLOOKUP(WEEKDAY($A387),DOTWMonth,3,FALSE),"")</f>
        <v>Saturday</v>
      </c>
      <c r="D387" s="7">
        <f>IF('[1]Game Input'!$B387&lt;&gt;"",'[1]Game Input'!$B387,"")</f>
        <v>0.83680555555555547</v>
      </c>
      <c r="E387" s="7">
        <f>IF('[1]Game Input'!$C387&lt;&gt;"",'[1]Game Input'!$C387,"")</f>
        <v>0.79513888888888884</v>
      </c>
      <c r="F387" s="8" t="str">
        <f>IF('[1]Game Input'!$D387&lt;&gt;"",'[1]Game Input'!$D387,"")</f>
        <v>Standard</v>
      </c>
      <c r="G387" s="8" t="str">
        <f>IF('[1]Game Input'!$G387&lt;&gt;"",'[1]Game Input'!$G387,"")</f>
        <v>SC @ WAT</v>
      </c>
      <c r="H387" s="8" t="str">
        <f>IF('[1]Game Input'!$H387&lt;&gt;"",'[1]Game Input'!$H387,"")</f>
        <v>Vs. Conference</v>
      </c>
      <c r="I387" s="8" t="str">
        <f>IF('[1]Game Input'!$I387&lt;&gt;"",'[1]Game Input'!$I387,"")</f>
        <v>SIOUX CITY</v>
      </c>
      <c r="J387" s="9">
        <f>IF('[1]Game Input'!$AC387&lt;&gt;"",'[1]Game Input'!$AC387,"")</f>
        <v>4</v>
      </c>
      <c r="K387" s="9">
        <f>IF('[1]Game Input'!$AD387&lt;&gt;"",'[1]Game Input'!$AD387,"")</f>
        <v>2</v>
      </c>
      <c r="L387" s="9">
        <f>IF('[1]Game Input'!$AJ387&lt;&gt;"",'[1]Game Input'!$AJ387,"")</f>
        <v>0</v>
      </c>
      <c r="M387" s="9">
        <f>IF('[1]Game Input'!$AK387&lt;&gt;"",'[1]Game Input'!$AK387,"")</f>
        <v>0</v>
      </c>
      <c r="N387" s="9">
        <f>IF('[1]Game Input'!$AN387&lt;&gt;"",'[1]Game Input'!$AN387,"")</f>
        <v>2</v>
      </c>
      <c r="O387" s="9">
        <f>IF('[1]Game Input'!$AO387&lt;&gt;"",'[1]Game Input'!$AO387,"")</f>
        <v>0</v>
      </c>
      <c r="P387" s="9">
        <f>IF('[1]Game Input'!$AP387&lt;&gt;"",'[1]Game Input'!$AP387,"")</f>
        <v>0</v>
      </c>
      <c r="Q387" s="9">
        <f>IF('[1]Game Input'!$AQ387&lt;&gt;"",'[1]Game Input'!$AQ387,"")</f>
        <v>0</v>
      </c>
      <c r="R387" s="9">
        <f>IF('[1]Game Input'!$AR387&lt;&gt;"",'[1]Game Input'!$AR387,"")</f>
        <v>0</v>
      </c>
      <c r="S387" s="9">
        <f>IF('[1]Game Input'!$AS387&lt;&gt;"",'[1]Game Input'!$AS387,"")</f>
        <v>0</v>
      </c>
      <c r="T387" s="10" t="str">
        <f>IF('[1]Game Input'!$BA387&lt;&gt;"",'[1]Game Input'!$BA387,"")</f>
        <v>WATERLOO</v>
      </c>
      <c r="U387" s="9">
        <f>IF('[1]Game Input'!$BU387&lt;&gt;"",'[1]Game Input'!$BU387,"")</f>
        <v>4</v>
      </c>
      <c r="V387" s="9">
        <f>IF('[1]Game Input'!$BV387&lt;&gt;"",'[1]Game Input'!$BV387,"")</f>
        <v>2</v>
      </c>
      <c r="W387" s="9">
        <f>IF('[1]Game Input'!$CB387&lt;&gt;"",'[1]Game Input'!$CB387,"")</f>
        <v>0</v>
      </c>
      <c r="X387" s="9">
        <f>IF('[1]Game Input'!$CC387&lt;&gt;"",'[1]Game Input'!$CC387,"")</f>
        <v>0</v>
      </c>
      <c r="Y387" s="9">
        <f>IF('[1]Game Input'!$CF387&lt;&gt;"",'[1]Game Input'!$CF387,"")</f>
        <v>2</v>
      </c>
      <c r="Z387" s="9">
        <f>IF('[1]Game Input'!$CG387&lt;&gt;"",'[1]Game Input'!$CG387,"")</f>
        <v>0</v>
      </c>
      <c r="AA387" s="9">
        <f>IF('[1]Game Input'!$CH387&lt;&gt;"",'[1]Game Input'!$CH387,"")</f>
        <v>0</v>
      </c>
      <c r="AB387" s="9">
        <f>IF('[1]Game Input'!$CI387&lt;&gt;"",'[1]Game Input'!$CI387,"")</f>
        <v>0</v>
      </c>
      <c r="AC387" s="9">
        <f>IF('[1]Game Input'!$CJ387&lt;&gt;"",'[1]Game Input'!$CJ387,"")</f>
        <v>0</v>
      </c>
      <c r="AD387" s="9">
        <f>IF('[1]Game Input'!$CK387&lt;&gt;"",'[1]Game Input'!$CK387,"")</f>
        <v>0</v>
      </c>
      <c r="AE387" s="8"/>
      <c r="AF387" s="8"/>
      <c r="AG387" s="8"/>
      <c r="AH387" s="8"/>
    </row>
    <row r="388" spans="1:34" x14ac:dyDescent="0.2">
      <c r="A388" s="6">
        <f>IF('[1]Game Input'!$A388&lt;&gt;"",'[1]Game Input'!$A388,"")</f>
        <v>43519</v>
      </c>
      <c r="B388" s="6" t="str">
        <f>IF(A388&gt;$B$1,VLOOKUP(MONTH($A388),DOTWMonth,2,FALSE),"")</f>
        <v>February</v>
      </c>
      <c r="C388" s="10" t="str">
        <f>IF(A388&gt;$B$1,VLOOKUP(WEEKDAY($A388),DOTWMonth,3,FALSE),"")</f>
        <v>Saturday</v>
      </c>
      <c r="D388" s="7">
        <f>IF('[1]Game Input'!$B388&lt;&gt;"",'[1]Game Input'!$B388,"")</f>
        <v>0.83680555555555547</v>
      </c>
      <c r="E388" s="7">
        <f>IF('[1]Game Input'!$C388&lt;&gt;"",'[1]Game Input'!$C388,"")</f>
        <v>0.79513888888888884</v>
      </c>
      <c r="F388" s="8" t="str">
        <f>IF('[1]Game Input'!$D388&lt;&gt;"",'[1]Game Input'!$D388,"")</f>
        <v>Standard</v>
      </c>
      <c r="G388" s="8" t="str">
        <f>IF('[1]Game Input'!$G388&lt;&gt;"",'[1]Game Input'!$G388,"")</f>
        <v>YNG @ DM</v>
      </c>
      <c r="H388" s="8" t="str">
        <f>IF('[1]Game Input'!$H388&lt;&gt;"",'[1]Game Input'!$H388,"")</f>
        <v>Vs. Non-Conference</v>
      </c>
      <c r="I388" s="8" t="str">
        <f>IF('[1]Game Input'!$I388&lt;&gt;"",'[1]Game Input'!$I388,"")</f>
        <v>YOUNGSTOWN</v>
      </c>
      <c r="J388" s="9">
        <f>IF('[1]Game Input'!$AC388&lt;&gt;"",'[1]Game Input'!$AC388,"")</f>
        <v>16</v>
      </c>
      <c r="K388" s="9">
        <f>IF('[1]Game Input'!$AD388&lt;&gt;"",'[1]Game Input'!$AD388,"")</f>
        <v>8</v>
      </c>
      <c r="L388" s="9">
        <f>IF('[1]Game Input'!$AJ388&lt;&gt;"",'[1]Game Input'!$AJ388,"")</f>
        <v>0</v>
      </c>
      <c r="M388" s="9">
        <f>IF('[1]Game Input'!$AK388&lt;&gt;"",'[1]Game Input'!$AK388,"")</f>
        <v>0</v>
      </c>
      <c r="N388" s="9">
        <f>IF('[1]Game Input'!$AN388&lt;&gt;"",'[1]Game Input'!$AN388,"")</f>
        <v>8</v>
      </c>
      <c r="O388" s="9">
        <f>IF('[1]Game Input'!$AO388&lt;&gt;"",'[1]Game Input'!$AO388,"")</f>
        <v>0</v>
      </c>
      <c r="P388" s="9">
        <f>IF('[1]Game Input'!$AP388&lt;&gt;"",'[1]Game Input'!$AP388,"")</f>
        <v>0</v>
      </c>
      <c r="Q388" s="9">
        <f>IF('[1]Game Input'!$AQ388&lt;&gt;"",'[1]Game Input'!$AQ388,"")</f>
        <v>0</v>
      </c>
      <c r="R388" s="9">
        <f>IF('[1]Game Input'!$AR388&lt;&gt;"",'[1]Game Input'!$AR388,"")</f>
        <v>0</v>
      </c>
      <c r="S388" s="9">
        <f>IF('[1]Game Input'!$AS388&lt;&gt;"",'[1]Game Input'!$AS388,"")</f>
        <v>0</v>
      </c>
      <c r="T388" s="10" t="str">
        <f>IF('[1]Game Input'!$BA388&lt;&gt;"",'[1]Game Input'!$BA388,"")</f>
        <v>DES MOINES</v>
      </c>
      <c r="U388" s="9">
        <f>IF('[1]Game Input'!$BU388&lt;&gt;"",'[1]Game Input'!$BU388,"")</f>
        <v>12</v>
      </c>
      <c r="V388" s="9">
        <f>IF('[1]Game Input'!$BV388&lt;&gt;"",'[1]Game Input'!$BV388,"")</f>
        <v>6</v>
      </c>
      <c r="W388" s="9">
        <f>IF('[1]Game Input'!$CB388&lt;&gt;"",'[1]Game Input'!$CB388,"")</f>
        <v>0</v>
      </c>
      <c r="X388" s="9">
        <f>IF('[1]Game Input'!$CC388&lt;&gt;"",'[1]Game Input'!$CC388,"")</f>
        <v>0</v>
      </c>
      <c r="Y388" s="9">
        <f>IF('[1]Game Input'!$CF388&lt;&gt;"",'[1]Game Input'!$CF388,"")</f>
        <v>6</v>
      </c>
      <c r="Z388" s="9">
        <f>IF('[1]Game Input'!$CG388&lt;&gt;"",'[1]Game Input'!$CG388,"")</f>
        <v>0</v>
      </c>
      <c r="AA388" s="9">
        <f>IF('[1]Game Input'!$CH388&lt;&gt;"",'[1]Game Input'!$CH388,"")</f>
        <v>0</v>
      </c>
      <c r="AB388" s="9">
        <f>IF('[1]Game Input'!$CI388&lt;&gt;"",'[1]Game Input'!$CI388,"")</f>
        <v>0</v>
      </c>
      <c r="AC388" s="9">
        <f>IF('[1]Game Input'!$CJ388&lt;&gt;"",'[1]Game Input'!$CJ388,"")</f>
        <v>0</v>
      </c>
      <c r="AD388" s="9">
        <f>IF('[1]Game Input'!$CK388&lt;&gt;"",'[1]Game Input'!$CK388,"")</f>
        <v>0</v>
      </c>
      <c r="AE388" s="8" t="s">
        <v>106</v>
      </c>
      <c r="AF388" s="8" t="s">
        <v>91</v>
      </c>
      <c r="AG388" s="8" t="s">
        <v>117</v>
      </c>
      <c r="AH388" s="8" t="s">
        <v>116</v>
      </c>
    </row>
    <row r="389" spans="1:34" x14ac:dyDescent="0.2">
      <c r="A389" s="6">
        <f>IF('[1]Game Input'!$A389&lt;&gt;"",'[1]Game Input'!$A389,"")</f>
        <v>43519</v>
      </c>
      <c r="B389" s="6" t="str">
        <f>IF(A389&gt;$B$1,VLOOKUP(MONTH($A389),DOTWMonth,2,FALSE),"")</f>
        <v>February</v>
      </c>
      <c r="C389" s="10" t="str">
        <f>IF(A389&gt;$B$1,VLOOKUP(WEEKDAY($A389),DOTWMonth,3,FALSE),"")</f>
        <v>Saturday</v>
      </c>
      <c r="D389" s="7">
        <f>IF('[1]Game Input'!$B389&lt;&gt;"",'[1]Game Input'!$B389,"")</f>
        <v>0.83680555555555547</v>
      </c>
      <c r="E389" s="7">
        <f>IF('[1]Game Input'!$C389&lt;&gt;"",'[1]Game Input'!$C389,"")</f>
        <v>0.79513888888888884</v>
      </c>
      <c r="F389" s="8" t="str">
        <f>IF('[1]Game Input'!$D389&lt;&gt;"",'[1]Game Input'!$D389,"")</f>
        <v>Standard</v>
      </c>
      <c r="G389" s="8" t="str">
        <f>IF('[1]Game Input'!$G389&lt;&gt;"",'[1]Game Input'!$G389,"")</f>
        <v>CHI @ TC</v>
      </c>
      <c r="H389" s="8" t="str">
        <f>IF('[1]Game Input'!$H389&lt;&gt;"",'[1]Game Input'!$H389,"")</f>
        <v>Vs. Non-Conference</v>
      </c>
      <c r="I389" s="8" t="str">
        <f>IF('[1]Game Input'!$I389&lt;&gt;"",'[1]Game Input'!$I389,"")</f>
        <v>CHICAGO</v>
      </c>
      <c r="J389" s="9">
        <f>IF('[1]Game Input'!$AC389&lt;&gt;"",'[1]Game Input'!$AC389,"")</f>
        <v>10</v>
      </c>
      <c r="K389" s="9">
        <f>IF('[1]Game Input'!$AD389&lt;&gt;"",'[1]Game Input'!$AD389,"")</f>
        <v>5</v>
      </c>
      <c r="L389" s="9">
        <f>IF('[1]Game Input'!$AJ389&lt;&gt;"",'[1]Game Input'!$AJ389,"")</f>
        <v>0</v>
      </c>
      <c r="M389" s="9">
        <f>IF('[1]Game Input'!$AK389&lt;&gt;"",'[1]Game Input'!$AK389,"")</f>
        <v>0</v>
      </c>
      <c r="N389" s="9">
        <f>IF('[1]Game Input'!$AN389&lt;&gt;"",'[1]Game Input'!$AN389,"")</f>
        <v>5</v>
      </c>
      <c r="O389" s="9">
        <f>IF('[1]Game Input'!$AO389&lt;&gt;"",'[1]Game Input'!$AO389,"")</f>
        <v>0</v>
      </c>
      <c r="P389" s="9">
        <f>IF('[1]Game Input'!$AP389&lt;&gt;"",'[1]Game Input'!$AP389,"")</f>
        <v>0</v>
      </c>
      <c r="Q389" s="9">
        <f>IF('[1]Game Input'!$AQ389&lt;&gt;"",'[1]Game Input'!$AQ389,"")</f>
        <v>0</v>
      </c>
      <c r="R389" s="9">
        <f>IF('[1]Game Input'!$AR389&lt;&gt;"",'[1]Game Input'!$AR389,"")</f>
        <v>0</v>
      </c>
      <c r="S389" s="9">
        <f>IF('[1]Game Input'!$AS389&lt;&gt;"",'[1]Game Input'!$AS389,"")</f>
        <v>0</v>
      </c>
      <c r="T389" s="10" t="str">
        <f>IF('[1]Game Input'!$BA389&lt;&gt;"",'[1]Game Input'!$BA389,"")</f>
        <v>TRI-CITY</v>
      </c>
      <c r="U389" s="9">
        <f>IF('[1]Game Input'!$BU389&lt;&gt;"",'[1]Game Input'!$BU389,"")</f>
        <v>4</v>
      </c>
      <c r="V389" s="9">
        <f>IF('[1]Game Input'!$BV389&lt;&gt;"",'[1]Game Input'!$BV389,"")</f>
        <v>2</v>
      </c>
      <c r="W389" s="9">
        <f>IF('[1]Game Input'!$CB389&lt;&gt;"",'[1]Game Input'!$CB389,"")</f>
        <v>0</v>
      </c>
      <c r="X389" s="9">
        <f>IF('[1]Game Input'!$CC389&lt;&gt;"",'[1]Game Input'!$CC389,"")</f>
        <v>0</v>
      </c>
      <c r="Y389" s="9">
        <f>IF('[1]Game Input'!$CF389&lt;&gt;"",'[1]Game Input'!$CF389,"")</f>
        <v>2</v>
      </c>
      <c r="Z389" s="9">
        <f>IF('[1]Game Input'!$CG389&lt;&gt;"",'[1]Game Input'!$CG389,"")</f>
        <v>0</v>
      </c>
      <c r="AA389" s="9">
        <f>IF('[1]Game Input'!$CH389&lt;&gt;"",'[1]Game Input'!$CH389,"")</f>
        <v>0</v>
      </c>
      <c r="AB389" s="9">
        <f>IF('[1]Game Input'!$CI389&lt;&gt;"",'[1]Game Input'!$CI389,"")</f>
        <v>0</v>
      </c>
      <c r="AC389" s="9">
        <f>IF('[1]Game Input'!$CJ389&lt;&gt;"",'[1]Game Input'!$CJ389,"")</f>
        <v>0</v>
      </c>
      <c r="AD389" s="9">
        <f>IF('[1]Game Input'!$CK389&lt;&gt;"",'[1]Game Input'!$CK389,"")</f>
        <v>0</v>
      </c>
      <c r="AE389" s="8"/>
      <c r="AF389" s="8"/>
      <c r="AG389" s="8"/>
      <c r="AH389" s="8"/>
    </row>
    <row r="390" spans="1:34" x14ac:dyDescent="0.2">
      <c r="A390" s="6">
        <f>IF('[1]Game Input'!$A390&lt;&gt;"",'[1]Game Input'!$A390,"")</f>
        <v>43520</v>
      </c>
      <c r="B390" s="6" t="str">
        <f>IF(A390&gt;$B$1,VLOOKUP(MONTH($A390),DOTWMonth,2,FALSE),"")</f>
        <v>February</v>
      </c>
      <c r="C390" s="10" t="str">
        <f>IF(A390&gt;$B$1,VLOOKUP(WEEKDAY($A390),DOTWMonth,3,FALSE),"")</f>
        <v>Sunday</v>
      </c>
      <c r="D390" s="7">
        <f>IF('[1]Game Input'!$B390&lt;&gt;"",'[1]Game Input'!$B390,"")</f>
        <v>0.71180555555555547</v>
      </c>
      <c r="E390" s="7">
        <f>IF('[1]Game Input'!$C390&lt;&gt;"",'[1]Game Input'!$C390,"")</f>
        <v>0.67013888888888884</v>
      </c>
      <c r="F390" s="8" t="str">
        <f>IF('[1]Game Input'!$D390&lt;&gt;"",'[1]Game Input'!$D390,"")</f>
        <v>Standard</v>
      </c>
      <c r="G390" s="8" t="str">
        <f>IF('[1]Game Input'!$G390&lt;&gt;"",'[1]Game Input'!$G390,"")</f>
        <v>CHI @ OMA</v>
      </c>
      <c r="H390" s="8" t="str">
        <f>IF('[1]Game Input'!$H390&lt;&gt;"",'[1]Game Input'!$H390,"")</f>
        <v>Vs. Non-Conference</v>
      </c>
      <c r="I390" s="8" t="str">
        <f>IF('[1]Game Input'!$I390&lt;&gt;"",'[1]Game Input'!$I390,"")</f>
        <v>CHICAGO</v>
      </c>
      <c r="J390" s="9">
        <f>IF('[1]Game Input'!$AC390&lt;&gt;"",'[1]Game Input'!$AC390,"")</f>
        <v>4</v>
      </c>
      <c r="K390" s="9">
        <f>IF('[1]Game Input'!$AD390&lt;&gt;"",'[1]Game Input'!$AD390,"")</f>
        <v>2</v>
      </c>
      <c r="L390" s="9">
        <f>IF('[1]Game Input'!$AJ390&lt;&gt;"",'[1]Game Input'!$AJ390,"")</f>
        <v>0</v>
      </c>
      <c r="M390" s="9">
        <f>IF('[1]Game Input'!$AK390&lt;&gt;"",'[1]Game Input'!$AK390,"")</f>
        <v>0</v>
      </c>
      <c r="N390" s="9">
        <f>IF('[1]Game Input'!$AN390&lt;&gt;"",'[1]Game Input'!$AN390,"")</f>
        <v>2</v>
      </c>
      <c r="O390" s="9">
        <f>IF('[1]Game Input'!$AO390&lt;&gt;"",'[1]Game Input'!$AO390,"")</f>
        <v>0</v>
      </c>
      <c r="P390" s="9">
        <f>IF('[1]Game Input'!$AP390&lt;&gt;"",'[1]Game Input'!$AP390,"")</f>
        <v>0</v>
      </c>
      <c r="Q390" s="9">
        <f>IF('[1]Game Input'!$AQ390&lt;&gt;"",'[1]Game Input'!$AQ390,"")</f>
        <v>0</v>
      </c>
      <c r="R390" s="9">
        <f>IF('[1]Game Input'!$AR390&lt;&gt;"",'[1]Game Input'!$AR390,"")</f>
        <v>0</v>
      </c>
      <c r="S390" s="9">
        <f>IF('[1]Game Input'!$AS390&lt;&gt;"",'[1]Game Input'!$AS390,"")</f>
        <v>0</v>
      </c>
      <c r="T390" s="10" t="str">
        <f>IF('[1]Game Input'!$BA390&lt;&gt;"",'[1]Game Input'!$BA390,"")</f>
        <v>OMAHA</v>
      </c>
      <c r="U390" s="9">
        <f>IF('[1]Game Input'!$BU390&lt;&gt;"",'[1]Game Input'!$BU390,"")</f>
        <v>2</v>
      </c>
      <c r="V390" s="9">
        <f>IF('[1]Game Input'!$BV390&lt;&gt;"",'[1]Game Input'!$BV390,"")</f>
        <v>1</v>
      </c>
      <c r="W390" s="9">
        <f>IF('[1]Game Input'!$CB390&lt;&gt;"",'[1]Game Input'!$CB390,"")</f>
        <v>0</v>
      </c>
      <c r="X390" s="9">
        <f>IF('[1]Game Input'!$CC390&lt;&gt;"",'[1]Game Input'!$CC390,"")</f>
        <v>0</v>
      </c>
      <c r="Y390" s="9">
        <f>IF('[1]Game Input'!$CF390&lt;&gt;"",'[1]Game Input'!$CF390,"")</f>
        <v>1</v>
      </c>
      <c r="Z390" s="9">
        <f>IF('[1]Game Input'!$CG390&lt;&gt;"",'[1]Game Input'!$CG390,"")</f>
        <v>0</v>
      </c>
      <c r="AA390" s="9">
        <f>IF('[1]Game Input'!$CH390&lt;&gt;"",'[1]Game Input'!$CH390,"")</f>
        <v>0</v>
      </c>
      <c r="AB390" s="9">
        <f>IF('[1]Game Input'!$CI390&lt;&gt;"",'[1]Game Input'!$CI390,"")</f>
        <v>0</v>
      </c>
      <c r="AC390" s="9">
        <f>IF('[1]Game Input'!$CJ390&lt;&gt;"",'[1]Game Input'!$CJ390,"")</f>
        <v>0</v>
      </c>
      <c r="AD390" s="9">
        <f>IF('[1]Game Input'!$CK390&lt;&gt;"",'[1]Game Input'!$CK390,"")</f>
        <v>0</v>
      </c>
      <c r="AE390" s="8"/>
      <c r="AF390" s="8"/>
      <c r="AG390" s="8"/>
      <c r="AH390" s="8"/>
    </row>
    <row r="391" spans="1:34" x14ac:dyDescent="0.2">
      <c r="A391" s="6">
        <f>IF('[1]Game Input'!$A391&lt;&gt;"",'[1]Game Input'!$A391,"")</f>
        <v>43520</v>
      </c>
      <c r="B391" s="6" t="str">
        <f>IF(A391&gt;$B$1,VLOOKUP(MONTH($A391),DOTWMonth,2,FALSE),"")</f>
        <v>February</v>
      </c>
      <c r="C391" s="10" t="str">
        <f>IF(A391&gt;$B$1,VLOOKUP(WEEKDAY($A391),DOTWMonth,3,FALSE),"")</f>
        <v>Sunday</v>
      </c>
      <c r="D391" s="7">
        <f>IF('[1]Game Input'!$B391&lt;&gt;"",'[1]Game Input'!$B391,"")</f>
        <v>0.71319444444444446</v>
      </c>
      <c r="E391" s="7">
        <f>IF('[1]Game Input'!$C391&lt;&gt;"",'[1]Game Input'!$C391,"")</f>
        <v>0.67152777777777783</v>
      </c>
      <c r="F391" s="8" t="str">
        <f>IF('[1]Game Input'!$D391&lt;&gt;"",'[1]Game Input'!$D391,"")</f>
        <v>Standard</v>
      </c>
      <c r="G391" s="8" t="str">
        <f>IF('[1]Game Input'!$G391&lt;&gt;"",'[1]Game Input'!$G391,"")</f>
        <v>YNG @ CIL</v>
      </c>
      <c r="H391" s="8" t="str">
        <f>IF('[1]Game Input'!$H391&lt;&gt;"",'[1]Game Input'!$H391,"")</f>
        <v>Vs. Conference</v>
      </c>
      <c r="I391" s="8" t="str">
        <f>IF('[1]Game Input'!$I391&lt;&gt;"",'[1]Game Input'!$I391,"")</f>
        <v>YOUNGSTOWN</v>
      </c>
      <c r="J391" s="9">
        <f>IF('[1]Game Input'!$AC391&lt;&gt;"",'[1]Game Input'!$AC391,"")</f>
        <v>4</v>
      </c>
      <c r="K391" s="9">
        <f>IF('[1]Game Input'!$AD391&lt;&gt;"",'[1]Game Input'!$AD391,"")</f>
        <v>2</v>
      </c>
      <c r="L391" s="9">
        <f>IF('[1]Game Input'!$AJ391&lt;&gt;"",'[1]Game Input'!$AJ391,"")</f>
        <v>0</v>
      </c>
      <c r="M391" s="9">
        <f>IF('[1]Game Input'!$AK391&lt;&gt;"",'[1]Game Input'!$AK391,"")</f>
        <v>0</v>
      </c>
      <c r="N391" s="9">
        <f>IF('[1]Game Input'!$AN391&lt;&gt;"",'[1]Game Input'!$AN391,"")</f>
        <v>2</v>
      </c>
      <c r="O391" s="9">
        <f>IF('[1]Game Input'!$AO391&lt;&gt;"",'[1]Game Input'!$AO391,"")</f>
        <v>0</v>
      </c>
      <c r="P391" s="9">
        <f>IF('[1]Game Input'!$AP391&lt;&gt;"",'[1]Game Input'!$AP391,"")</f>
        <v>0</v>
      </c>
      <c r="Q391" s="9">
        <f>IF('[1]Game Input'!$AQ391&lt;&gt;"",'[1]Game Input'!$AQ391,"")</f>
        <v>0</v>
      </c>
      <c r="R391" s="9">
        <f>IF('[1]Game Input'!$AR391&lt;&gt;"",'[1]Game Input'!$AR391,"")</f>
        <v>0</v>
      </c>
      <c r="S391" s="9">
        <f>IF('[1]Game Input'!$AS391&lt;&gt;"",'[1]Game Input'!$AS391,"")</f>
        <v>0</v>
      </c>
      <c r="T391" s="10" t="str">
        <f>IF('[1]Game Input'!$BA391&lt;&gt;"",'[1]Game Input'!$BA391,"")</f>
        <v>CENTRAL ILLINOIS</v>
      </c>
      <c r="U391" s="9">
        <f>IF('[1]Game Input'!$BU391&lt;&gt;"",'[1]Game Input'!$BU391,"")</f>
        <v>4</v>
      </c>
      <c r="V391" s="9">
        <f>IF('[1]Game Input'!$BV391&lt;&gt;"",'[1]Game Input'!$BV391,"")</f>
        <v>2</v>
      </c>
      <c r="W391" s="9">
        <f>IF('[1]Game Input'!$CB391&lt;&gt;"",'[1]Game Input'!$CB391,"")</f>
        <v>0</v>
      </c>
      <c r="X391" s="9">
        <f>IF('[1]Game Input'!$CC391&lt;&gt;"",'[1]Game Input'!$CC391,"")</f>
        <v>0</v>
      </c>
      <c r="Y391" s="9">
        <f>IF('[1]Game Input'!$CF391&lt;&gt;"",'[1]Game Input'!$CF391,"")</f>
        <v>2</v>
      </c>
      <c r="Z391" s="9">
        <f>IF('[1]Game Input'!$CG391&lt;&gt;"",'[1]Game Input'!$CG391,"")</f>
        <v>0</v>
      </c>
      <c r="AA391" s="9">
        <f>IF('[1]Game Input'!$CH391&lt;&gt;"",'[1]Game Input'!$CH391,"")</f>
        <v>0</v>
      </c>
      <c r="AB391" s="9">
        <f>IF('[1]Game Input'!$CI391&lt;&gt;"",'[1]Game Input'!$CI391,"")</f>
        <v>0</v>
      </c>
      <c r="AC391" s="9">
        <f>IF('[1]Game Input'!$CJ391&lt;&gt;"",'[1]Game Input'!$CJ391,"")</f>
        <v>0</v>
      </c>
      <c r="AD391" s="9">
        <f>IF('[1]Game Input'!$CK391&lt;&gt;"",'[1]Game Input'!$CK391,"")</f>
        <v>0</v>
      </c>
      <c r="AE391" s="8" t="s">
        <v>132</v>
      </c>
      <c r="AF391" s="8"/>
      <c r="AG391" s="8" t="s">
        <v>135</v>
      </c>
      <c r="AH391" s="8" t="s">
        <v>163</v>
      </c>
    </row>
    <row r="392" spans="1:34" x14ac:dyDescent="0.2">
      <c r="A392" s="6">
        <f>IF('[1]Game Input'!$A392&lt;&gt;"",'[1]Game Input'!$A392,"")</f>
        <v>43523</v>
      </c>
      <c r="B392" s="6" t="str">
        <f>IF(A392&gt;$B$1,VLOOKUP(MONTH($A392),DOTWMonth,2,FALSE),"")</f>
        <v>February</v>
      </c>
      <c r="C392" s="10" t="str">
        <f>IF(A392&gt;$B$1,VLOOKUP(WEEKDAY($A392),DOTWMonth,3,FALSE),"")</f>
        <v>Wednesday</v>
      </c>
      <c r="D392" s="7">
        <f>IF('[1]Game Input'!$B392&lt;&gt;"",'[1]Game Input'!$B392,"")</f>
        <v>0.83680555555555547</v>
      </c>
      <c r="E392" s="7">
        <f>IF('[1]Game Input'!$C392&lt;&gt;"",'[1]Game Input'!$C392,"")</f>
        <v>0.79513888888888884</v>
      </c>
      <c r="F392" s="8" t="str">
        <f>IF('[1]Game Input'!$D392&lt;&gt;"",'[1]Game Input'!$D392,"")</f>
        <v>Standard</v>
      </c>
      <c r="G392" s="8" t="str">
        <f>IF('[1]Game Input'!$G392&lt;&gt;"",'[1]Game Input'!$G392,"")</f>
        <v>CR @ GB</v>
      </c>
      <c r="H392" s="8" t="str">
        <f>IF('[1]Game Input'!$H392&lt;&gt;"",'[1]Game Input'!$H392,"")</f>
        <v>Vs. Conference</v>
      </c>
      <c r="I392" s="8" t="str">
        <f>IF('[1]Game Input'!$I392&lt;&gt;"",'[1]Game Input'!$I392,"")</f>
        <v>CEDAR RAPIDS</v>
      </c>
      <c r="J392" s="9">
        <f>IF('[1]Game Input'!$AC392&lt;&gt;"",'[1]Game Input'!$AC392,"")</f>
        <v>19</v>
      </c>
      <c r="K392" s="9">
        <f>IF('[1]Game Input'!$AD392&lt;&gt;"",'[1]Game Input'!$AD392,"")</f>
        <v>4</v>
      </c>
      <c r="L392" s="9">
        <f>IF('[1]Game Input'!$AJ392&lt;&gt;"",'[1]Game Input'!$AJ392,"")</f>
        <v>0</v>
      </c>
      <c r="M392" s="9">
        <f>IF('[1]Game Input'!$AK392&lt;&gt;"",'[1]Game Input'!$AK392,"")</f>
        <v>0</v>
      </c>
      <c r="N392" s="9">
        <f>IF('[1]Game Input'!$AN392&lt;&gt;"",'[1]Game Input'!$AN392,"")</f>
        <v>2</v>
      </c>
      <c r="O392" s="9">
        <f>IF('[1]Game Input'!$AO392&lt;&gt;"",'[1]Game Input'!$AO392,"")</f>
        <v>1</v>
      </c>
      <c r="P392" s="9">
        <f>IF('[1]Game Input'!$AP392&lt;&gt;"",'[1]Game Input'!$AP392,"")</f>
        <v>0</v>
      </c>
      <c r="Q392" s="9">
        <f>IF('[1]Game Input'!$AQ392&lt;&gt;"",'[1]Game Input'!$AQ392,"")</f>
        <v>1</v>
      </c>
      <c r="R392" s="9">
        <f>IF('[1]Game Input'!$AR392&lt;&gt;"",'[1]Game Input'!$AR392,"")</f>
        <v>0</v>
      </c>
      <c r="S392" s="9">
        <f>IF('[1]Game Input'!$AS392&lt;&gt;"",'[1]Game Input'!$AS392,"")</f>
        <v>0</v>
      </c>
      <c r="T392" s="10" t="str">
        <f>IF('[1]Game Input'!$BA392&lt;&gt;"",'[1]Game Input'!$BA392,"")</f>
        <v>GREEN BAY</v>
      </c>
      <c r="U392" s="9">
        <f>IF('[1]Game Input'!$BU392&lt;&gt;"",'[1]Game Input'!$BU392,"")</f>
        <v>21</v>
      </c>
      <c r="V392" s="9">
        <f>IF('[1]Game Input'!$BV392&lt;&gt;"",'[1]Game Input'!$BV392,"")</f>
        <v>5</v>
      </c>
      <c r="W392" s="9">
        <f>IF('[1]Game Input'!$CB392&lt;&gt;"",'[1]Game Input'!$CB392,"")</f>
        <v>0</v>
      </c>
      <c r="X392" s="9">
        <f>IF('[1]Game Input'!$CC392&lt;&gt;"",'[1]Game Input'!$CC392,"")</f>
        <v>0</v>
      </c>
      <c r="Y392" s="9">
        <f>IF('[1]Game Input'!$CF392&lt;&gt;"",'[1]Game Input'!$CF392,"")</f>
        <v>3</v>
      </c>
      <c r="Z392" s="9">
        <f>IF('[1]Game Input'!$CG392&lt;&gt;"",'[1]Game Input'!$CG392,"")</f>
        <v>1</v>
      </c>
      <c r="AA392" s="9">
        <f>IF('[1]Game Input'!$CH392&lt;&gt;"",'[1]Game Input'!$CH392,"")</f>
        <v>0</v>
      </c>
      <c r="AB392" s="9">
        <f>IF('[1]Game Input'!$CI392&lt;&gt;"",'[1]Game Input'!$CI392,"")</f>
        <v>1</v>
      </c>
      <c r="AC392" s="9">
        <f>IF('[1]Game Input'!$CJ392&lt;&gt;"",'[1]Game Input'!$CJ392,"")</f>
        <v>0</v>
      </c>
      <c r="AD392" s="9">
        <f>IF('[1]Game Input'!$CK392&lt;&gt;"",'[1]Game Input'!$CK392,"")</f>
        <v>0</v>
      </c>
      <c r="AE392" s="8" t="s">
        <v>97</v>
      </c>
      <c r="AF392" s="8" t="s">
        <v>101</v>
      </c>
      <c r="AG392" s="8" t="s">
        <v>113</v>
      </c>
      <c r="AH392" s="8" t="s">
        <v>121</v>
      </c>
    </row>
    <row r="393" spans="1:34" x14ac:dyDescent="0.2">
      <c r="A393" s="6">
        <f>IF('[1]Game Input'!$A393&lt;&gt;"",'[1]Game Input'!$A393,"")</f>
        <v>43523</v>
      </c>
      <c r="B393" s="6" t="str">
        <f>IF(A393&gt;$B$1,VLOOKUP(MONTH($A393),DOTWMonth,2,FALSE),"")</f>
        <v>February</v>
      </c>
      <c r="C393" s="10" t="str">
        <f>IF(A393&gt;$B$1,VLOOKUP(WEEKDAY($A393),DOTWMonth,3,FALSE),"")</f>
        <v>Wednesday</v>
      </c>
      <c r="D393" s="7">
        <f>IF('[1]Game Input'!$B393&lt;&gt;"",'[1]Game Input'!$B393,"")</f>
        <v>0.83819444444444446</v>
      </c>
      <c r="E393" s="7">
        <f>IF('[1]Game Input'!$C393&lt;&gt;"",'[1]Game Input'!$C393,"")</f>
        <v>0.79652777777777783</v>
      </c>
      <c r="F393" s="8" t="str">
        <f>IF('[1]Game Input'!$D393&lt;&gt;"",'[1]Game Input'!$D393,"")</f>
        <v>Standard</v>
      </c>
      <c r="G393" s="8" t="str">
        <f>IF('[1]Game Input'!$G393&lt;&gt;"",'[1]Game Input'!$G393,"")</f>
        <v>USA @ CIL</v>
      </c>
      <c r="H393" s="8" t="str">
        <f>IF('[1]Game Input'!$H393&lt;&gt;"",'[1]Game Input'!$H393,"")</f>
        <v>Vs. Conference</v>
      </c>
      <c r="I393" s="8" t="str">
        <f>IF('[1]Game Input'!$I393&lt;&gt;"",'[1]Game Input'!$I393,"")</f>
        <v>TEAM USA</v>
      </c>
      <c r="J393" s="9">
        <f>IF('[1]Game Input'!$AC393&lt;&gt;"",'[1]Game Input'!$AC393,"")</f>
        <v>12</v>
      </c>
      <c r="K393" s="9">
        <f>IF('[1]Game Input'!$AD393&lt;&gt;"",'[1]Game Input'!$AD393,"")</f>
        <v>6</v>
      </c>
      <c r="L393" s="9">
        <f>IF('[1]Game Input'!$AJ393&lt;&gt;"",'[1]Game Input'!$AJ393,"")</f>
        <v>0</v>
      </c>
      <c r="M393" s="9">
        <f>IF('[1]Game Input'!$AK393&lt;&gt;"",'[1]Game Input'!$AK393,"")</f>
        <v>0</v>
      </c>
      <c r="N393" s="9">
        <f>IF('[1]Game Input'!$AN393&lt;&gt;"",'[1]Game Input'!$AN393,"")</f>
        <v>6</v>
      </c>
      <c r="O393" s="9">
        <f>IF('[1]Game Input'!$AO393&lt;&gt;"",'[1]Game Input'!$AO393,"")</f>
        <v>0</v>
      </c>
      <c r="P393" s="9">
        <f>IF('[1]Game Input'!$AP393&lt;&gt;"",'[1]Game Input'!$AP393,"")</f>
        <v>0</v>
      </c>
      <c r="Q393" s="9">
        <f>IF('[1]Game Input'!$AQ393&lt;&gt;"",'[1]Game Input'!$AQ393,"")</f>
        <v>0</v>
      </c>
      <c r="R393" s="9">
        <f>IF('[1]Game Input'!$AR393&lt;&gt;"",'[1]Game Input'!$AR393,"")</f>
        <v>0</v>
      </c>
      <c r="S393" s="9">
        <f>IF('[1]Game Input'!$AS393&lt;&gt;"",'[1]Game Input'!$AS393,"")</f>
        <v>0</v>
      </c>
      <c r="T393" s="10" t="str">
        <f>IF('[1]Game Input'!$BA393&lt;&gt;"",'[1]Game Input'!$BA393,"")</f>
        <v>CENTRAL ILLINOIS</v>
      </c>
      <c r="U393" s="9">
        <f>IF('[1]Game Input'!$BU393&lt;&gt;"",'[1]Game Input'!$BU393,"")</f>
        <v>12</v>
      </c>
      <c r="V393" s="9">
        <f>IF('[1]Game Input'!$BV393&lt;&gt;"",'[1]Game Input'!$BV393,"")</f>
        <v>6</v>
      </c>
      <c r="W393" s="9">
        <f>IF('[1]Game Input'!$CB393&lt;&gt;"",'[1]Game Input'!$CB393,"")</f>
        <v>0</v>
      </c>
      <c r="X393" s="9">
        <f>IF('[1]Game Input'!$CC393&lt;&gt;"",'[1]Game Input'!$CC393,"")</f>
        <v>0</v>
      </c>
      <c r="Y393" s="9">
        <f>IF('[1]Game Input'!$CF393&lt;&gt;"",'[1]Game Input'!$CF393,"")</f>
        <v>6</v>
      </c>
      <c r="Z393" s="9">
        <f>IF('[1]Game Input'!$CG393&lt;&gt;"",'[1]Game Input'!$CG393,"")</f>
        <v>0</v>
      </c>
      <c r="AA393" s="9">
        <f>IF('[1]Game Input'!$CH393&lt;&gt;"",'[1]Game Input'!$CH393,"")</f>
        <v>0</v>
      </c>
      <c r="AB393" s="9">
        <f>IF('[1]Game Input'!$CI393&lt;&gt;"",'[1]Game Input'!$CI393,"")</f>
        <v>0</v>
      </c>
      <c r="AC393" s="9">
        <f>IF('[1]Game Input'!$CJ393&lt;&gt;"",'[1]Game Input'!$CJ393,"")</f>
        <v>0</v>
      </c>
      <c r="AD393" s="9">
        <f>IF('[1]Game Input'!$CK393&lt;&gt;"",'[1]Game Input'!$CK393,"")</f>
        <v>0</v>
      </c>
      <c r="AE393" s="8" t="s">
        <v>91</v>
      </c>
      <c r="AF393" s="8" t="s">
        <v>133</v>
      </c>
      <c r="AG393" s="8" t="s">
        <v>123</v>
      </c>
      <c r="AH393" s="8" t="s">
        <v>109</v>
      </c>
    </row>
    <row r="394" spans="1:34" x14ac:dyDescent="0.2">
      <c r="A394" s="6">
        <f>IF('[1]Game Input'!$A394&lt;&gt;"",'[1]Game Input'!$A394,"")</f>
        <v>43524</v>
      </c>
      <c r="B394" s="6" t="str">
        <f>IF(A394&gt;$B$1,VLOOKUP(MONTH($A394),DOTWMonth,2,FALSE),"")</f>
        <v>February</v>
      </c>
      <c r="C394" s="10" t="str">
        <f>IF(A394&gt;$B$1,VLOOKUP(WEEKDAY($A394),DOTWMonth,3,FALSE),"")</f>
        <v>Thursday</v>
      </c>
      <c r="D394" s="7">
        <f>IF('[1]Game Input'!$B394&lt;&gt;"",'[1]Game Input'!$B394,"")</f>
        <v>0.81597222222222221</v>
      </c>
      <c r="E394" s="7">
        <f>IF('[1]Game Input'!$C394&lt;&gt;"",'[1]Game Input'!$C394,"")</f>
        <v>0.77430555555555547</v>
      </c>
      <c r="F394" s="8" t="str">
        <f>IF('[1]Game Input'!$D394&lt;&gt;"",'[1]Game Input'!$D394,"")</f>
        <v>Standard</v>
      </c>
      <c r="G394" s="8" t="str">
        <f>IF('[1]Game Input'!$G394&lt;&gt;"",'[1]Game Input'!$G394,"")</f>
        <v>OMA @ DM</v>
      </c>
      <c r="H394" s="8" t="str">
        <f>IF('[1]Game Input'!$H394&lt;&gt;"",'[1]Game Input'!$H394,"")</f>
        <v>Vs. Conference</v>
      </c>
      <c r="I394" s="8" t="str">
        <f>IF('[1]Game Input'!$I394&lt;&gt;"",'[1]Game Input'!$I394,"")</f>
        <v>OMAHA</v>
      </c>
      <c r="J394" s="9">
        <f>IF('[1]Game Input'!$AC394&lt;&gt;"",'[1]Game Input'!$AC394,"")</f>
        <v>8</v>
      </c>
      <c r="K394" s="9">
        <f>IF('[1]Game Input'!$AD394&lt;&gt;"",'[1]Game Input'!$AD394,"")</f>
        <v>4</v>
      </c>
      <c r="L394" s="9">
        <f>IF('[1]Game Input'!$AJ394&lt;&gt;"",'[1]Game Input'!$AJ394,"")</f>
        <v>0</v>
      </c>
      <c r="M394" s="9">
        <f>IF('[1]Game Input'!$AK394&lt;&gt;"",'[1]Game Input'!$AK394,"")</f>
        <v>0</v>
      </c>
      <c r="N394" s="9">
        <f>IF('[1]Game Input'!$AN394&lt;&gt;"",'[1]Game Input'!$AN394,"")</f>
        <v>4</v>
      </c>
      <c r="O394" s="9">
        <f>IF('[1]Game Input'!$AO394&lt;&gt;"",'[1]Game Input'!$AO394,"")</f>
        <v>0</v>
      </c>
      <c r="P394" s="9">
        <f>IF('[1]Game Input'!$AP394&lt;&gt;"",'[1]Game Input'!$AP394,"")</f>
        <v>0</v>
      </c>
      <c r="Q394" s="9">
        <f>IF('[1]Game Input'!$AQ394&lt;&gt;"",'[1]Game Input'!$AQ394,"")</f>
        <v>0</v>
      </c>
      <c r="R394" s="9">
        <f>IF('[1]Game Input'!$AR394&lt;&gt;"",'[1]Game Input'!$AR394,"")</f>
        <v>0</v>
      </c>
      <c r="S394" s="9">
        <f>IF('[1]Game Input'!$AS394&lt;&gt;"",'[1]Game Input'!$AS394,"")</f>
        <v>0</v>
      </c>
      <c r="T394" s="10" t="str">
        <f>IF('[1]Game Input'!$BA394&lt;&gt;"",'[1]Game Input'!$BA394,"")</f>
        <v>DES MOINES</v>
      </c>
      <c r="U394" s="9">
        <f>IF('[1]Game Input'!$BU394&lt;&gt;"",'[1]Game Input'!$BU394,"")</f>
        <v>6</v>
      </c>
      <c r="V394" s="9">
        <f>IF('[1]Game Input'!$BV394&lt;&gt;"",'[1]Game Input'!$BV394,"")</f>
        <v>3</v>
      </c>
      <c r="W394" s="9">
        <f>IF('[1]Game Input'!$CB394&lt;&gt;"",'[1]Game Input'!$CB394,"")</f>
        <v>0</v>
      </c>
      <c r="X394" s="9">
        <f>IF('[1]Game Input'!$CC394&lt;&gt;"",'[1]Game Input'!$CC394,"")</f>
        <v>0</v>
      </c>
      <c r="Y394" s="9">
        <f>IF('[1]Game Input'!$CF394&lt;&gt;"",'[1]Game Input'!$CF394,"")</f>
        <v>3</v>
      </c>
      <c r="Z394" s="9">
        <f>IF('[1]Game Input'!$CG394&lt;&gt;"",'[1]Game Input'!$CG394,"")</f>
        <v>0</v>
      </c>
      <c r="AA394" s="9">
        <f>IF('[1]Game Input'!$CH394&lt;&gt;"",'[1]Game Input'!$CH394,"")</f>
        <v>0</v>
      </c>
      <c r="AB394" s="9">
        <f>IF('[1]Game Input'!$CI394&lt;&gt;"",'[1]Game Input'!$CI394,"")</f>
        <v>0</v>
      </c>
      <c r="AC394" s="9">
        <f>IF('[1]Game Input'!$CJ394&lt;&gt;"",'[1]Game Input'!$CJ394,"")</f>
        <v>0</v>
      </c>
      <c r="AD394" s="9">
        <f>IF('[1]Game Input'!$CK394&lt;&gt;"",'[1]Game Input'!$CK394,"")</f>
        <v>0</v>
      </c>
      <c r="AE394" s="8" t="s">
        <v>101</v>
      </c>
      <c r="AF394" s="8" t="s">
        <v>95</v>
      </c>
      <c r="AG394" s="8" t="s">
        <v>121</v>
      </c>
      <c r="AH394" s="8" t="s">
        <v>112</v>
      </c>
    </row>
    <row r="395" spans="1:34" x14ac:dyDescent="0.2">
      <c r="A395" s="6">
        <f>IF('[1]Game Input'!$A395&lt;&gt;"",'[1]Game Input'!$A395,"")</f>
        <v>43525</v>
      </c>
      <c r="B395" s="6" t="str">
        <f>IF(A395&gt;$B$1,VLOOKUP(MONTH($A395),DOTWMonth,2,FALSE),"")</f>
        <v>March</v>
      </c>
      <c r="C395" s="10" t="str">
        <f>IF(A395&gt;$B$1,VLOOKUP(WEEKDAY($A395),DOTWMonth,3,FALSE),"")</f>
        <v>Friday</v>
      </c>
      <c r="D395" s="7">
        <f>IF('[1]Game Input'!$B395&lt;&gt;"",'[1]Game Input'!$B395,"")</f>
        <v>0.83680555555555547</v>
      </c>
      <c r="E395" s="7">
        <f>IF('[1]Game Input'!$C395&lt;&gt;"",'[1]Game Input'!$C395,"")</f>
        <v>0.79513888888888884</v>
      </c>
      <c r="F395" s="8" t="str">
        <f>IF('[1]Game Input'!$D395&lt;&gt;"",'[1]Game Input'!$D395,"")</f>
        <v>Standard</v>
      </c>
      <c r="G395" s="8" t="str">
        <f>IF('[1]Game Input'!$G395&lt;&gt;"",'[1]Game Input'!$G395,"")</f>
        <v>CHI @ DUB</v>
      </c>
      <c r="H395" s="8" t="str">
        <f>IF('[1]Game Input'!$H395&lt;&gt;"",'[1]Game Input'!$H395,"")</f>
        <v>Vs. Conference</v>
      </c>
      <c r="I395" s="8" t="str">
        <f>IF('[1]Game Input'!$I395&lt;&gt;"",'[1]Game Input'!$I395,"")</f>
        <v>CHICAGO</v>
      </c>
      <c r="J395" s="9">
        <f>IF('[1]Game Input'!$AC395&lt;&gt;"",'[1]Game Input'!$AC395,"")</f>
        <v>0</v>
      </c>
      <c r="K395" s="9">
        <f>IF('[1]Game Input'!$AD395&lt;&gt;"",'[1]Game Input'!$AD395,"")</f>
        <v>0</v>
      </c>
      <c r="L395" s="9">
        <f>IF('[1]Game Input'!$AJ395&lt;&gt;"",'[1]Game Input'!$AJ395,"")</f>
        <v>0</v>
      </c>
      <c r="M395" s="9">
        <f>IF('[1]Game Input'!$AK395&lt;&gt;"",'[1]Game Input'!$AK395,"")</f>
        <v>0</v>
      </c>
      <c r="N395" s="9">
        <f>IF('[1]Game Input'!$AN395&lt;&gt;"",'[1]Game Input'!$AN395,"")</f>
        <v>0</v>
      </c>
      <c r="O395" s="9">
        <f>IF('[1]Game Input'!$AO395&lt;&gt;"",'[1]Game Input'!$AO395,"")</f>
        <v>0</v>
      </c>
      <c r="P395" s="9">
        <f>IF('[1]Game Input'!$AP395&lt;&gt;"",'[1]Game Input'!$AP395,"")</f>
        <v>0</v>
      </c>
      <c r="Q395" s="9">
        <f>IF('[1]Game Input'!$AQ395&lt;&gt;"",'[1]Game Input'!$AQ395,"")</f>
        <v>0</v>
      </c>
      <c r="R395" s="9">
        <f>IF('[1]Game Input'!$AR395&lt;&gt;"",'[1]Game Input'!$AR395,"")</f>
        <v>0</v>
      </c>
      <c r="S395" s="9">
        <f>IF('[1]Game Input'!$AS395&lt;&gt;"",'[1]Game Input'!$AS395,"")</f>
        <v>0</v>
      </c>
      <c r="T395" s="10" t="str">
        <f>IF('[1]Game Input'!$BA395&lt;&gt;"",'[1]Game Input'!$BA395,"")</f>
        <v>DUBUQUE</v>
      </c>
      <c r="U395" s="9">
        <f>IF('[1]Game Input'!$BU395&lt;&gt;"",'[1]Game Input'!$BU395,"")</f>
        <v>4</v>
      </c>
      <c r="V395" s="9">
        <f>IF('[1]Game Input'!$BV395&lt;&gt;"",'[1]Game Input'!$BV395,"")</f>
        <v>2</v>
      </c>
      <c r="W395" s="9">
        <f>IF('[1]Game Input'!$CB395&lt;&gt;"",'[1]Game Input'!$CB395,"")</f>
        <v>0</v>
      </c>
      <c r="X395" s="9">
        <f>IF('[1]Game Input'!$CC395&lt;&gt;"",'[1]Game Input'!$CC395,"")</f>
        <v>0</v>
      </c>
      <c r="Y395" s="9">
        <f>IF('[1]Game Input'!$CF395&lt;&gt;"",'[1]Game Input'!$CF395,"")</f>
        <v>2</v>
      </c>
      <c r="Z395" s="9">
        <f>IF('[1]Game Input'!$CG395&lt;&gt;"",'[1]Game Input'!$CG395,"")</f>
        <v>0</v>
      </c>
      <c r="AA395" s="9">
        <f>IF('[1]Game Input'!$CH395&lt;&gt;"",'[1]Game Input'!$CH395,"")</f>
        <v>0</v>
      </c>
      <c r="AB395" s="9">
        <f>IF('[1]Game Input'!$CI395&lt;&gt;"",'[1]Game Input'!$CI395,"")</f>
        <v>0</v>
      </c>
      <c r="AC395" s="9">
        <f>IF('[1]Game Input'!$CJ395&lt;&gt;"",'[1]Game Input'!$CJ395,"")</f>
        <v>0</v>
      </c>
      <c r="AD395" s="9">
        <f>IF('[1]Game Input'!$CK395&lt;&gt;"",'[1]Game Input'!$CK395,"")</f>
        <v>0</v>
      </c>
      <c r="AE395" s="8"/>
      <c r="AF395" s="8"/>
      <c r="AG395" s="8"/>
      <c r="AH395" s="8"/>
    </row>
    <row r="396" spans="1:34" x14ac:dyDescent="0.2">
      <c r="A396" s="6">
        <f>IF('[1]Game Input'!$A396&lt;&gt;"",'[1]Game Input'!$A396,"")</f>
        <v>43525</v>
      </c>
      <c r="B396" s="6" t="str">
        <f>IF(A396&gt;$B$1,VLOOKUP(MONTH($A396),DOTWMonth,2,FALSE),"")</f>
        <v>March</v>
      </c>
      <c r="C396" s="10" t="str">
        <f>IF(A396&gt;$B$1,VLOOKUP(WEEKDAY($A396),DOTWMonth,3,FALSE),"")</f>
        <v>Friday</v>
      </c>
      <c r="D396" s="7">
        <f>IF('[1]Game Input'!$B396&lt;&gt;"",'[1]Game Input'!$B396,"")</f>
        <v>0.83680555555555547</v>
      </c>
      <c r="E396" s="7">
        <f>IF('[1]Game Input'!$C396&lt;&gt;"",'[1]Game Input'!$C396,"")</f>
        <v>0.79513888888888884</v>
      </c>
      <c r="F396" s="8" t="str">
        <f>IF('[1]Game Input'!$D396&lt;&gt;"",'[1]Game Input'!$D396,"")</f>
        <v>Standard</v>
      </c>
      <c r="G396" s="8" t="str">
        <f>IF('[1]Game Input'!$G396&lt;&gt;"",'[1]Game Input'!$G396,"")</f>
        <v>WAT @ FGO</v>
      </c>
      <c r="H396" s="8" t="str">
        <f>IF('[1]Game Input'!$H396&lt;&gt;"",'[1]Game Input'!$H396,"")</f>
        <v>Vs. Conference</v>
      </c>
      <c r="I396" s="8" t="str">
        <f>IF('[1]Game Input'!$I396&lt;&gt;"",'[1]Game Input'!$I396,"")</f>
        <v>WATERLOO</v>
      </c>
      <c r="J396" s="9">
        <f>IF('[1]Game Input'!$AC396&lt;&gt;"",'[1]Game Input'!$AC396,"")</f>
        <v>12</v>
      </c>
      <c r="K396" s="9">
        <f>IF('[1]Game Input'!$AD396&lt;&gt;"",'[1]Game Input'!$AD396,"")</f>
        <v>6</v>
      </c>
      <c r="L396" s="9">
        <f>IF('[1]Game Input'!$AJ396&lt;&gt;"",'[1]Game Input'!$AJ396,"")</f>
        <v>0</v>
      </c>
      <c r="M396" s="9">
        <f>IF('[1]Game Input'!$AK396&lt;&gt;"",'[1]Game Input'!$AK396,"")</f>
        <v>0</v>
      </c>
      <c r="N396" s="9">
        <f>IF('[1]Game Input'!$AN396&lt;&gt;"",'[1]Game Input'!$AN396,"")</f>
        <v>6</v>
      </c>
      <c r="O396" s="9">
        <f>IF('[1]Game Input'!$AO396&lt;&gt;"",'[1]Game Input'!$AO396,"")</f>
        <v>0</v>
      </c>
      <c r="P396" s="9">
        <f>IF('[1]Game Input'!$AP396&lt;&gt;"",'[1]Game Input'!$AP396,"")</f>
        <v>0</v>
      </c>
      <c r="Q396" s="9">
        <f>IF('[1]Game Input'!$AQ396&lt;&gt;"",'[1]Game Input'!$AQ396,"")</f>
        <v>0</v>
      </c>
      <c r="R396" s="9">
        <f>IF('[1]Game Input'!$AR396&lt;&gt;"",'[1]Game Input'!$AR396,"")</f>
        <v>0</v>
      </c>
      <c r="S396" s="9">
        <f>IF('[1]Game Input'!$AS396&lt;&gt;"",'[1]Game Input'!$AS396,"")</f>
        <v>0</v>
      </c>
      <c r="T396" s="10" t="str">
        <f>IF('[1]Game Input'!$BA396&lt;&gt;"",'[1]Game Input'!$BA396,"")</f>
        <v>FARGO</v>
      </c>
      <c r="U396" s="9">
        <f>IF('[1]Game Input'!$BU396&lt;&gt;"",'[1]Game Input'!$BU396,"")</f>
        <v>10</v>
      </c>
      <c r="V396" s="9">
        <f>IF('[1]Game Input'!$BV396&lt;&gt;"",'[1]Game Input'!$BV396,"")</f>
        <v>5</v>
      </c>
      <c r="W396" s="9">
        <f>IF('[1]Game Input'!$CB396&lt;&gt;"",'[1]Game Input'!$CB396,"")</f>
        <v>0</v>
      </c>
      <c r="X396" s="9">
        <f>IF('[1]Game Input'!$CC396&lt;&gt;"",'[1]Game Input'!$CC396,"")</f>
        <v>0</v>
      </c>
      <c r="Y396" s="9">
        <f>IF('[1]Game Input'!$CF396&lt;&gt;"",'[1]Game Input'!$CF396,"")</f>
        <v>5</v>
      </c>
      <c r="Z396" s="9">
        <f>IF('[1]Game Input'!$CG396&lt;&gt;"",'[1]Game Input'!$CG396,"")</f>
        <v>0</v>
      </c>
      <c r="AA396" s="9">
        <f>IF('[1]Game Input'!$CH396&lt;&gt;"",'[1]Game Input'!$CH396,"")</f>
        <v>0</v>
      </c>
      <c r="AB396" s="9">
        <f>IF('[1]Game Input'!$CI396&lt;&gt;"",'[1]Game Input'!$CI396,"")</f>
        <v>0</v>
      </c>
      <c r="AC396" s="9">
        <f>IF('[1]Game Input'!$CJ396&lt;&gt;"",'[1]Game Input'!$CJ396,"")</f>
        <v>0</v>
      </c>
      <c r="AD396" s="9">
        <f>IF('[1]Game Input'!$CK396&lt;&gt;"",'[1]Game Input'!$CK396,"")</f>
        <v>0</v>
      </c>
      <c r="AE396" s="8"/>
      <c r="AF396" s="8"/>
      <c r="AG396" s="8"/>
      <c r="AH396" s="8"/>
    </row>
    <row r="397" spans="1:34" x14ac:dyDescent="0.2">
      <c r="A397" s="6">
        <f>IF('[1]Game Input'!$A397&lt;&gt;"",'[1]Game Input'!$A397,"")</f>
        <v>43525</v>
      </c>
      <c r="B397" s="6" t="str">
        <f>IF(A397&gt;$B$1,VLOOKUP(MONTH($A397),DOTWMonth,2,FALSE),"")</f>
        <v>March</v>
      </c>
      <c r="C397" s="10" t="str">
        <f>IF(A397&gt;$B$1,VLOOKUP(WEEKDAY($A397),DOTWMonth,3,FALSE),"")</f>
        <v>Friday</v>
      </c>
      <c r="D397" s="7">
        <f>IF('[1]Game Input'!$B397&lt;&gt;"",'[1]Game Input'!$B397,"")</f>
        <v>0.83680555555555547</v>
      </c>
      <c r="E397" s="7">
        <f>IF('[1]Game Input'!$C397&lt;&gt;"",'[1]Game Input'!$C397,"")</f>
        <v>0.79513888888888884</v>
      </c>
      <c r="F397" s="8" t="str">
        <f>IF('[1]Game Input'!$D397&lt;&gt;"",'[1]Game Input'!$D397,"")</f>
        <v>Standard</v>
      </c>
      <c r="G397" s="8" t="str">
        <f>IF('[1]Game Input'!$G397&lt;&gt;"",'[1]Game Input'!$G397,"")</f>
        <v>USA @ MAD</v>
      </c>
      <c r="H397" s="8" t="str">
        <f>IF('[1]Game Input'!$H397&lt;&gt;"",'[1]Game Input'!$H397,"")</f>
        <v>Vs. Conference</v>
      </c>
      <c r="I397" s="8" t="str">
        <f>IF('[1]Game Input'!$I397&lt;&gt;"",'[1]Game Input'!$I397,"")</f>
        <v>TEAM USA</v>
      </c>
      <c r="J397" s="9">
        <f>IF('[1]Game Input'!$AC397&lt;&gt;"",'[1]Game Input'!$AC397,"")</f>
        <v>18</v>
      </c>
      <c r="K397" s="9">
        <f>IF('[1]Game Input'!$AD397&lt;&gt;"",'[1]Game Input'!$AD397,"")</f>
        <v>5</v>
      </c>
      <c r="L397" s="9">
        <f>IF('[1]Game Input'!$AJ397&lt;&gt;"",'[1]Game Input'!$AJ397,"")</f>
        <v>0</v>
      </c>
      <c r="M397" s="9">
        <f>IF('[1]Game Input'!$AK397&lt;&gt;"",'[1]Game Input'!$AK397,"")</f>
        <v>0</v>
      </c>
      <c r="N397" s="9">
        <f>IF('[1]Game Input'!$AN397&lt;&gt;"",'[1]Game Input'!$AN397,"")</f>
        <v>4</v>
      </c>
      <c r="O397" s="9">
        <f>IF('[1]Game Input'!$AO397&lt;&gt;"",'[1]Game Input'!$AO397,"")</f>
        <v>0</v>
      </c>
      <c r="P397" s="9">
        <f>IF('[1]Game Input'!$AP397&lt;&gt;"",'[1]Game Input'!$AP397,"")</f>
        <v>1</v>
      </c>
      <c r="Q397" s="9">
        <f>IF('[1]Game Input'!$AQ397&lt;&gt;"",'[1]Game Input'!$AQ397,"")</f>
        <v>0</v>
      </c>
      <c r="R397" s="9">
        <f>IF('[1]Game Input'!$AR397&lt;&gt;"",'[1]Game Input'!$AR397,"")</f>
        <v>0</v>
      </c>
      <c r="S397" s="9">
        <f>IF('[1]Game Input'!$AS397&lt;&gt;"",'[1]Game Input'!$AS397,"")</f>
        <v>0</v>
      </c>
      <c r="T397" s="10" t="str">
        <f>IF('[1]Game Input'!$BA397&lt;&gt;"",'[1]Game Input'!$BA397,"")</f>
        <v>MADISON</v>
      </c>
      <c r="U397" s="9">
        <f>IF('[1]Game Input'!$BU397&lt;&gt;"",'[1]Game Input'!$BU397,"")</f>
        <v>20</v>
      </c>
      <c r="V397" s="9">
        <f>IF('[1]Game Input'!$BV397&lt;&gt;"",'[1]Game Input'!$BV397,"")</f>
        <v>6</v>
      </c>
      <c r="W397" s="9">
        <f>IF('[1]Game Input'!$CB397&lt;&gt;"",'[1]Game Input'!$CB397,"")</f>
        <v>0</v>
      </c>
      <c r="X397" s="9">
        <f>IF('[1]Game Input'!$CC397&lt;&gt;"",'[1]Game Input'!$CC397,"")</f>
        <v>0</v>
      </c>
      <c r="Y397" s="9">
        <f>IF('[1]Game Input'!$CF397&lt;&gt;"",'[1]Game Input'!$CF397,"")</f>
        <v>5</v>
      </c>
      <c r="Z397" s="9">
        <f>IF('[1]Game Input'!$CG397&lt;&gt;"",'[1]Game Input'!$CG397,"")</f>
        <v>0</v>
      </c>
      <c r="AA397" s="9">
        <f>IF('[1]Game Input'!$CH397&lt;&gt;"",'[1]Game Input'!$CH397,"")</f>
        <v>1</v>
      </c>
      <c r="AB397" s="9">
        <f>IF('[1]Game Input'!$CI397&lt;&gt;"",'[1]Game Input'!$CI397,"")</f>
        <v>0</v>
      </c>
      <c r="AC397" s="9">
        <f>IF('[1]Game Input'!$CJ397&lt;&gt;"",'[1]Game Input'!$CJ397,"")</f>
        <v>0</v>
      </c>
      <c r="AD397" s="9">
        <f>IF('[1]Game Input'!$CK397&lt;&gt;"",'[1]Game Input'!$CK397,"")</f>
        <v>0</v>
      </c>
      <c r="AE397" s="8"/>
      <c r="AF397" s="8"/>
      <c r="AG397" s="8"/>
      <c r="AH397" s="8"/>
    </row>
    <row r="398" spans="1:34" x14ac:dyDescent="0.2">
      <c r="A398" s="6">
        <f>IF('[1]Game Input'!$A398&lt;&gt;"",'[1]Game Input'!$A398,"")</f>
        <v>43525</v>
      </c>
      <c r="B398" s="6" t="str">
        <f>IF(A398&gt;$B$1,VLOOKUP(MONTH($A398),DOTWMonth,2,FALSE),"")</f>
        <v>March</v>
      </c>
      <c r="C398" s="10" t="str">
        <f>IF(A398&gt;$B$1,VLOOKUP(WEEKDAY($A398),DOTWMonth,3,FALSE),"")</f>
        <v>Friday</v>
      </c>
      <c r="D398" s="7">
        <f>IF('[1]Game Input'!$B398&lt;&gt;"",'[1]Game Input'!$B398,"")</f>
        <v>0.83680555555555547</v>
      </c>
      <c r="E398" s="7">
        <f>IF('[1]Game Input'!$C398&lt;&gt;"",'[1]Game Input'!$C398,"")</f>
        <v>0.79513888888888884</v>
      </c>
      <c r="F398" s="8" t="str">
        <f>IF('[1]Game Input'!$D398&lt;&gt;"",'[1]Game Input'!$D398,"")</f>
        <v>Standard</v>
      </c>
      <c r="G398" s="8" t="str">
        <f>IF('[1]Game Input'!$G398&lt;&gt;"",'[1]Game Input'!$G398,"")</f>
        <v>TC @ SF</v>
      </c>
      <c r="H398" s="8" t="str">
        <f>IF('[1]Game Input'!$H398&lt;&gt;"",'[1]Game Input'!$H398,"")</f>
        <v>Vs. Conference</v>
      </c>
      <c r="I398" s="8" t="str">
        <f>IF('[1]Game Input'!$I398&lt;&gt;"",'[1]Game Input'!$I398,"")</f>
        <v>TRI-CITY</v>
      </c>
      <c r="J398" s="9">
        <f>IF('[1]Game Input'!$AC398&lt;&gt;"",'[1]Game Input'!$AC398,"")</f>
        <v>31</v>
      </c>
      <c r="K398" s="9">
        <f>IF('[1]Game Input'!$AD398&lt;&gt;"",'[1]Game Input'!$AD398,"")</f>
        <v>6</v>
      </c>
      <c r="L398" s="9">
        <f>IF('[1]Game Input'!$AJ398&lt;&gt;"",'[1]Game Input'!$AJ398,"")</f>
        <v>0</v>
      </c>
      <c r="M398" s="9">
        <f>IF('[1]Game Input'!$AK398&lt;&gt;"",'[1]Game Input'!$AK398,"")</f>
        <v>0</v>
      </c>
      <c r="N398" s="9">
        <f>IF('[1]Game Input'!$AN398&lt;&gt;"",'[1]Game Input'!$AN398,"")</f>
        <v>3</v>
      </c>
      <c r="O398" s="9">
        <f>IF('[1]Game Input'!$AO398&lt;&gt;"",'[1]Game Input'!$AO398,"")</f>
        <v>1</v>
      </c>
      <c r="P398" s="9">
        <f>IF('[1]Game Input'!$AP398&lt;&gt;"",'[1]Game Input'!$AP398,"")</f>
        <v>1</v>
      </c>
      <c r="Q398" s="9">
        <f>IF('[1]Game Input'!$AQ398&lt;&gt;"",'[1]Game Input'!$AQ398,"")</f>
        <v>1</v>
      </c>
      <c r="R398" s="9">
        <f>IF('[1]Game Input'!$AR398&lt;&gt;"",'[1]Game Input'!$AR398,"")</f>
        <v>0</v>
      </c>
      <c r="S398" s="9">
        <f>IF('[1]Game Input'!$AS398&lt;&gt;"",'[1]Game Input'!$AS398,"")</f>
        <v>0</v>
      </c>
      <c r="T398" s="10" t="str">
        <f>IF('[1]Game Input'!$BA398&lt;&gt;"",'[1]Game Input'!$BA398,"")</f>
        <v>SIOUX FALLS</v>
      </c>
      <c r="U398" s="9">
        <f>IF('[1]Game Input'!$BU398&lt;&gt;"",'[1]Game Input'!$BU398,"")</f>
        <v>25</v>
      </c>
      <c r="V398" s="9">
        <f>IF('[1]Game Input'!$BV398&lt;&gt;"",'[1]Game Input'!$BV398,"")</f>
        <v>7</v>
      </c>
      <c r="W398" s="9">
        <f>IF('[1]Game Input'!$CB398&lt;&gt;"",'[1]Game Input'!$CB398,"")</f>
        <v>0</v>
      </c>
      <c r="X398" s="9">
        <f>IF('[1]Game Input'!$CC398&lt;&gt;"",'[1]Game Input'!$CC398,"")</f>
        <v>0</v>
      </c>
      <c r="Y398" s="9">
        <f>IF('[1]Game Input'!$CF398&lt;&gt;"",'[1]Game Input'!$CF398,"")</f>
        <v>5</v>
      </c>
      <c r="Z398" s="9">
        <f>IF('[1]Game Input'!$CG398&lt;&gt;"",'[1]Game Input'!$CG398,"")</f>
        <v>1</v>
      </c>
      <c r="AA398" s="9">
        <f>IF('[1]Game Input'!$CH398&lt;&gt;"",'[1]Game Input'!$CH398,"")</f>
        <v>1</v>
      </c>
      <c r="AB398" s="9">
        <f>IF('[1]Game Input'!$CI398&lt;&gt;"",'[1]Game Input'!$CI398,"")</f>
        <v>0</v>
      </c>
      <c r="AC398" s="9">
        <f>IF('[1]Game Input'!$CJ398&lt;&gt;"",'[1]Game Input'!$CJ398,"")</f>
        <v>0</v>
      </c>
      <c r="AD398" s="9">
        <f>IF('[1]Game Input'!$CK398&lt;&gt;"",'[1]Game Input'!$CK398,"")</f>
        <v>0</v>
      </c>
      <c r="AE398" s="8"/>
      <c r="AF398" s="8"/>
      <c r="AG398" s="8"/>
      <c r="AH398" s="8"/>
    </row>
    <row r="399" spans="1:34" x14ac:dyDescent="0.2">
      <c r="A399" s="6">
        <f>IF('[1]Game Input'!$A399&lt;&gt;"",'[1]Game Input'!$A399,"")</f>
        <v>43525</v>
      </c>
      <c r="B399" s="6" t="str">
        <f>IF(A399&gt;$B$1,VLOOKUP(MONTH($A399),DOTWMonth,2,FALSE),"")</f>
        <v>March</v>
      </c>
      <c r="C399" s="10" t="str">
        <f>IF(A399&gt;$B$1,VLOOKUP(WEEKDAY($A399),DOTWMonth,3,FALSE),"")</f>
        <v>Friday</v>
      </c>
      <c r="D399" s="7">
        <f>IF('[1]Game Input'!$B399&lt;&gt;"",'[1]Game Input'!$B399,"")</f>
        <v>0.83680555555555547</v>
      </c>
      <c r="E399" s="7">
        <f>IF('[1]Game Input'!$C399&lt;&gt;"",'[1]Game Input'!$C399,"")</f>
        <v>0.79513888888888884</v>
      </c>
      <c r="F399" s="8" t="str">
        <f>IF('[1]Game Input'!$D399&lt;&gt;"",'[1]Game Input'!$D399,"")</f>
        <v>Standard</v>
      </c>
      <c r="G399" s="8" t="str">
        <f>IF('[1]Game Input'!$G399&lt;&gt;"",'[1]Game Input'!$G399,"")</f>
        <v>USA @ SC</v>
      </c>
      <c r="H399" s="8" t="str">
        <f>IF('[1]Game Input'!$H399&lt;&gt;"",'[1]Game Input'!$H399,"")</f>
        <v>Vs. Non-Conference</v>
      </c>
      <c r="I399" s="8" t="str">
        <f>IF('[1]Game Input'!$I399&lt;&gt;"",'[1]Game Input'!$I399,"")</f>
        <v>TEAM USA</v>
      </c>
      <c r="J399" s="9">
        <f>IF('[1]Game Input'!$AC399&lt;&gt;"",'[1]Game Input'!$AC399,"")</f>
        <v>20</v>
      </c>
      <c r="K399" s="9">
        <f>IF('[1]Game Input'!$AD399&lt;&gt;"",'[1]Game Input'!$AD399,"")</f>
        <v>6</v>
      </c>
      <c r="L399" s="9">
        <f>IF('[1]Game Input'!$AJ399&lt;&gt;"",'[1]Game Input'!$AJ399,"")</f>
        <v>0</v>
      </c>
      <c r="M399" s="9">
        <f>IF('[1]Game Input'!$AK399&lt;&gt;"",'[1]Game Input'!$AK399,"")</f>
        <v>0</v>
      </c>
      <c r="N399" s="9">
        <f>IF('[1]Game Input'!$AN399&lt;&gt;"",'[1]Game Input'!$AN399,"")</f>
        <v>5</v>
      </c>
      <c r="O399" s="9">
        <f>IF('[1]Game Input'!$AO399&lt;&gt;"",'[1]Game Input'!$AO399,"")</f>
        <v>0</v>
      </c>
      <c r="P399" s="9">
        <f>IF('[1]Game Input'!$AP399&lt;&gt;"",'[1]Game Input'!$AP399,"")</f>
        <v>1</v>
      </c>
      <c r="Q399" s="9">
        <f>IF('[1]Game Input'!$AQ399&lt;&gt;"",'[1]Game Input'!$AQ399,"")</f>
        <v>0</v>
      </c>
      <c r="R399" s="9">
        <f>IF('[1]Game Input'!$AR399&lt;&gt;"",'[1]Game Input'!$AR399,"")</f>
        <v>0</v>
      </c>
      <c r="S399" s="9">
        <f>IF('[1]Game Input'!$AS399&lt;&gt;"",'[1]Game Input'!$AS399,"")</f>
        <v>0</v>
      </c>
      <c r="T399" s="10" t="str">
        <f>IF('[1]Game Input'!$BA399&lt;&gt;"",'[1]Game Input'!$BA399,"")</f>
        <v>SIOUX CITY</v>
      </c>
      <c r="U399" s="9">
        <f>IF('[1]Game Input'!$BU399&lt;&gt;"",'[1]Game Input'!$BU399,"")</f>
        <v>8</v>
      </c>
      <c r="V399" s="9">
        <f>IF('[1]Game Input'!$BV399&lt;&gt;"",'[1]Game Input'!$BV399,"")</f>
        <v>4</v>
      </c>
      <c r="W399" s="9">
        <f>IF('[1]Game Input'!$CB399&lt;&gt;"",'[1]Game Input'!$CB399,"")</f>
        <v>0</v>
      </c>
      <c r="X399" s="9">
        <f>IF('[1]Game Input'!$CC399&lt;&gt;"",'[1]Game Input'!$CC399,"")</f>
        <v>0</v>
      </c>
      <c r="Y399" s="9">
        <f>IF('[1]Game Input'!$CF399&lt;&gt;"",'[1]Game Input'!$CF399,"")</f>
        <v>4</v>
      </c>
      <c r="Z399" s="9">
        <f>IF('[1]Game Input'!$CG399&lt;&gt;"",'[1]Game Input'!$CG399,"")</f>
        <v>0</v>
      </c>
      <c r="AA399" s="9">
        <f>IF('[1]Game Input'!$CH399&lt;&gt;"",'[1]Game Input'!$CH399,"")</f>
        <v>0</v>
      </c>
      <c r="AB399" s="9">
        <f>IF('[1]Game Input'!$CI399&lt;&gt;"",'[1]Game Input'!$CI399,"")</f>
        <v>0</v>
      </c>
      <c r="AC399" s="9">
        <f>IF('[1]Game Input'!$CJ399&lt;&gt;"",'[1]Game Input'!$CJ399,"")</f>
        <v>0</v>
      </c>
      <c r="AD399" s="9">
        <f>IF('[1]Game Input'!$CK399&lt;&gt;"",'[1]Game Input'!$CK399,"")</f>
        <v>0</v>
      </c>
      <c r="AE399" s="8"/>
      <c r="AF399" s="8"/>
      <c r="AG399" s="8"/>
      <c r="AH399" s="8"/>
    </row>
    <row r="400" spans="1:34" x14ac:dyDescent="0.2">
      <c r="A400" s="6">
        <f>IF('[1]Game Input'!$A400&lt;&gt;"",'[1]Game Input'!$A400,"")</f>
        <v>43525</v>
      </c>
      <c r="B400" s="6" t="str">
        <f>IF(A400&gt;$B$1,VLOOKUP(MONTH($A400),DOTWMonth,2,FALSE),"")</f>
        <v>March</v>
      </c>
      <c r="C400" s="10" t="str">
        <f>IF(A400&gt;$B$1,VLOOKUP(WEEKDAY($A400),DOTWMonth,3,FALSE),"")</f>
        <v>Friday</v>
      </c>
      <c r="D400" s="7">
        <f>IF('[1]Game Input'!$B400&lt;&gt;"",'[1]Game Input'!$B400,"")</f>
        <v>0.83819444444444446</v>
      </c>
      <c r="E400" s="7">
        <f>IF('[1]Game Input'!$C400&lt;&gt;"",'[1]Game Input'!$C400,"")</f>
        <v>0.79652777777777783</v>
      </c>
      <c r="F400" s="8" t="str">
        <f>IF('[1]Game Input'!$D400&lt;&gt;"",'[1]Game Input'!$D400,"")</f>
        <v>Standard</v>
      </c>
      <c r="G400" s="8" t="str">
        <f>IF('[1]Game Input'!$G400&lt;&gt;"",'[1]Game Input'!$G400,"")</f>
        <v>CR @ CIL</v>
      </c>
      <c r="H400" s="8" t="str">
        <f>IF('[1]Game Input'!$H400&lt;&gt;"",'[1]Game Input'!$H400,"")</f>
        <v>Vs. Conference</v>
      </c>
      <c r="I400" s="8" t="str">
        <f>IF('[1]Game Input'!$I400&lt;&gt;"",'[1]Game Input'!$I400,"")</f>
        <v>CEDAR RAPIDS</v>
      </c>
      <c r="J400" s="9">
        <f>IF('[1]Game Input'!$AC400&lt;&gt;"",'[1]Game Input'!$AC400,"")</f>
        <v>8</v>
      </c>
      <c r="K400" s="9">
        <f>IF('[1]Game Input'!$AD400&lt;&gt;"",'[1]Game Input'!$AD400,"")</f>
        <v>4</v>
      </c>
      <c r="L400" s="9">
        <f>IF('[1]Game Input'!$AJ400&lt;&gt;"",'[1]Game Input'!$AJ400,"")</f>
        <v>0</v>
      </c>
      <c r="M400" s="9">
        <f>IF('[1]Game Input'!$AK400&lt;&gt;"",'[1]Game Input'!$AK400,"")</f>
        <v>0</v>
      </c>
      <c r="N400" s="9">
        <f>IF('[1]Game Input'!$AN400&lt;&gt;"",'[1]Game Input'!$AN400,"")</f>
        <v>4</v>
      </c>
      <c r="O400" s="9">
        <f>IF('[1]Game Input'!$AO400&lt;&gt;"",'[1]Game Input'!$AO400,"")</f>
        <v>0</v>
      </c>
      <c r="P400" s="9">
        <f>IF('[1]Game Input'!$AP400&lt;&gt;"",'[1]Game Input'!$AP400,"")</f>
        <v>0</v>
      </c>
      <c r="Q400" s="9">
        <f>IF('[1]Game Input'!$AQ400&lt;&gt;"",'[1]Game Input'!$AQ400,"")</f>
        <v>0</v>
      </c>
      <c r="R400" s="9">
        <f>IF('[1]Game Input'!$AR400&lt;&gt;"",'[1]Game Input'!$AR400,"")</f>
        <v>0</v>
      </c>
      <c r="S400" s="9">
        <f>IF('[1]Game Input'!$AS400&lt;&gt;"",'[1]Game Input'!$AS400,"")</f>
        <v>0</v>
      </c>
      <c r="T400" s="10" t="str">
        <f>IF('[1]Game Input'!$BA400&lt;&gt;"",'[1]Game Input'!$BA400,"")</f>
        <v>CENTRAL ILLINOIS</v>
      </c>
      <c r="U400" s="9">
        <f>IF('[1]Game Input'!$BU400&lt;&gt;"",'[1]Game Input'!$BU400,"")</f>
        <v>10</v>
      </c>
      <c r="V400" s="9">
        <f>IF('[1]Game Input'!$BV400&lt;&gt;"",'[1]Game Input'!$BV400,"")</f>
        <v>5</v>
      </c>
      <c r="W400" s="9">
        <f>IF('[1]Game Input'!$CB400&lt;&gt;"",'[1]Game Input'!$CB400,"")</f>
        <v>0</v>
      </c>
      <c r="X400" s="9">
        <f>IF('[1]Game Input'!$CC400&lt;&gt;"",'[1]Game Input'!$CC400,"")</f>
        <v>0</v>
      </c>
      <c r="Y400" s="9">
        <f>IF('[1]Game Input'!$CF400&lt;&gt;"",'[1]Game Input'!$CF400,"")</f>
        <v>5</v>
      </c>
      <c r="Z400" s="9">
        <f>IF('[1]Game Input'!$CG400&lt;&gt;"",'[1]Game Input'!$CG400,"")</f>
        <v>0</v>
      </c>
      <c r="AA400" s="9">
        <f>IF('[1]Game Input'!$CH400&lt;&gt;"",'[1]Game Input'!$CH400,"")</f>
        <v>0</v>
      </c>
      <c r="AB400" s="9">
        <f>IF('[1]Game Input'!$CI400&lt;&gt;"",'[1]Game Input'!$CI400,"")</f>
        <v>0</v>
      </c>
      <c r="AC400" s="9">
        <f>IF('[1]Game Input'!$CJ400&lt;&gt;"",'[1]Game Input'!$CJ400,"")</f>
        <v>0</v>
      </c>
      <c r="AD400" s="9">
        <f>IF('[1]Game Input'!$CK400&lt;&gt;"",'[1]Game Input'!$CK400,"")</f>
        <v>0</v>
      </c>
      <c r="AE400" s="8" t="s">
        <v>92</v>
      </c>
      <c r="AF400" s="8"/>
      <c r="AG400" s="8" t="s">
        <v>114</v>
      </c>
      <c r="AH400" s="8" t="s">
        <v>124</v>
      </c>
    </row>
    <row r="401" spans="1:34" x14ac:dyDescent="0.2">
      <c r="A401" s="6">
        <f>IF('[1]Game Input'!$A401&lt;&gt;"",'[1]Game Input'!$A401,"")</f>
        <v>43525</v>
      </c>
      <c r="B401" s="6" t="str">
        <f>IF(A401&gt;$B$1,VLOOKUP(MONTH($A401),DOTWMonth,2,FALSE),"")</f>
        <v>March</v>
      </c>
      <c r="C401" s="10" t="str">
        <f>IF(A401&gt;$B$1,VLOOKUP(WEEKDAY($A401),DOTWMonth,3,FALSE),"")</f>
        <v>Friday</v>
      </c>
      <c r="D401" s="7">
        <f>IF('[1]Game Input'!$B401&lt;&gt;"",'[1]Game Input'!$B401,"")</f>
        <v>0.85763888888888884</v>
      </c>
      <c r="E401" s="7">
        <f>IF('[1]Game Input'!$C401&lt;&gt;"",'[1]Game Input'!$C401,"")</f>
        <v>0.81597222222222221</v>
      </c>
      <c r="F401" s="8" t="str">
        <f>IF('[1]Game Input'!$D401&lt;&gt;"",'[1]Game Input'!$D401,"")</f>
        <v>Standard</v>
      </c>
      <c r="G401" s="8" t="str">
        <f>IF('[1]Game Input'!$G401&lt;&gt;"",'[1]Game Input'!$G401,"")</f>
        <v>LIN @ OMA</v>
      </c>
      <c r="H401" s="8" t="str">
        <f>IF('[1]Game Input'!$H401&lt;&gt;"",'[1]Game Input'!$H401,"")</f>
        <v>Vs. Conference</v>
      </c>
      <c r="I401" s="8" t="str">
        <f>IF('[1]Game Input'!$I401&lt;&gt;"",'[1]Game Input'!$I401,"")</f>
        <v>LINCOLN</v>
      </c>
      <c r="J401" s="9">
        <f>IF('[1]Game Input'!$AC401&lt;&gt;"",'[1]Game Input'!$AC401,"")</f>
        <v>6</v>
      </c>
      <c r="K401" s="9">
        <f>IF('[1]Game Input'!$AD401&lt;&gt;"",'[1]Game Input'!$AD401,"")</f>
        <v>3</v>
      </c>
      <c r="L401" s="9">
        <f>IF('[1]Game Input'!$AJ401&lt;&gt;"",'[1]Game Input'!$AJ401,"")</f>
        <v>0</v>
      </c>
      <c r="M401" s="9">
        <f>IF('[1]Game Input'!$AK401&lt;&gt;"",'[1]Game Input'!$AK401,"")</f>
        <v>0</v>
      </c>
      <c r="N401" s="9">
        <f>IF('[1]Game Input'!$AN401&lt;&gt;"",'[1]Game Input'!$AN401,"")</f>
        <v>3</v>
      </c>
      <c r="O401" s="9">
        <f>IF('[1]Game Input'!$AO401&lt;&gt;"",'[1]Game Input'!$AO401,"")</f>
        <v>0</v>
      </c>
      <c r="P401" s="9">
        <f>IF('[1]Game Input'!$AP401&lt;&gt;"",'[1]Game Input'!$AP401,"")</f>
        <v>0</v>
      </c>
      <c r="Q401" s="9">
        <f>IF('[1]Game Input'!$AQ401&lt;&gt;"",'[1]Game Input'!$AQ401,"")</f>
        <v>0</v>
      </c>
      <c r="R401" s="9">
        <f>IF('[1]Game Input'!$AR401&lt;&gt;"",'[1]Game Input'!$AR401,"")</f>
        <v>0</v>
      </c>
      <c r="S401" s="9">
        <f>IF('[1]Game Input'!$AS401&lt;&gt;"",'[1]Game Input'!$AS401,"")</f>
        <v>0</v>
      </c>
      <c r="T401" s="10" t="str">
        <f>IF('[1]Game Input'!$BA401&lt;&gt;"",'[1]Game Input'!$BA401,"")</f>
        <v>OMAHA</v>
      </c>
      <c r="U401" s="9">
        <f>IF('[1]Game Input'!$BU401&lt;&gt;"",'[1]Game Input'!$BU401,"")</f>
        <v>8</v>
      </c>
      <c r="V401" s="9">
        <f>IF('[1]Game Input'!$BV401&lt;&gt;"",'[1]Game Input'!$BV401,"")</f>
        <v>4</v>
      </c>
      <c r="W401" s="9">
        <f>IF('[1]Game Input'!$CB401&lt;&gt;"",'[1]Game Input'!$CB401,"")</f>
        <v>0</v>
      </c>
      <c r="X401" s="9">
        <f>IF('[1]Game Input'!$CC401&lt;&gt;"",'[1]Game Input'!$CC401,"")</f>
        <v>0</v>
      </c>
      <c r="Y401" s="9">
        <f>IF('[1]Game Input'!$CF401&lt;&gt;"",'[1]Game Input'!$CF401,"")</f>
        <v>4</v>
      </c>
      <c r="Z401" s="9">
        <f>IF('[1]Game Input'!$CG401&lt;&gt;"",'[1]Game Input'!$CG401,"")</f>
        <v>0</v>
      </c>
      <c r="AA401" s="9">
        <f>IF('[1]Game Input'!$CH401&lt;&gt;"",'[1]Game Input'!$CH401,"")</f>
        <v>0</v>
      </c>
      <c r="AB401" s="9">
        <f>IF('[1]Game Input'!$CI401&lt;&gt;"",'[1]Game Input'!$CI401,"")</f>
        <v>0</v>
      </c>
      <c r="AC401" s="9">
        <f>IF('[1]Game Input'!$CJ401&lt;&gt;"",'[1]Game Input'!$CJ401,"")</f>
        <v>0</v>
      </c>
      <c r="AD401" s="9">
        <f>IF('[1]Game Input'!$CK401&lt;&gt;"",'[1]Game Input'!$CK401,"")</f>
        <v>0</v>
      </c>
      <c r="AE401" s="8"/>
      <c r="AF401" s="8"/>
      <c r="AG401" s="8"/>
      <c r="AH401" s="8"/>
    </row>
    <row r="402" spans="1:34" x14ac:dyDescent="0.2">
      <c r="A402" s="6">
        <f>IF('[1]Game Input'!$A402&lt;&gt;"",'[1]Game Input'!$A402,"")</f>
        <v>43526</v>
      </c>
      <c r="B402" s="6" t="str">
        <f>IF(A402&gt;$B$1,VLOOKUP(MONTH($A402),DOTWMonth,2,FALSE),"")</f>
        <v>March</v>
      </c>
      <c r="C402" s="10" t="str">
        <f>IF(A402&gt;$B$1,VLOOKUP(WEEKDAY($A402),DOTWMonth,3,FALSE),"")</f>
        <v>Saturday</v>
      </c>
      <c r="D402" s="7">
        <f>IF('[1]Game Input'!$B402&lt;&gt;"",'[1]Game Input'!$B402,"")</f>
        <v>0.79513888888888884</v>
      </c>
      <c r="E402" s="7">
        <f>IF('[1]Game Input'!$C402&lt;&gt;"",'[1]Game Input'!$C402,"")</f>
        <v>0.75347222222222221</v>
      </c>
      <c r="F402" s="8" t="str">
        <f>IF('[1]Game Input'!$D402&lt;&gt;"",'[1]Game Input'!$D402,"")</f>
        <v>Standard</v>
      </c>
      <c r="G402" s="8" t="str">
        <f>IF('[1]Game Input'!$G402&lt;&gt;"",'[1]Game Input'!$G402,"")</f>
        <v>MUS @ YNG</v>
      </c>
      <c r="H402" s="8" t="str">
        <f>IF('[1]Game Input'!$H402&lt;&gt;"",'[1]Game Input'!$H402,"")</f>
        <v>Vs. Conference</v>
      </c>
      <c r="I402" s="8" t="str">
        <f>IF('[1]Game Input'!$I402&lt;&gt;"",'[1]Game Input'!$I402,"")</f>
        <v>MUSKEGON</v>
      </c>
      <c r="J402" s="9">
        <f>IF('[1]Game Input'!$AC402&lt;&gt;"",'[1]Game Input'!$AC402,"")</f>
        <v>10</v>
      </c>
      <c r="K402" s="9">
        <f>IF('[1]Game Input'!$AD402&lt;&gt;"",'[1]Game Input'!$AD402,"")</f>
        <v>5</v>
      </c>
      <c r="L402" s="9">
        <f>IF('[1]Game Input'!$AJ402&lt;&gt;"",'[1]Game Input'!$AJ402,"")</f>
        <v>0</v>
      </c>
      <c r="M402" s="9">
        <f>IF('[1]Game Input'!$AK402&lt;&gt;"",'[1]Game Input'!$AK402,"")</f>
        <v>0</v>
      </c>
      <c r="N402" s="9">
        <f>IF('[1]Game Input'!$AN402&lt;&gt;"",'[1]Game Input'!$AN402,"")</f>
        <v>5</v>
      </c>
      <c r="O402" s="9">
        <f>IF('[1]Game Input'!$AO402&lt;&gt;"",'[1]Game Input'!$AO402,"")</f>
        <v>0</v>
      </c>
      <c r="P402" s="9">
        <f>IF('[1]Game Input'!$AP402&lt;&gt;"",'[1]Game Input'!$AP402,"")</f>
        <v>0</v>
      </c>
      <c r="Q402" s="9">
        <f>IF('[1]Game Input'!$AQ402&lt;&gt;"",'[1]Game Input'!$AQ402,"")</f>
        <v>0</v>
      </c>
      <c r="R402" s="9">
        <f>IF('[1]Game Input'!$AR402&lt;&gt;"",'[1]Game Input'!$AR402,"")</f>
        <v>0</v>
      </c>
      <c r="S402" s="9">
        <f>IF('[1]Game Input'!$AS402&lt;&gt;"",'[1]Game Input'!$AS402,"")</f>
        <v>0</v>
      </c>
      <c r="T402" s="10" t="str">
        <f>IF('[1]Game Input'!$BA402&lt;&gt;"",'[1]Game Input'!$BA402,"")</f>
        <v>YOUNGSTOWN</v>
      </c>
      <c r="U402" s="9">
        <f>IF('[1]Game Input'!$BU402&lt;&gt;"",'[1]Game Input'!$BU402,"")</f>
        <v>8</v>
      </c>
      <c r="V402" s="9">
        <f>IF('[1]Game Input'!$BV402&lt;&gt;"",'[1]Game Input'!$BV402,"")</f>
        <v>4</v>
      </c>
      <c r="W402" s="9">
        <f>IF('[1]Game Input'!$CB402&lt;&gt;"",'[1]Game Input'!$CB402,"")</f>
        <v>0</v>
      </c>
      <c r="X402" s="9">
        <f>IF('[1]Game Input'!$CC402&lt;&gt;"",'[1]Game Input'!$CC402,"")</f>
        <v>0</v>
      </c>
      <c r="Y402" s="9">
        <f>IF('[1]Game Input'!$CF402&lt;&gt;"",'[1]Game Input'!$CF402,"")</f>
        <v>4</v>
      </c>
      <c r="Z402" s="9">
        <f>IF('[1]Game Input'!$CG402&lt;&gt;"",'[1]Game Input'!$CG402,"")</f>
        <v>0</v>
      </c>
      <c r="AA402" s="9">
        <f>IF('[1]Game Input'!$CH402&lt;&gt;"",'[1]Game Input'!$CH402,"")</f>
        <v>0</v>
      </c>
      <c r="AB402" s="9">
        <f>IF('[1]Game Input'!$CI402&lt;&gt;"",'[1]Game Input'!$CI402,"")</f>
        <v>0</v>
      </c>
      <c r="AC402" s="9">
        <f>IF('[1]Game Input'!$CJ402&lt;&gt;"",'[1]Game Input'!$CJ402,"")</f>
        <v>0</v>
      </c>
      <c r="AD402" s="9">
        <f>IF('[1]Game Input'!$CK402&lt;&gt;"",'[1]Game Input'!$CK402,"")</f>
        <v>0</v>
      </c>
      <c r="AE402" s="8"/>
      <c r="AF402" s="8"/>
      <c r="AG402" s="8"/>
      <c r="AH402" s="8"/>
    </row>
    <row r="403" spans="1:34" x14ac:dyDescent="0.2">
      <c r="A403" s="6">
        <f>IF('[1]Game Input'!$A403&lt;&gt;"",'[1]Game Input'!$A403,"")</f>
        <v>43526</v>
      </c>
      <c r="B403" s="6" t="str">
        <f>IF(A403&gt;$B$1,VLOOKUP(MONTH($A403),DOTWMonth,2,FALSE),"")</f>
        <v>March</v>
      </c>
      <c r="C403" s="10" t="str">
        <f>IF(A403&gt;$B$1,VLOOKUP(WEEKDAY($A403),DOTWMonth,3,FALSE),"")</f>
        <v>Saturday</v>
      </c>
      <c r="D403" s="7">
        <f>IF('[1]Game Input'!$B403&lt;&gt;"",'[1]Game Input'!$B403,"")</f>
        <v>0.83680555555555547</v>
      </c>
      <c r="E403" s="7">
        <f>IF('[1]Game Input'!$C403&lt;&gt;"",'[1]Game Input'!$C403,"")</f>
        <v>0.79513888888888884</v>
      </c>
      <c r="F403" s="8" t="str">
        <f>IF('[1]Game Input'!$D403&lt;&gt;"",'[1]Game Input'!$D403,"")</f>
        <v>Standard</v>
      </c>
      <c r="G403" s="8" t="str">
        <f>IF('[1]Game Input'!$G403&lt;&gt;"",'[1]Game Input'!$G403,"")</f>
        <v>DUB @ CHI</v>
      </c>
      <c r="H403" s="8" t="str">
        <f>IF('[1]Game Input'!$H403&lt;&gt;"",'[1]Game Input'!$H403,"")</f>
        <v>Vs. Conference</v>
      </c>
      <c r="I403" s="8" t="str">
        <f>IF('[1]Game Input'!$I403&lt;&gt;"",'[1]Game Input'!$I403,"")</f>
        <v>DUBUQUE</v>
      </c>
      <c r="J403" s="9">
        <f>IF('[1]Game Input'!$AC403&lt;&gt;"",'[1]Game Input'!$AC403,"")</f>
        <v>12</v>
      </c>
      <c r="K403" s="9">
        <f>IF('[1]Game Input'!$AD403&lt;&gt;"",'[1]Game Input'!$AD403,"")</f>
        <v>6</v>
      </c>
      <c r="L403" s="9">
        <f>IF('[1]Game Input'!$AJ403&lt;&gt;"",'[1]Game Input'!$AJ403,"")</f>
        <v>0</v>
      </c>
      <c r="M403" s="9">
        <f>IF('[1]Game Input'!$AK403&lt;&gt;"",'[1]Game Input'!$AK403,"")</f>
        <v>0</v>
      </c>
      <c r="N403" s="9">
        <f>IF('[1]Game Input'!$AN403&lt;&gt;"",'[1]Game Input'!$AN403,"")</f>
        <v>6</v>
      </c>
      <c r="O403" s="9">
        <f>IF('[1]Game Input'!$AO403&lt;&gt;"",'[1]Game Input'!$AO403,"")</f>
        <v>0</v>
      </c>
      <c r="P403" s="9">
        <f>IF('[1]Game Input'!$AP403&lt;&gt;"",'[1]Game Input'!$AP403,"")</f>
        <v>0</v>
      </c>
      <c r="Q403" s="9">
        <f>IF('[1]Game Input'!$AQ403&lt;&gt;"",'[1]Game Input'!$AQ403,"")</f>
        <v>0</v>
      </c>
      <c r="R403" s="9">
        <f>IF('[1]Game Input'!$AR403&lt;&gt;"",'[1]Game Input'!$AR403,"")</f>
        <v>0</v>
      </c>
      <c r="S403" s="9">
        <f>IF('[1]Game Input'!$AS403&lt;&gt;"",'[1]Game Input'!$AS403,"")</f>
        <v>0</v>
      </c>
      <c r="T403" s="10" t="str">
        <f>IF('[1]Game Input'!$BA403&lt;&gt;"",'[1]Game Input'!$BA403,"")</f>
        <v>CHICAGO</v>
      </c>
      <c r="U403" s="9">
        <f>IF('[1]Game Input'!$BU403&lt;&gt;"",'[1]Game Input'!$BU403,"")</f>
        <v>8</v>
      </c>
      <c r="V403" s="9">
        <f>IF('[1]Game Input'!$BV403&lt;&gt;"",'[1]Game Input'!$BV403,"")</f>
        <v>4</v>
      </c>
      <c r="W403" s="9">
        <f>IF('[1]Game Input'!$CB403&lt;&gt;"",'[1]Game Input'!$CB403,"")</f>
        <v>0</v>
      </c>
      <c r="X403" s="9">
        <f>IF('[1]Game Input'!$CC403&lt;&gt;"",'[1]Game Input'!$CC403,"")</f>
        <v>0</v>
      </c>
      <c r="Y403" s="9">
        <f>IF('[1]Game Input'!$CF403&lt;&gt;"",'[1]Game Input'!$CF403,"")</f>
        <v>4</v>
      </c>
      <c r="Z403" s="9">
        <f>IF('[1]Game Input'!$CG403&lt;&gt;"",'[1]Game Input'!$CG403,"")</f>
        <v>0</v>
      </c>
      <c r="AA403" s="9">
        <f>IF('[1]Game Input'!$CH403&lt;&gt;"",'[1]Game Input'!$CH403,"")</f>
        <v>0</v>
      </c>
      <c r="AB403" s="9">
        <f>IF('[1]Game Input'!$CI403&lt;&gt;"",'[1]Game Input'!$CI403,"")</f>
        <v>0</v>
      </c>
      <c r="AC403" s="9">
        <f>IF('[1]Game Input'!$CJ403&lt;&gt;"",'[1]Game Input'!$CJ403,"")</f>
        <v>0</v>
      </c>
      <c r="AD403" s="9">
        <f>IF('[1]Game Input'!$CK403&lt;&gt;"",'[1]Game Input'!$CK403,"")</f>
        <v>0</v>
      </c>
      <c r="AE403" s="8"/>
      <c r="AF403" s="8"/>
      <c r="AG403" s="8"/>
      <c r="AH403" s="8"/>
    </row>
    <row r="404" spans="1:34" x14ac:dyDescent="0.2">
      <c r="A404" s="6">
        <f>IF('[1]Game Input'!$A404&lt;&gt;"",'[1]Game Input'!$A404,"")</f>
        <v>43526</v>
      </c>
      <c r="B404" s="6" t="str">
        <f>IF(A404&gt;$B$1,VLOOKUP(MONTH($A404),DOTWMonth,2,FALSE),"")</f>
        <v>March</v>
      </c>
      <c r="C404" s="10" t="str">
        <f>IF(A404&gt;$B$1,VLOOKUP(WEEKDAY($A404),DOTWMonth,3,FALSE),"")</f>
        <v>Saturday</v>
      </c>
      <c r="D404" s="7">
        <f>IF('[1]Game Input'!$B404&lt;&gt;"",'[1]Game Input'!$B404,"")</f>
        <v>0.83680555555555547</v>
      </c>
      <c r="E404" s="7">
        <f>IF('[1]Game Input'!$C404&lt;&gt;"",'[1]Game Input'!$C404,"")</f>
        <v>0.79513888888888884</v>
      </c>
      <c r="F404" s="8" t="str">
        <f>IF('[1]Game Input'!$D404&lt;&gt;"",'[1]Game Input'!$D404,"")</f>
        <v>Standard</v>
      </c>
      <c r="G404" s="8" t="str">
        <f>IF('[1]Game Input'!$G404&lt;&gt;"",'[1]Game Input'!$G404,"")</f>
        <v>WAT @ FGO</v>
      </c>
      <c r="H404" s="8" t="str">
        <f>IF('[1]Game Input'!$H404&lt;&gt;"",'[1]Game Input'!$H404,"")</f>
        <v>Vs. Conference</v>
      </c>
      <c r="I404" s="8" t="str">
        <f>IF('[1]Game Input'!$I404&lt;&gt;"",'[1]Game Input'!$I404,"")</f>
        <v>WATERLOO</v>
      </c>
      <c r="J404" s="9">
        <f>IF('[1]Game Input'!$AC404&lt;&gt;"",'[1]Game Input'!$AC404,"")</f>
        <v>41</v>
      </c>
      <c r="K404" s="9">
        <f>IF('[1]Game Input'!$AD404&lt;&gt;"",'[1]Game Input'!$AD404,"")</f>
        <v>11</v>
      </c>
      <c r="L404" s="9">
        <f>IF('[1]Game Input'!$AJ404&lt;&gt;"",'[1]Game Input'!$AJ404,"")</f>
        <v>0</v>
      </c>
      <c r="M404" s="9">
        <f>IF('[1]Game Input'!$AK404&lt;&gt;"",'[1]Game Input'!$AK404,"")</f>
        <v>1</v>
      </c>
      <c r="N404" s="9">
        <f>IF('[1]Game Input'!$AN404&lt;&gt;"",'[1]Game Input'!$AN404,"")</f>
        <v>8</v>
      </c>
      <c r="O404" s="9">
        <f>IF('[1]Game Input'!$AO404&lt;&gt;"",'[1]Game Input'!$AO404,"")</f>
        <v>1</v>
      </c>
      <c r="P404" s="9">
        <f>IF('[1]Game Input'!$AP404&lt;&gt;"",'[1]Game Input'!$AP404,"")</f>
        <v>2</v>
      </c>
      <c r="Q404" s="9">
        <f>IF('[1]Game Input'!$AQ404&lt;&gt;"",'[1]Game Input'!$AQ404,"")</f>
        <v>0</v>
      </c>
      <c r="R404" s="9">
        <f>IF('[1]Game Input'!$AR404&lt;&gt;"",'[1]Game Input'!$AR404,"")</f>
        <v>0</v>
      </c>
      <c r="S404" s="9">
        <f>IF('[1]Game Input'!$AS404&lt;&gt;"",'[1]Game Input'!$AS404,"")</f>
        <v>1</v>
      </c>
      <c r="T404" s="10" t="str">
        <f>IF('[1]Game Input'!$BA404&lt;&gt;"",'[1]Game Input'!$BA404,"")</f>
        <v>FARGO</v>
      </c>
      <c r="U404" s="9">
        <f>IF('[1]Game Input'!$BU404&lt;&gt;"",'[1]Game Input'!$BU404,"")</f>
        <v>39</v>
      </c>
      <c r="V404" s="9">
        <f>IF('[1]Game Input'!$BV404&lt;&gt;"",'[1]Game Input'!$BV404,"")</f>
        <v>11</v>
      </c>
      <c r="W404" s="9">
        <f>IF('[1]Game Input'!$CB404&lt;&gt;"",'[1]Game Input'!$CB404,"")</f>
        <v>0</v>
      </c>
      <c r="X404" s="9">
        <f>IF('[1]Game Input'!$CC404&lt;&gt;"",'[1]Game Input'!$CC404,"")</f>
        <v>0</v>
      </c>
      <c r="Y404" s="9">
        <f>IF('[1]Game Input'!$CF404&lt;&gt;"",'[1]Game Input'!$CF404,"")</f>
        <v>7</v>
      </c>
      <c r="Z404" s="9">
        <f>IF('[1]Game Input'!$CG404&lt;&gt;"",'[1]Game Input'!$CG404,"")</f>
        <v>1</v>
      </c>
      <c r="AA404" s="9">
        <f>IF('[1]Game Input'!$CH404&lt;&gt;"",'[1]Game Input'!$CH404,"")</f>
        <v>2</v>
      </c>
      <c r="AB404" s="9">
        <f>IF('[1]Game Input'!$CI404&lt;&gt;"",'[1]Game Input'!$CI404,"")</f>
        <v>0</v>
      </c>
      <c r="AC404" s="9">
        <f>IF('[1]Game Input'!$CJ404&lt;&gt;"",'[1]Game Input'!$CJ404,"")</f>
        <v>0</v>
      </c>
      <c r="AD404" s="9">
        <f>IF('[1]Game Input'!$CK404&lt;&gt;"",'[1]Game Input'!$CK404,"")</f>
        <v>0</v>
      </c>
      <c r="AE404" s="8"/>
      <c r="AF404" s="8"/>
      <c r="AG404" s="8"/>
      <c r="AH404" s="8"/>
    </row>
    <row r="405" spans="1:34" x14ac:dyDescent="0.2">
      <c r="A405" s="6">
        <f>IF('[1]Game Input'!$A405&lt;&gt;"",'[1]Game Input'!$A405,"")</f>
        <v>43526</v>
      </c>
      <c r="B405" s="6" t="str">
        <f>IF(A405&gt;$B$1,VLOOKUP(MONTH($A405),DOTWMonth,2,FALSE),"")</f>
        <v>March</v>
      </c>
      <c r="C405" s="10" t="str">
        <f>IF(A405&gt;$B$1,VLOOKUP(WEEKDAY($A405),DOTWMonth,3,FALSE),"")</f>
        <v>Saturday</v>
      </c>
      <c r="D405" s="7">
        <f>IF('[1]Game Input'!$B405&lt;&gt;"",'[1]Game Input'!$B405,"")</f>
        <v>0.83680555555555547</v>
      </c>
      <c r="E405" s="7">
        <f>IF('[1]Game Input'!$C405&lt;&gt;"",'[1]Game Input'!$C405,"")</f>
        <v>0.79513888888888884</v>
      </c>
      <c r="F405" s="8" t="str">
        <f>IF('[1]Game Input'!$D405&lt;&gt;"",'[1]Game Input'!$D405,"")</f>
        <v>Standard</v>
      </c>
      <c r="G405" s="8" t="str">
        <f>IF('[1]Game Input'!$G405&lt;&gt;"",'[1]Game Input'!$G405,"")</f>
        <v>CIL @ GB</v>
      </c>
      <c r="H405" s="8" t="str">
        <f>IF('[1]Game Input'!$H405&lt;&gt;"",'[1]Game Input'!$H405,"")</f>
        <v>Vs. Conference</v>
      </c>
      <c r="I405" s="8" t="str">
        <f>IF('[1]Game Input'!$I405&lt;&gt;"",'[1]Game Input'!$I405,"")</f>
        <v>CENTRAL ILLINOIS</v>
      </c>
      <c r="J405" s="9">
        <f>IF('[1]Game Input'!$AC405&lt;&gt;"",'[1]Game Input'!$AC405,"")</f>
        <v>6</v>
      </c>
      <c r="K405" s="9">
        <f>IF('[1]Game Input'!$AD405&lt;&gt;"",'[1]Game Input'!$AD405,"")</f>
        <v>3</v>
      </c>
      <c r="L405" s="9">
        <f>IF('[1]Game Input'!$AJ405&lt;&gt;"",'[1]Game Input'!$AJ405,"")</f>
        <v>0</v>
      </c>
      <c r="M405" s="9">
        <f>IF('[1]Game Input'!$AK405&lt;&gt;"",'[1]Game Input'!$AK405,"")</f>
        <v>0</v>
      </c>
      <c r="N405" s="9">
        <f>IF('[1]Game Input'!$AN405&lt;&gt;"",'[1]Game Input'!$AN405,"")</f>
        <v>3</v>
      </c>
      <c r="O405" s="9">
        <f>IF('[1]Game Input'!$AO405&lt;&gt;"",'[1]Game Input'!$AO405,"")</f>
        <v>0</v>
      </c>
      <c r="P405" s="9">
        <f>IF('[1]Game Input'!$AP405&lt;&gt;"",'[1]Game Input'!$AP405,"")</f>
        <v>0</v>
      </c>
      <c r="Q405" s="9">
        <f>IF('[1]Game Input'!$AQ405&lt;&gt;"",'[1]Game Input'!$AQ405,"")</f>
        <v>0</v>
      </c>
      <c r="R405" s="9">
        <f>IF('[1]Game Input'!$AR405&lt;&gt;"",'[1]Game Input'!$AR405,"")</f>
        <v>0</v>
      </c>
      <c r="S405" s="9">
        <f>IF('[1]Game Input'!$AS405&lt;&gt;"",'[1]Game Input'!$AS405,"")</f>
        <v>0</v>
      </c>
      <c r="T405" s="10" t="str">
        <f>IF('[1]Game Input'!$BA405&lt;&gt;"",'[1]Game Input'!$BA405,"")</f>
        <v>GREEN BAY</v>
      </c>
      <c r="U405" s="9">
        <f>IF('[1]Game Input'!$BU405&lt;&gt;"",'[1]Game Input'!$BU405,"")</f>
        <v>12</v>
      </c>
      <c r="V405" s="9">
        <f>IF('[1]Game Input'!$BV405&lt;&gt;"",'[1]Game Input'!$BV405,"")</f>
        <v>6</v>
      </c>
      <c r="W405" s="9">
        <f>IF('[1]Game Input'!$CB405&lt;&gt;"",'[1]Game Input'!$CB405,"")</f>
        <v>0</v>
      </c>
      <c r="X405" s="9">
        <f>IF('[1]Game Input'!$CC405&lt;&gt;"",'[1]Game Input'!$CC405,"")</f>
        <v>0</v>
      </c>
      <c r="Y405" s="9">
        <f>IF('[1]Game Input'!$CF405&lt;&gt;"",'[1]Game Input'!$CF405,"")</f>
        <v>6</v>
      </c>
      <c r="Z405" s="9">
        <f>IF('[1]Game Input'!$CG405&lt;&gt;"",'[1]Game Input'!$CG405,"")</f>
        <v>0</v>
      </c>
      <c r="AA405" s="9">
        <f>IF('[1]Game Input'!$CH405&lt;&gt;"",'[1]Game Input'!$CH405,"")</f>
        <v>0</v>
      </c>
      <c r="AB405" s="9">
        <f>IF('[1]Game Input'!$CI405&lt;&gt;"",'[1]Game Input'!$CI405,"")</f>
        <v>0</v>
      </c>
      <c r="AC405" s="9">
        <f>IF('[1]Game Input'!$CJ405&lt;&gt;"",'[1]Game Input'!$CJ405,"")</f>
        <v>0</v>
      </c>
      <c r="AD405" s="9">
        <f>IF('[1]Game Input'!$CK405&lt;&gt;"",'[1]Game Input'!$CK405,"")</f>
        <v>0</v>
      </c>
      <c r="AE405" s="8" t="s">
        <v>127</v>
      </c>
      <c r="AF405" s="8"/>
      <c r="AG405" s="8" t="s">
        <v>141</v>
      </c>
      <c r="AH405" s="8" t="s">
        <v>160</v>
      </c>
    </row>
    <row r="406" spans="1:34" x14ac:dyDescent="0.2">
      <c r="A406" s="6">
        <f>IF('[1]Game Input'!$A406&lt;&gt;"",'[1]Game Input'!$A406,"")</f>
        <v>43526</v>
      </c>
      <c r="B406" s="6" t="str">
        <f>IF(A406&gt;$B$1,VLOOKUP(MONTH($A406),DOTWMonth,2,FALSE),"")</f>
        <v>March</v>
      </c>
      <c r="C406" s="10" t="str">
        <f>IF(A406&gt;$B$1,VLOOKUP(WEEKDAY($A406),DOTWMonth,3,FALSE),"")</f>
        <v>Saturday</v>
      </c>
      <c r="D406" s="7">
        <f>IF('[1]Game Input'!$B406&lt;&gt;"",'[1]Game Input'!$B406,"")</f>
        <v>0.83680555555555547</v>
      </c>
      <c r="E406" s="7">
        <f>IF('[1]Game Input'!$C406&lt;&gt;"",'[1]Game Input'!$C406,"")</f>
        <v>0.79513888888888884</v>
      </c>
      <c r="F406" s="8" t="str">
        <f>IF('[1]Game Input'!$D406&lt;&gt;"",'[1]Game Input'!$D406,"")</f>
        <v>Standard</v>
      </c>
      <c r="G406" s="8" t="str">
        <f>IF('[1]Game Input'!$G406&lt;&gt;"",'[1]Game Input'!$G406,"")</f>
        <v>OMA @ LIN</v>
      </c>
      <c r="H406" s="8" t="str">
        <f>IF('[1]Game Input'!$H406&lt;&gt;"",'[1]Game Input'!$H406,"")</f>
        <v>Vs. Conference</v>
      </c>
      <c r="I406" s="8" t="str">
        <f>IF('[1]Game Input'!$I406&lt;&gt;"",'[1]Game Input'!$I406,"")</f>
        <v>OMAHA</v>
      </c>
      <c r="J406" s="9">
        <f>IF('[1]Game Input'!$AC406&lt;&gt;"",'[1]Game Input'!$AC406,"")</f>
        <v>8</v>
      </c>
      <c r="K406" s="9">
        <f>IF('[1]Game Input'!$AD406&lt;&gt;"",'[1]Game Input'!$AD406,"")</f>
        <v>4</v>
      </c>
      <c r="L406" s="9">
        <f>IF('[1]Game Input'!$AJ406&lt;&gt;"",'[1]Game Input'!$AJ406,"")</f>
        <v>0</v>
      </c>
      <c r="M406" s="9">
        <f>IF('[1]Game Input'!$AK406&lt;&gt;"",'[1]Game Input'!$AK406,"")</f>
        <v>0</v>
      </c>
      <c r="N406" s="9">
        <f>IF('[1]Game Input'!$AN406&lt;&gt;"",'[1]Game Input'!$AN406,"")</f>
        <v>4</v>
      </c>
      <c r="O406" s="9">
        <f>IF('[1]Game Input'!$AO406&lt;&gt;"",'[1]Game Input'!$AO406,"")</f>
        <v>0</v>
      </c>
      <c r="P406" s="9">
        <f>IF('[1]Game Input'!$AP406&lt;&gt;"",'[1]Game Input'!$AP406,"")</f>
        <v>0</v>
      </c>
      <c r="Q406" s="9">
        <f>IF('[1]Game Input'!$AQ406&lt;&gt;"",'[1]Game Input'!$AQ406,"")</f>
        <v>0</v>
      </c>
      <c r="R406" s="9">
        <f>IF('[1]Game Input'!$AR406&lt;&gt;"",'[1]Game Input'!$AR406,"")</f>
        <v>0</v>
      </c>
      <c r="S406" s="9">
        <f>IF('[1]Game Input'!$AS406&lt;&gt;"",'[1]Game Input'!$AS406,"")</f>
        <v>0</v>
      </c>
      <c r="T406" s="10" t="str">
        <f>IF('[1]Game Input'!$BA406&lt;&gt;"",'[1]Game Input'!$BA406,"")</f>
        <v>LINCOLN</v>
      </c>
      <c r="U406" s="9">
        <f>IF('[1]Game Input'!$BU406&lt;&gt;"",'[1]Game Input'!$BU406,"")</f>
        <v>4</v>
      </c>
      <c r="V406" s="9">
        <f>IF('[1]Game Input'!$BV406&lt;&gt;"",'[1]Game Input'!$BV406,"")</f>
        <v>2</v>
      </c>
      <c r="W406" s="9">
        <f>IF('[1]Game Input'!$CB406&lt;&gt;"",'[1]Game Input'!$CB406,"")</f>
        <v>0</v>
      </c>
      <c r="X406" s="9">
        <f>IF('[1]Game Input'!$CC406&lt;&gt;"",'[1]Game Input'!$CC406,"")</f>
        <v>0</v>
      </c>
      <c r="Y406" s="9">
        <f>IF('[1]Game Input'!$CF406&lt;&gt;"",'[1]Game Input'!$CF406,"")</f>
        <v>2</v>
      </c>
      <c r="Z406" s="9">
        <f>IF('[1]Game Input'!$CG406&lt;&gt;"",'[1]Game Input'!$CG406,"")</f>
        <v>0</v>
      </c>
      <c r="AA406" s="9">
        <f>IF('[1]Game Input'!$CH406&lt;&gt;"",'[1]Game Input'!$CH406,"")</f>
        <v>0</v>
      </c>
      <c r="AB406" s="9">
        <f>IF('[1]Game Input'!$CI406&lt;&gt;"",'[1]Game Input'!$CI406,"")</f>
        <v>0</v>
      </c>
      <c r="AC406" s="9">
        <f>IF('[1]Game Input'!$CJ406&lt;&gt;"",'[1]Game Input'!$CJ406,"")</f>
        <v>0</v>
      </c>
      <c r="AD406" s="9">
        <f>IF('[1]Game Input'!$CK406&lt;&gt;"",'[1]Game Input'!$CK406,"")</f>
        <v>0</v>
      </c>
      <c r="AE406" s="8"/>
      <c r="AF406" s="8"/>
      <c r="AG406" s="8"/>
      <c r="AH406" s="8"/>
    </row>
    <row r="407" spans="1:34" x14ac:dyDescent="0.2">
      <c r="A407" s="6">
        <f>IF('[1]Game Input'!$A407&lt;&gt;"",'[1]Game Input'!$A407,"")</f>
        <v>43526</v>
      </c>
      <c r="B407" s="6" t="str">
        <f>IF(A407&gt;$B$1,VLOOKUP(MONTH($A407),DOTWMonth,2,FALSE),"")</f>
        <v>March</v>
      </c>
      <c r="C407" s="10" t="str">
        <f>IF(A407&gt;$B$1,VLOOKUP(WEEKDAY($A407),DOTWMonth,3,FALSE),"")</f>
        <v>Saturday</v>
      </c>
      <c r="D407" s="7">
        <f>IF('[1]Game Input'!$B407&lt;&gt;"",'[1]Game Input'!$B407,"")</f>
        <v>0.83680555555555547</v>
      </c>
      <c r="E407" s="7">
        <f>IF('[1]Game Input'!$C407&lt;&gt;"",'[1]Game Input'!$C407,"")</f>
        <v>0.79513888888888884</v>
      </c>
      <c r="F407" s="8" t="str">
        <f>IF('[1]Game Input'!$D407&lt;&gt;"",'[1]Game Input'!$D407,"")</f>
        <v>Standard</v>
      </c>
      <c r="G407" s="8" t="str">
        <f>IF('[1]Game Input'!$G407&lt;&gt;"",'[1]Game Input'!$G407,"")</f>
        <v>USA @ MAD</v>
      </c>
      <c r="H407" s="8" t="str">
        <f>IF('[1]Game Input'!$H407&lt;&gt;"",'[1]Game Input'!$H407,"")</f>
        <v>Vs. Conference</v>
      </c>
      <c r="I407" s="8" t="str">
        <f>IF('[1]Game Input'!$I407&lt;&gt;"",'[1]Game Input'!$I407,"")</f>
        <v>TEAM USA</v>
      </c>
      <c r="J407" s="9">
        <f>IF('[1]Game Input'!$AC407&lt;&gt;"",'[1]Game Input'!$AC407,"")</f>
        <v>0</v>
      </c>
      <c r="K407" s="9">
        <f>IF('[1]Game Input'!$AD407&lt;&gt;"",'[1]Game Input'!$AD407,"")</f>
        <v>0</v>
      </c>
      <c r="L407" s="9">
        <f>IF('[1]Game Input'!$AJ407&lt;&gt;"",'[1]Game Input'!$AJ407,"")</f>
        <v>0</v>
      </c>
      <c r="M407" s="9">
        <f>IF('[1]Game Input'!$AK407&lt;&gt;"",'[1]Game Input'!$AK407,"")</f>
        <v>0</v>
      </c>
      <c r="N407" s="9">
        <f>IF('[1]Game Input'!$AN407&lt;&gt;"",'[1]Game Input'!$AN407,"")</f>
        <v>0</v>
      </c>
      <c r="O407" s="9">
        <f>IF('[1]Game Input'!$AO407&lt;&gt;"",'[1]Game Input'!$AO407,"")</f>
        <v>0</v>
      </c>
      <c r="P407" s="9">
        <f>IF('[1]Game Input'!$AP407&lt;&gt;"",'[1]Game Input'!$AP407,"")</f>
        <v>0</v>
      </c>
      <c r="Q407" s="9">
        <f>IF('[1]Game Input'!$AQ407&lt;&gt;"",'[1]Game Input'!$AQ407,"")</f>
        <v>0</v>
      </c>
      <c r="R407" s="9">
        <f>IF('[1]Game Input'!$AR407&lt;&gt;"",'[1]Game Input'!$AR407,"")</f>
        <v>0</v>
      </c>
      <c r="S407" s="9">
        <f>IF('[1]Game Input'!$AS407&lt;&gt;"",'[1]Game Input'!$AS407,"")</f>
        <v>0</v>
      </c>
      <c r="T407" s="10" t="str">
        <f>IF('[1]Game Input'!$BA407&lt;&gt;"",'[1]Game Input'!$BA407,"")</f>
        <v>MADISON</v>
      </c>
      <c r="U407" s="9">
        <f>IF('[1]Game Input'!$BU407&lt;&gt;"",'[1]Game Input'!$BU407,"")</f>
        <v>8</v>
      </c>
      <c r="V407" s="9">
        <f>IF('[1]Game Input'!$BV407&lt;&gt;"",'[1]Game Input'!$BV407,"")</f>
        <v>4</v>
      </c>
      <c r="W407" s="9">
        <f>IF('[1]Game Input'!$CB407&lt;&gt;"",'[1]Game Input'!$CB407,"")</f>
        <v>0</v>
      </c>
      <c r="X407" s="9">
        <f>IF('[1]Game Input'!$CC407&lt;&gt;"",'[1]Game Input'!$CC407,"")</f>
        <v>0</v>
      </c>
      <c r="Y407" s="9">
        <f>IF('[1]Game Input'!$CF407&lt;&gt;"",'[1]Game Input'!$CF407,"")</f>
        <v>4</v>
      </c>
      <c r="Z407" s="9">
        <f>IF('[1]Game Input'!$CG407&lt;&gt;"",'[1]Game Input'!$CG407,"")</f>
        <v>0</v>
      </c>
      <c r="AA407" s="9">
        <f>IF('[1]Game Input'!$CH407&lt;&gt;"",'[1]Game Input'!$CH407,"")</f>
        <v>0</v>
      </c>
      <c r="AB407" s="9">
        <f>IF('[1]Game Input'!$CI407&lt;&gt;"",'[1]Game Input'!$CI407,"")</f>
        <v>0</v>
      </c>
      <c r="AC407" s="9">
        <f>IF('[1]Game Input'!$CJ407&lt;&gt;"",'[1]Game Input'!$CJ407,"")</f>
        <v>0</v>
      </c>
      <c r="AD407" s="9">
        <f>IF('[1]Game Input'!$CK407&lt;&gt;"",'[1]Game Input'!$CK407,"")</f>
        <v>0</v>
      </c>
      <c r="AE407" s="8"/>
      <c r="AF407" s="8"/>
      <c r="AG407" s="8"/>
      <c r="AH407" s="8"/>
    </row>
    <row r="408" spans="1:34" x14ac:dyDescent="0.2">
      <c r="A408" s="6">
        <f>IF('[1]Game Input'!$A408&lt;&gt;"",'[1]Game Input'!$A408,"")</f>
        <v>43526</v>
      </c>
      <c r="B408" s="6" t="str">
        <f>IF(A408&gt;$B$1,VLOOKUP(MONTH($A408),DOTWMonth,2,FALSE),"")</f>
        <v>March</v>
      </c>
      <c r="C408" s="10" t="str">
        <f>IF(A408&gt;$B$1,VLOOKUP(WEEKDAY($A408),DOTWMonth,3,FALSE),"")</f>
        <v>Saturday</v>
      </c>
      <c r="D408" s="7">
        <f>IF('[1]Game Input'!$B408&lt;&gt;"",'[1]Game Input'!$B408,"")</f>
        <v>0.83680555555555547</v>
      </c>
      <c r="E408" s="7">
        <f>IF('[1]Game Input'!$C408&lt;&gt;"",'[1]Game Input'!$C408,"")</f>
        <v>0.79513888888888884</v>
      </c>
      <c r="F408" s="8" t="str">
        <f>IF('[1]Game Input'!$D408&lt;&gt;"",'[1]Game Input'!$D408,"")</f>
        <v>Standard</v>
      </c>
      <c r="G408" s="8" t="str">
        <f>IF('[1]Game Input'!$G408&lt;&gt;"",'[1]Game Input'!$G408,"")</f>
        <v>TC @ SF</v>
      </c>
      <c r="H408" s="8" t="str">
        <f>IF('[1]Game Input'!$H408&lt;&gt;"",'[1]Game Input'!$H408,"")</f>
        <v>Vs. Conference</v>
      </c>
      <c r="I408" s="8" t="str">
        <f>IF('[1]Game Input'!$I408&lt;&gt;"",'[1]Game Input'!$I408,"")</f>
        <v>TRI-CITY</v>
      </c>
      <c r="J408" s="9">
        <f>IF('[1]Game Input'!$AC408&lt;&gt;"",'[1]Game Input'!$AC408,"")</f>
        <v>6</v>
      </c>
      <c r="K408" s="9">
        <f>IF('[1]Game Input'!$AD408&lt;&gt;"",'[1]Game Input'!$AD408,"")</f>
        <v>3</v>
      </c>
      <c r="L408" s="9">
        <f>IF('[1]Game Input'!$AJ408&lt;&gt;"",'[1]Game Input'!$AJ408,"")</f>
        <v>0</v>
      </c>
      <c r="M408" s="9">
        <f>IF('[1]Game Input'!$AK408&lt;&gt;"",'[1]Game Input'!$AK408,"")</f>
        <v>0</v>
      </c>
      <c r="N408" s="9">
        <f>IF('[1]Game Input'!$AN408&lt;&gt;"",'[1]Game Input'!$AN408,"")</f>
        <v>3</v>
      </c>
      <c r="O408" s="9">
        <f>IF('[1]Game Input'!$AO408&lt;&gt;"",'[1]Game Input'!$AO408,"")</f>
        <v>0</v>
      </c>
      <c r="P408" s="9">
        <f>IF('[1]Game Input'!$AP408&lt;&gt;"",'[1]Game Input'!$AP408,"")</f>
        <v>0</v>
      </c>
      <c r="Q408" s="9">
        <f>IF('[1]Game Input'!$AQ408&lt;&gt;"",'[1]Game Input'!$AQ408,"")</f>
        <v>0</v>
      </c>
      <c r="R408" s="9">
        <f>IF('[1]Game Input'!$AR408&lt;&gt;"",'[1]Game Input'!$AR408,"")</f>
        <v>0</v>
      </c>
      <c r="S408" s="9">
        <f>IF('[1]Game Input'!$AS408&lt;&gt;"",'[1]Game Input'!$AS408,"")</f>
        <v>0</v>
      </c>
      <c r="T408" s="10" t="str">
        <f>IF('[1]Game Input'!$BA408&lt;&gt;"",'[1]Game Input'!$BA408,"")</f>
        <v>SIOUX FALLS</v>
      </c>
      <c r="U408" s="9">
        <f>IF('[1]Game Input'!$BU408&lt;&gt;"",'[1]Game Input'!$BU408,"")</f>
        <v>8</v>
      </c>
      <c r="V408" s="9">
        <f>IF('[1]Game Input'!$BV408&lt;&gt;"",'[1]Game Input'!$BV408,"")</f>
        <v>4</v>
      </c>
      <c r="W408" s="9">
        <f>IF('[1]Game Input'!$CB408&lt;&gt;"",'[1]Game Input'!$CB408,"")</f>
        <v>0</v>
      </c>
      <c r="X408" s="9">
        <f>IF('[1]Game Input'!$CC408&lt;&gt;"",'[1]Game Input'!$CC408,"")</f>
        <v>0</v>
      </c>
      <c r="Y408" s="9">
        <f>IF('[1]Game Input'!$CF408&lt;&gt;"",'[1]Game Input'!$CF408,"")</f>
        <v>4</v>
      </c>
      <c r="Z408" s="9">
        <f>IF('[1]Game Input'!$CG408&lt;&gt;"",'[1]Game Input'!$CG408,"")</f>
        <v>0</v>
      </c>
      <c r="AA408" s="9">
        <f>IF('[1]Game Input'!$CH408&lt;&gt;"",'[1]Game Input'!$CH408,"")</f>
        <v>0</v>
      </c>
      <c r="AB408" s="9">
        <f>IF('[1]Game Input'!$CI408&lt;&gt;"",'[1]Game Input'!$CI408,"")</f>
        <v>0</v>
      </c>
      <c r="AC408" s="9">
        <f>IF('[1]Game Input'!$CJ408&lt;&gt;"",'[1]Game Input'!$CJ408,"")</f>
        <v>0</v>
      </c>
      <c r="AD408" s="9">
        <f>IF('[1]Game Input'!$CK408&lt;&gt;"",'[1]Game Input'!$CK408,"")</f>
        <v>0</v>
      </c>
      <c r="AE408" s="8"/>
      <c r="AF408" s="8"/>
      <c r="AG408" s="8"/>
      <c r="AH408" s="8"/>
    </row>
    <row r="409" spans="1:34" x14ac:dyDescent="0.2">
      <c r="A409" s="6">
        <f>IF('[1]Game Input'!$A409&lt;&gt;"",'[1]Game Input'!$A409,"")</f>
        <v>43526</v>
      </c>
      <c r="B409" s="6" t="str">
        <f>IF(A409&gt;$B$1,VLOOKUP(MONTH($A409),DOTWMonth,2,FALSE),"")</f>
        <v>March</v>
      </c>
      <c r="C409" s="10" t="str">
        <f>IF(A409&gt;$B$1,VLOOKUP(WEEKDAY($A409),DOTWMonth,3,FALSE),"")</f>
        <v>Saturday</v>
      </c>
      <c r="D409" s="7">
        <f>IF('[1]Game Input'!$B409&lt;&gt;"",'[1]Game Input'!$B409,"")</f>
        <v>0.83680555555555547</v>
      </c>
      <c r="E409" s="7">
        <f>IF('[1]Game Input'!$C409&lt;&gt;"",'[1]Game Input'!$C409,"")</f>
        <v>0.79513888888888884</v>
      </c>
      <c r="F409" s="8" t="str">
        <f>IF('[1]Game Input'!$D409&lt;&gt;"",'[1]Game Input'!$D409,"")</f>
        <v>Standard</v>
      </c>
      <c r="G409" s="8" t="str">
        <f>IF('[1]Game Input'!$G409&lt;&gt;"",'[1]Game Input'!$G409,"")</f>
        <v>DM @ CR</v>
      </c>
      <c r="H409" s="8" t="str">
        <f>IF('[1]Game Input'!$H409&lt;&gt;"",'[1]Game Input'!$H409,"")</f>
        <v>Vs. Non-Conference</v>
      </c>
      <c r="I409" s="8" t="str">
        <f>IF('[1]Game Input'!$I409&lt;&gt;"",'[1]Game Input'!$I409,"")</f>
        <v>DES MOINES</v>
      </c>
      <c r="J409" s="9">
        <f>IF('[1]Game Input'!$AC409&lt;&gt;"",'[1]Game Input'!$AC409,"")</f>
        <v>4</v>
      </c>
      <c r="K409" s="9">
        <f>IF('[1]Game Input'!$AD409&lt;&gt;"",'[1]Game Input'!$AD409,"")</f>
        <v>2</v>
      </c>
      <c r="L409" s="9">
        <f>IF('[1]Game Input'!$AJ409&lt;&gt;"",'[1]Game Input'!$AJ409,"")</f>
        <v>0</v>
      </c>
      <c r="M409" s="9">
        <f>IF('[1]Game Input'!$AK409&lt;&gt;"",'[1]Game Input'!$AK409,"")</f>
        <v>0</v>
      </c>
      <c r="N409" s="9">
        <f>IF('[1]Game Input'!$AN409&lt;&gt;"",'[1]Game Input'!$AN409,"")</f>
        <v>2</v>
      </c>
      <c r="O409" s="9">
        <f>IF('[1]Game Input'!$AO409&lt;&gt;"",'[1]Game Input'!$AO409,"")</f>
        <v>0</v>
      </c>
      <c r="P409" s="9">
        <f>IF('[1]Game Input'!$AP409&lt;&gt;"",'[1]Game Input'!$AP409,"")</f>
        <v>0</v>
      </c>
      <c r="Q409" s="9">
        <f>IF('[1]Game Input'!$AQ409&lt;&gt;"",'[1]Game Input'!$AQ409,"")</f>
        <v>0</v>
      </c>
      <c r="R409" s="9">
        <f>IF('[1]Game Input'!$AR409&lt;&gt;"",'[1]Game Input'!$AR409,"")</f>
        <v>0</v>
      </c>
      <c r="S409" s="9">
        <f>IF('[1]Game Input'!$AS409&lt;&gt;"",'[1]Game Input'!$AS409,"")</f>
        <v>0</v>
      </c>
      <c r="T409" s="10" t="str">
        <f>IF('[1]Game Input'!$BA409&lt;&gt;"",'[1]Game Input'!$BA409,"")</f>
        <v>CEDAR RAPIDS</v>
      </c>
      <c r="U409" s="9">
        <f>IF('[1]Game Input'!$BU409&lt;&gt;"",'[1]Game Input'!$BU409,"")</f>
        <v>4</v>
      </c>
      <c r="V409" s="9">
        <f>IF('[1]Game Input'!$BV409&lt;&gt;"",'[1]Game Input'!$BV409,"")</f>
        <v>2</v>
      </c>
      <c r="W409" s="9">
        <f>IF('[1]Game Input'!$CB409&lt;&gt;"",'[1]Game Input'!$CB409,"")</f>
        <v>0</v>
      </c>
      <c r="X409" s="9">
        <f>IF('[1]Game Input'!$CC409&lt;&gt;"",'[1]Game Input'!$CC409,"")</f>
        <v>0</v>
      </c>
      <c r="Y409" s="9">
        <f>IF('[1]Game Input'!$CF409&lt;&gt;"",'[1]Game Input'!$CF409,"")</f>
        <v>2</v>
      </c>
      <c r="Z409" s="9">
        <f>IF('[1]Game Input'!$CG409&lt;&gt;"",'[1]Game Input'!$CG409,"")</f>
        <v>0</v>
      </c>
      <c r="AA409" s="9">
        <f>IF('[1]Game Input'!$CH409&lt;&gt;"",'[1]Game Input'!$CH409,"")</f>
        <v>0</v>
      </c>
      <c r="AB409" s="9">
        <f>IF('[1]Game Input'!$CI409&lt;&gt;"",'[1]Game Input'!$CI409,"")</f>
        <v>0</v>
      </c>
      <c r="AC409" s="9">
        <f>IF('[1]Game Input'!$CJ409&lt;&gt;"",'[1]Game Input'!$CJ409,"")</f>
        <v>0</v>
      </c>
      <c r="AD409" s="9">
        <f>IF('[1]Game Input'!$CK409&lt;&gt;"",'[1]Game Input'!$CK409,"")</f>
        <v>0</v>
      </c>
      <c r="AE409" s="8" t="s">
        <v>90</v>
      </c>
      <c r="AF409" s="8"/>
      <c r="AG409" s="8" t="s">
        <v>122</v>
      </c>
      <c r="AH409" s="8" t="s">
        <v>113</v>
      </c>
    </row>
    <row r="410" spans="1:34" x14ac:dyDescent="0.2">
      <c r="A410" s="6">
        <f>IF('[1]Game Input'!$A410&lt;&gt;"",'[1]Game Input'!$A410,"")</f>
        <v>43526</v>
      </c>
      <c r="B410" s="6" t="str">
        <f>IF(A410&gt;$B$1,VLOOKUP(MONTH($A410),DOTWMonth,2,FALSE),"")</f>
        <v>March</v>
      </c>
      <c r="C410" s="10" t="str">
        <f>IF(A410&gt;$B$1,VLOOKUP(WEEKDAY($A410),DOTWMonth,3,FALSE),"")</f>
        <v>Saturday</v>
      </c>
      <c r="D410" s="7">
        <f>IF('[1]Game Input'!$B410&lt;&gt;"",'[1]Game Input'!$B410,"")</f>
        <v>0.83680555555555547</v>
      </c>
      <c r="E410" s="7">
        <f>IF('[1]Game Input'!$C410&lt;&gt;"",'[1]Game Input'!$C410,"")</f>
        <v>0.79513888888888884</v>
      </c>
      <c r="F410" s="8" t="str">
        <f>IF('[1]Game Input'!$D410&lt;&gt;"",'[1]Game Input'!$D410,"")</f>
        <v>Standard</v>
      </c>
      <c r="G410" s="8" t="str">
        <f>IF('[1]Game Input'!$G410&lt;&gt;"",'[1]Game Input'!$G410,"")</f>
        <v>USA @ SC</v>
      </c>
      <c r="H410" s="8" t="str">
        <f>IF('[1]Game Input'!$H410&lt;&gt;"",'[1]Game Input'!$H410,"")</f>
        <v>Vs. Non-Conference</v>
      </c>
      <c r="I410" s="8" t="str">
        <f>IF('[1]Game Input'!$I410&lt;&gt;"",'[1]Game Input'!$I410,"")</f>
        <v>TEAM USA</v>
      </c>
      <c r="J410" s="9">
        <f>IF('[1]Game Input'!$AC410&lt;&gt;"",'[1]Game Input'!$AC410,"")</f>
        <v>23</v>
      </c>
      <c r="K410" s="9">
        <f>IF('[1]Game Input'!$AD410&lt;&gt;"",'[1]Game Input'!$AD410,"")</f>
        <v>6</v>
      </c>
      <c r="L410" s="9">
        <f>IF('[1]Game Input'!$AJ410&lt;&gt;"",'[1]Game Input'!$AJ410,"")</f>
        <v>0</v>
      </c>
      <c r="M410" s="9">
        <f>IF('[1]Game Input'!$AK410&lt;&gt;"",'[1]Game Input'!$AK410,"")</f>
        <v>0</v>
      </c>
      <c r="N410" s="9">
        <f>IF('[1]Game Input'!$AN410&lt;&gt;"",'[1]Game Input'!$AN410,"")</f>
        <v>4</v>
      </c>
      <c r="O410" s="9">
        <f>IF('[1]Game Input'!$AO410&lt;&gt;"",'[1]Game Input'!$AO410,"")</f>
        <v>1</v>
      </c>
      <c r="P410" s="9">
        <f>IF('[1]Game Input'!$AP410&lt;&gt;"",'[1]Game Input'!$AP410,"")</f>
        <v>0</v>
      </c>
      <c r="Q410" s="9">
        <f>IF('[1]Game Input'!$AQ410&lt;&gt;"",'[1]Game Input'!$AQ410,"")</f>
        <v>1</v>
      </c>
      <c r="R410" s="9">
        <f>IF('[1]Game Input'!$AR410&lt;&gt;"",'[1]Game Input'!$AR410,"")</f>
        <v>0</v>
      </c>
      <c r="S410" s="9">
        <f>IF('[1]Game Input'!$AS410&lt;&gt;"",'[1]Game Input'!$AS410,"")</f>
        <v>0</v>
      </c>
      <c r="T410" s="10" t="str">
        <f>IF('[1]Game Input'!$BA410&lt;&gt;"",'[1]Game Input'!$BA410,"")</f>
        <v>SIOUX CITY</v>
      </c>
      <c r="U410" s="9">
        <f>IF('[1]Game Input'!$BU410&lt;&gt;"",'[1]Game Input'!$BU410,"")</f>
        <v>4</v>
      </c>
      <c r="V410" s="9">
        <f>IF('[1]Game Input'!$BV410&lt;&gt;"",'[1]Game Input'!$BV410,"")</f>
        <v>2</v>
      </c>
      <c r="W410" s="9">
        <f>IF('[1]Game Input'!$CB410&lt;&gt;"",'[1]Game Input'!$CB410,"")</f>
        <v>0</v>
      </c>
      <c r="X410" s="9">
        <f>IF('[1]Game Input'!$CC410&lt;&gt;"",'[1]Game Input'!$CC410,"")</f>
        <v>0</v>
      </c>
      <c r="Y410" s="9">
        <f>IF('[1]Game Input'!$CF410&lt;&gt;"",'[1]Game Input'!$CF410,"")</f>
        <v>2</v>
      </c>
      <c r="Z410" s="9">
        <f>IF('[1]Game Input'!$CG410&lt;&gt;"",'[1]Game Input'!$CG410,"")</f>
        <v>0</v>
      </c>
      <c r="AA410" s="9">
        <f>IF('[1]Game Input'!$CH410&lt;&gt;"",'[1]Game Input'!$CH410,"")</f>
        <v>0</v>
      </c>
      <c r="AB410" s="9">
        <f>IF('[1]Game Input'!$CI410&lt;&gt;"",'[1]Game Input'!$CI410,"")</f>
        <v>0</v>
      </c>
      <c r="AC410" s="9">
        <f>IF('[1]Game Input'!$CJ410&lt;&gt;"",'[1]Game Input'!$CJ410,"")</f>
        <v>0</v>
      </c>
      <c r="AD410" s="9">
        <f>IF('[1]Game Input'!$CK410&lt;&gt;"",'[1]Game Input'!$CK410,"")</f>
        <v>0</v>
      </c>
      <c r="AE410" s="8"/>
      <c r="AF410" s="8"/>
      <c r="AG410" s="8"/>
      <c r="AH410" s="8"/>
    </row>
    <row r="411" spans="1:34" x14ac:dyDescent="0.2">
      <c r="A411" s="6">
        <f>IF('[1]Game Input'!$A411&lt;&gt;"",'[1]Game Input'!$A411,"")</f>
        <v>43527</v>
      </c>
      <c r="B411" s="6" t="str">
        <f>IF(A411&gt;$B$1,VLOOKUP(MONTH($A411),DOTWMonth,2,FALSE),"")</f>
        <v>March</v>
      </c>
      <c r="C411" s="10" t="str">
        <f>IF(A411&gt;$B$1,VLOOKUP(WEEKDAY($A411),DOTWMonth,3,FALSE),"")</f>
        <v>Sunday</v>
      </c>
      <c r="D411" s="7">
        <f>IF('[1]Game Input'!$B411&lt;&gt;"",'[1]Game Input'!$B411,"")</f>
        <v>0.66666666666666663</v>
      </c>
      <c r="E411" s="7">
        <f>IF('[1]Game Input'!$C411&lt;&gt;"",'[1]Game Input'!$C411,"")</f>
        <v>0.625</v>
      </c>
      <c r="F411" s="8" t="str">
        <f>IF('[1]Game Input'!$D411&lt;&gt;"",'[1]Game Input'!$D411,"")</f>
        <v>Standard</v>
      </c>
      <c r="G411" s="8" t="str">
        <f>IF('[1]Game Input'!$G411&lt;&gt;"",'[1]Game Input'!$G411,"")</f>
        <v>SF @ SC</v>
      </c>
      <c r="H411" s="8" t="str">
        <f>IF('[1]Game Input'!$H411&lt;&gt;"",'[1]Game Input'!$H411,"")</f>
        <v>Vs. Conference</v>
      </c>
      <c r="I411" s="8" t="str">
        <f>IF('[1]Game Input'!$I411&lt;&gt;"",'[1]Game Input'!$I411,"")</f>
        <v>SIOUX FALLS</v>
      </c>
      <c r="J411" s="9">
        <f>IF('[1]Game Input'!$AC411&lt;&gt;"",'[1]Game Input'!$AC411,"")</f>
        <v>6</v>
      </c>
      <c r="K411" s="9">
        <f>IF('[1]Game Input'!$AD411&lt;&gt;"",'[1]Game Input'!$AD411,"")</f>
        <v>3</v>
      </c>
      <c r="L411" s="9">
        <f>IF('[1]Game Input'!$AJ411&lt;&gt;"",'[1]Game Input'!$AJ411,"")</f>
        <v>0</v>
      </c>
      <c r="M411" s="9">
        <f>IF('[1]Game Input'!$AK411&lt;&gt;"",'[1]Game Input'!$AK411,"")</f>
        <v>0</v>
      </c>
      <c r="N411" s="9">
        <f>IF('[1]Game Input'!$AN411&lt;&gt;"",'[1]Game Input'!$AN411,"")</f>
        <v>3</v>
      </c>
      <c r="O411" s="9">
        <f>IF('[1]Game Input'!$AO411&lt;&gt;"",'[1]Game Input'!$AO411,"")</f>
        <v>0</v>
      </c>
      <c r="P411" s="9">
        <f>IF('[1]Game Input'!$AP411&lt;&gt;"",'[1]Game Input'!$AP411,"")</f>
        <v>0</v>
      </c>
      <c r="Q411" s="9">
        <f>IF('[1]Game Input'!$AQ411&lt;&gt;"",'[1]Game Input'!$AQ411,"")</f>
        <v>0</v>
      </c>
      <c r="R411" s="9">
        <f>IF('[1]Game Input'!$AR411&lt;&gt;"",'[1]Game Input'!$AR411,"")</f>
        <v>0</v>
      </c>
      <c r="S411" s="9">
        <f>IF('[1]Game Input'!$AS411&lt;&gt;"",'[1]Game Input'!$AS411,"")</f>
        <v>0</v>
      </c>
      <c r="T411" s="10" t="str">
        <f>IF('[1]Game Input'!$BA411&lt;&gt;"",'[1]Game Input'!$BA411,"")</f>
        <v>SIOUX CITY</v>
      </c>
      <c r="U411" s="9">
        <f>IF('[1]Game Input'!$BU411&lt;&gt;"",'[1]Game Input'!$BU411,"")</f>
        <v>12</v>
      </c>
      <c r="V411" s="9">
        <f>IF('[1]Game Input'!$BV411&lt;&gt;"",'[1]Game Input'!$BV411,"")</f>
        <v>6</v>
      </c>
      <c r="W411" s="9">
        <f>IF('[1]Game Input'!$CB411&lt;&gt;"",'[1]Game Input'!$CB411,"")</f>
        <v>0</v>
      </c>
      <c r="X411" s="9">
        <f>IF('[1]Game Input'!$CC411&lt;&gt;"",'[1]Game Input'!$CC411,"")</f>
        <v>0</v>
      </c>
      <c r="Y411" s="9">
        <f>IF('[1]Game Input'!$CF411&lt;&gt;"",'[1]Game Input'!$CF411,"")</f>
        <v>6</v>
      </c>
      <c r="Z411" s="9">
        <f>IF('[1]Game Input'!$CG411&lt;&gt;"",'[1]Game Input'!$CG411,"")</f>
        <v>0</v>
      </c>
      <c r="AA411" s="9">
        <f>IF('[1]Game Input'!$CH411&lt;&gt;"",'[1]Game Input'!$CH411,"")</f>
        <v>0</v>
      </c>
      <c r="AB411" s="9">
        <f>IF('[1]Game Input'!$CI411&lt;&gt;"",'[1]Game Input'!$CI411,"")</f>
        <v>0</v>
      </c>
      <c r="AC411" s="9">
        <f>IF('[1]Game Input'!$CJ411&lt;&gt;"",'[1]Game Input'!$CJ411,"")</f>
        <v>0</v>
      </c>
      <c r="AD411" s="9">
        <f>IF('[1]Game Input'!$CK411&lt;&gt;"",'[1]Game Input'!$CK411,"")</f>
        <v>0</v>
      </c>
      <c r="AE411" s="8"/>
      <c r="AF411" s="8"/>
      <c r="AG411" s="8"/>
      <c r="AH411" s="8"/>
    </row>
    <row r="412" spans="1:34" x14ac:dyDescent="0.2">
      <c r="A412" s="6">
        <f>IF('[1]Game Input'!$A412&lt;&gt;"",'[1]Game Input'!$A412,"")</f>
        <v>43527</v>
      </c>
      <c r="B412" s="6" t="str">
        <f>IF(A412&gt;$B$1,VLOOKUP(MONTH($A412),DOTWMonth,2,FALSE),"")</f>
        <v>March</v>
      </c>
      <c r="C412" s="10" t="str">
        <f>IF(A412&gt;$B$1,VLOOKUP(WEEKDAY($A412),DOTWMonth,3,FALSE),"")</f>
        <v>Sunday</v>
      </c>
      <c r="D412" s="7">
        <f>IF('[1]Game Input'!$B412&lt;&gt;"",'[1]Game Input'!$B412,"")</f>
        <v>0.67013888888888884</v>
      </c>
      <c r="E412" s="7">
        <f>IF('[1]Game Input'!$C412&lt;&gt;"",'[1]Game Input'!$C412,"")</f>
        <v>0.62847222222222221</v>
      </c>
      <c r="F412" s="8" t="str">
        <f>IF('[1]Game Input'!$D412&lt;&gt;"",'[1]Game Input'!$D412,"")</f>
        <v>Standard</v>
      </c>
      <c r="G412" s="8" t="str">
        <f>IF('[1]Game Input'!$G412&lt;&gt;"",'[1]Game Input'!$G412,"")</f>
        <v>CIL @ GB</v>
      </c>
      <c r="H412" s="8" t="str">
        <f>IF('[1]Game Input'!$H412&lt;&gt;"",'[1]Game Input'!$H412,"")</f>
        <v>Vs. Conference</v>
      </c>
      <c r="I412" s="8" t="str">
        <f>IF('[1]Game Input'!$I412&lt;&gt;"",'[1]Game Input'!$I412,"")</f>
        <v>CENTRAL ILLINOIS</v>
      </c>
      <c r="J412" s="9">
        <f>IF('[1]Game Input'!$AC412&lt;&gt;"",'[1]Game Input'!$AC412,"")</f>
        <v>4</v>
      </c>
      <c r="K412" s="9">
        <f>IF('[1]Game Input'!$AD412&lt;&gt;"",'[1]Game Input'!$AD412,"")</f>
        <v>2</v>
      </c>
      <c r="L412" s="9">
        <f>IF('[1]Game Input'!$AJ412&lt;&gt;"",'[1]Game Input'!$AJ412,"")</f>
        <v>0</v>
      </c>
      <c r="M412" s="9">
        <f>IF('[1]Game Input'!$AK412&lt;&gt;"",'[1]Game Input'!$AK412,"")</f>
        <v>0</v>
      </c>
      <c r="N412" s="9">
        <f>IF('[1]Game Input'!$AN412&lt;&gt;"",'[1]Game Input'!$AN412,"")</f>
        <v>2</v>
      </c>
      <c r="O412" s="9">
        <f>IF('[1]Game Input'!$AO412&lt;&gt;"",'[1]Game Input'!$AO412,"")</f>
        <v>0</v>
      </c>
      <c r="P412" s="9">
        <f>IF('[1]Game Input'!$AP412&lt;&gt;"",'[1]Game Input'!$AP412,"")</f>
        <v>0</v>
      </c>
      <c r="Q412" s="9">
        <f>IF('[1]Game Input'!$AQ412&lt;&gt;"",'[1]Game Input'!$AQ412,"")</f>
        <v>0</v>
      </c>
      <c r="R412" s="9">
        <f>IF('[1]Game Input'!$AR412&lt;&gt;"",'[1]Game Input'!$AR412,"")</f>
        <v>0</v>
      </c>
      <c r="S412" s="9">
        <f>IF('[1]Game Input'!$AS412&lt;&gt;"",'[1]Game Input'!$AS412,"")</f>
        <v>0</v>
      </c>
      <c r="T412" s="10" t="str">
        <f>IF('[1]Game Input'!$BA412&lt;&gt;"",'[1]Game Input'!$BA412,"")</f>
        <v>GREEN BAY</v>
      </c>
      <c r="U412" s="9">
        <f>IF('[1]Game Input'!$BU412&lt;&gt;"",'[1]Game Input'!$BU412,"")</f>
        <v>2</v>
      </c>
      <c r="V412" s="9">
        <f>IF('[1]Game Input'!$BV412&lt;&gt;"",'[1]Game Input'!$BV412,"")</f>
        <v>1</v>
      </c>
      <c r="W412" s="9">
        <f>IF('[1]Game Input'!$CB412&lt;&gt;"",'[1]Game Input'!$CB412,"")</f>
        <v>0</v>
      </c>
      <c r="X412" s="9">
        <f>IF('[1]Game Input'!$CC412&lt;&gt;"",'[1]Game Input'!$CC412,"")</f>
        <v>0</v>
      </c>
      <c r="Y412" s="9">
        <f>IF('[1]Game Input'!$CF412&lt;&gt;"",'[1]Game Input'!$CF412,"")</f>
        <v>1</v>
      </c>
      <c r="Z412" s="9">
        <f>IF('[1]Game Input'!$CG412&lt;&gt;"",'[1]Game Input'!$CG412,"")</f>
        <v>0</v>
      </c>
      <c r="AA412" s="9">
        <f>IF('[1]Game Input'!$CH412&lt;&gt;"",'[1]Game Input'!$CH412,"")</f>
        <v>0</v>
      </c>
      <c r="AB412" s="9">
        <f>IF('[1]Game Input'!$CI412&lt;&gt;"",'[1]Game Input'!$CI412,"")</f>
        <v>0</v>
      </c>
      <c r="AC412" s="9">
        <f>IF('[1]Game Input'!$CJ412&lt;&gt;"",'[1]Game Input'!$CJ412,"")</f>
        <v>0</v>
      </c>
      <c r="AD412" s="9">
        <f>IF('[1]Game Input'!$CK412&lt;&gt;"",'[1]Game Input'!$CK412,"")</f>
        <v>0</v>
      </c>
      <c r="AE412" s="8" t="s">
        <v>97</v>
      </c>
      <c r="AF412" s="8" t="s">
        <v>104</v>
      </c>
      <c r="AG412" s="8" t="s">
        <v>160</v>
      </c>
      <c r="AH412" s="8" t="s">
        <v>141</v>
      </c>
    </row>
    <row r="413" spans="1:34" x14ac:dyDescent="0.2">
      <c r="A413" s="6">
        <f>IF('[1]Game Input'!$A413&lt;&gt;"",'[1]Game Input'!$A413,"")</f>
        <v>43527</v>
      </c>
      <c r="B413" s="6" t="str">
        <f>IF(A413&gt;$B$1,VLOOKUP(MONTH($A413),DOTWMonth,2,FALSE),"")</f>
        <v>March</v>
      </c>
      <c r="C413" s="10" t="str">
        <f>IF(A413&gt;$B$1,VLOOKUP(WEEKDAY($A413),DOTWMonth,3,FALSE),"")</f>
        <v>Sunday</v>
      </c>
      <c r="D413" s="7">
        <f>IF('[1]Game Input'!$B413&lt;&gt;"",'[1]Game Input'!$B413,"")</f>
        <v>0.70833333333333337</v>
      </c>
      <c r="E413" s="7">
        <f>IF('[1]Game Input'!$C413&lt;&gt;"",'[1]Game Input'!$C413,"")</f>
        <v>0.66666666666666674</v>
      </c>
      <c r="F413" s="8" t="str">
        <f>IF('[1]Game Input'!$D413&lt;&gt;"",'[1]Game Input'!$D413,"")</f>
        <v>Standard</v>
      </c>
      <c r="G413" s="8" t="str">
        <f>IF('[1]Game Input'!$G413&lt;&gt;"",'[1]Game Input'!$G413,"")</f>
        <v>MUS @ YNG</v>
      </c>
      <c r="H413" s="8" t="str">
        <f>IF('[1]Game Input'!$H413&lt;&gt;"",'[1]Game Input'!$H413,"")</f>
        <v>Vs. Conference</v>
      </c>
      <c r="I413" s="8" t="str">
        <f>IF('[1]Game Input'!$I413&lt;&gt;"",'[1]Game Input'!$I413,"")</f>
        <v>MUSKEGON</v>
      </c>
      <c r="J413" s="9">
        <f>IF('[1]Game Input'!$AC413&lt;&gt;"",'[1]Game Input'!$AC413,"")</f>
        <v>24</v>
      </c>
      <c r="K413" s="9">
        <f>IF('[1]Game Input'!$AD413&lt;&gt;"",'[1]Game Input'!$AD413,"")</f>
        <v>8</v>
      </c>
      <c r="L413" s="9">
        <f>IF('[1]Game Input'!$AJ413&lt;&gt;"",'[1]Game Input'!$AJ413,"")</f>
        <v>0</v>
      </c>
      <c r="M413" s="9">
        <f>IF('[1]Game Input'!$AK413&lt;&gt;"",'[1]Game Input'!$AK413,"")</f>
        <v>0</v>
      </c>
      <c r="N413" s="9">
        <f>IF('[1]Game Input'!$AN413&lt;&gt;"",'[1]Game Input'!$AN413,"")</f>
        <v>7</v>
      </c>
      <c r="O413" s="9">
        <f>IF('[1]Game Input'!$AO413&lt;&gt;"",'[1]Game Input'!$AO413,"")</f>
        <v>0</v>
      </c>
      <c r="P413" s="9">
        <f>IF('[1]Game Input'!$AP413&lt;&gt;"",'[1]Game Input'!$AP413,"")</f>
        <v>1</v>
      </c>
      <c r="Q413" s="9">
        <f>IF('[1]Game Input'!$AQ413&lt;&gt;"",'[1]Game Input'!$AQ413,"")</f>
        <v>0</v>
      </c>
      <c r="R413" s="9">
        <f>IF('[1]Game Input'!$AR413&lt;&gt;"",'[1]Game Input'!$AR413,"")</f>
        <v>0</v>
      </c>
      <c r="S413" s="9">
        <f>IF('[1]Game Input'!$AS413&lt;&gt;"",'[1]Game Input'!$AS413,"")</f>
        <v>0</v>
      </c>
      <c r="T413" s="10" t="str">
        <f>IF('[1]Game Input'!$BA413&lt;&gt;"",'[1]Game Input'!$BA413,"")</f>
        <v>YOUNGSTOWN</v>
      </c>
      <c r="U413" s="9">
        <f>IF('[1]Game Input'!$BU413&lt;&gt;"",'[1]Game Input'!$BU413,"")</f>
        <v>12</v>
      </c>
      <c r="V413" s="9">
        <f>IF('[1]Game Input'!$BV413&lt;&gt;"",'[1]Game Input'!$BV413,"")</f>
        <v>6</v>
      </c>
      <c r="W413" s="9">
        <f>IF('[1]Game Input'!$CB413&lt;&gt;"",'[1]Game Input'!$CB413,"")</f>
        <v>0</v>
      </c>
      <c r="X413" s="9">
        <f>IF('[1]Game Input'!$CC413&lt;&gt;"",'[1]Game Input'!$CC413,"")</f>
        <v>0</v>
      </c>
      <c r="Y413" s="9">
        <f>IF('[1]Game Input'!$CF413&lt;&gt;"",'[1]Game Input'!$CF413,"")</f>
        <v>6</v>
      </c>
      <c r="Z413" s="9">
        <f>IF('[1]Game Input'!$CG413&lt;&gt;"",'[1]Game Input'!$CG413,"")</f>
        <v>0</v>
      </c>
      <c r="AA413" s="9">
        <f>IF('[1]Game Input'!$CH413&lt;&gt;"",'[1]Game Input'!$CH413,"")</f>
        <v>0</v>
      </c>
      <c r="AB413" s="9">
        <f>IF('[1]Game Input'!$CI413&lt;&gt;"",'[1]Game Input'!$CI413,"")</f>
        <v>0</v>
      </c>
      <c r="AC413" s="9">
        <f>IF('[1]Game Input'!$CJ413&lt;&gt;"",'[1]Game Input'!$CJ413,"")</f>
        <v>0</v>
      </c>
      <c r="AD413" s="9">
        <f>IF('[1]Game Input'!$CK413&lt;&gt;"",'[1]Game Input'!$CK413,"")</f>
        <v>0</v>
      </c>
      <c r="AE413" s="8"/>
      <c r="AF413" s="8"/>
      <c r="AG413" s="8"/>
      <c r="AH413" s="8"/>
    </row>
    <row r="414" spans="1:34" x14ac:dyDescent="0.2">
      <c r="A414" s="6">
        <f>IF('[1]Game Input'!$A414&lt;&gt;"",'[1]Game Input'!$A414,"")</f>
        <v>43529</v>
      </c>
      <c r="B414" s="6" t="str">
        <f>IF(A414&gt;$B$1,VLOOKUP(MONTH($A414),DOTWMonth,2,FALSE),"")</f>
        <v>March</v>
      </c>
      <c r="C414" s="10" t="str">
        <f>IF(A414&gt;$B$1,VLOOKUP(WEEKDAY($A414),DOTWMonth,3,FALSE),"")</f>
        <v>Tuesday</v>
      </c>
      <c r="D414" s="7">
        <f>IF('[1]Game Input'!$B414&lt;&gt;"",'[1]Game Input'!$B414,"")</f>
        <v>0.81597222222222221</v>
      </c>
      <c r="E414" s="7">
        <f>IF('[1]Game Input'!$C414&lt;&gt;"",'[1]Game Input'!$C414,"")</f>
        <v>0.77430555555555547</v>
      </c>
      <c r="F414" s="8" t="str">
        <f>IF('[1]Game Input'!$D414&lt;&gt;"",'[1]Game Input'!$D414,"")</f>
        <v>Standard</v>
      </c>
      <c r="G414" s="8" t="str">
        <f>IF('[1]Game Input'!$G414&lt;&gt;"",'[1]Game Input'!$G414,"")</f>
        <v>FGO @ DM</v>
      </c>
      <c r="H414" s="8" t="str">
        <f>IF('[1]Game Input'!$H414&lt;&gt;"",'[1]Game Input'!$H414,"")</f>
        <v>Vs. Conference</v>
      </c>
      <c r="I414" s="8" t="str">
        <f>IF('[1]Game Input'!$I414&lt;&gt;"",'[1]Game Input'!$I414,"")</f>
        <v>FARGO</v>
      </c>
      <c r="J414" s="9">
        <f>IF('[1]Game Input'!$AC414&lt;&gt;"",'[1]Game Input'!$AC414,"")</f>
        <v>12</v>
      </c>
      <c r="K414" s="9">
        <f>IF('[1]Game Input'!$AD414&lt;&gt;"",'[1]Game Input'!$AD414,"")</f>
        <v>6</v>
      </c>
      <c r="L414" s="9">
        <f>IF('[1]Game Input'!$AJ414&lt;&gt;"",'[1]Game Input'!$AJ414,"")</f>
        <v>0</v>
      </c>
      <c r="M414" s="9">
        <f>IF('[1]Game Input'!$AK414&lt;&gt;"",'[1]Game Input'!$AK414,"")</f>
        <v>0</v>
      </c>
      <c r="N414" s="9">
        <f>IF('[1]Game Input'!$AN414&lt;&gt;"",'[1]Game Input'!$AN414,"")</f>
        <v>6</v>
      </c>
      <c r="O414" s="9">
        <f>IF('[1]Game Input'!$AO414&lt;&gt;"",'[1]Game Input'!$AO414,"")</f>
        <v>0</v>
      </c>
      <c r="P414" s="9">
        <f>IF('[1]Game Input'!$AP414&lt;&gt;"",'[1]Game Input'!$AP414,"")</f>
        <v>0</v>
      </c>
      <c r="Q414" s="9">
        <f>IF('[1]Game Input'!$AQ414&lt;&gt;"",'[1]Game Input'!$AQ414,"")</f>
        <v>0</v>
      </c>
      <c r="R414" s="9">
        <f>IF('[1]Game Input'!$AR414&lt;&gt;"",'[1]Game Input'!$AR414,"")</f>
        <v>0</v>
      </c>
      <c r="S414" s="9">
        <f>IF('[1]Game Input'!$AS414&lt;&gt;"",'[1]Game Input'!$AS414,"")</f>
        <v>0</v>
      </c>
      <c r="T414" s="10" t="str">
        <f>IF('[1]Game Input'!$BA414&lt;&gt;"",'[1]Game Input'!$BA414,"")</f>
        <v>DES MOINES</v>
      </c>
      <c r="U414" s="9">
        <f>IF('[1]Game Input'!$BU414&lt;&gt;"",'[1]Game Input'!$BU414,"")</f>
        <v>14</v>
      </c>
      <c r="V414" s="9">
        <f>IF('[1]Game Input'!$BV414&lt;&gt;"",'[1]Game Input'!$BV414,"")</f>
        <v>7</v>
      </c>
      <c r="W414" s="9">
        <f>IF('[1]Game Input'!$CB414&lt;&gt;"",'[1]Game Input'!$CB414,"")</f>
        <v>0</v>
      </c>
      <c r="X414" s="9">
        <f>IF('[1]Game Input'!$CC414&lt;&gt;"",'[1]Game Input'!$CC414,"")</f>
        <v>0</v>
      </c>
      <c r="Y414" s="9">
        <f>IF('[1]Game Input'!$CF414&lt;&gt;"",'[1]Game Input'!$CF414,"")</f>
        <v>7</v>
      </c>
      <c r="Z414" s="9">
        <f>IF('[1]Game Input'!$CG414&lt;&gt;"",'[1]Game Input'!$CG414,"")</f>
        <v>0</v>
      </c>
      <c r="AA414" s="9">
        <f>IF('[1]Game Input'!$CH414&lt;&gt;"",'[1]Game Input'!$CH414,"")</f>
        <v>0</v>
      </c>
      <c r="AB414" s="9">
        <f>IF('[1]Game Input'!$CI414&lt;&gt;"",'[1]Game Input'!$CI414,"")</f>
        <v>0</v>
      </c>
      <c r="AC414" s="9">
        <f>IF('[1]Game Input'!$CJ414&lt;&gt;"",'[1]Game Input'!$CJ414,"")</f>
        <v>0</v>
      </c>
      <c r="AD414" s="9">
        <f>IF('[1]Game Input'!$CK414&lt;&gt;"",'[1]Game Input'!$CK414,"")</f>
        <v>0</v>
      </c>
      <c r="AE414" s="8" t="s">
        <v>102</v>
      </c>
      <c r="AF414" s="8" t="s">
        <v>92</v>
      </c>
      <c r="AG414" s="8" t="s">
        <v>115</v>
      </c>
      <c r="AH414" s="8" t="s">
        <v>124</v>
      </c>
    </row>
    <row r="415" spans="1:34" x14ac:dyDescent="0.2">
      <c r="A415" s="6">
        <f>IF('[1]Game Input'!$A415&lt;&gt;"",'[1]Game Input'!$A415,"")</f>
        <v>43530</v>
      </c>
      <c r="B415" s="6" t="str">
        <f>IF(A415&gt;$B$1,VLOOKUP(MONTH($A415),DOTWMonth,2,FALSE),"")</f>
        <v>March</v>
      </c>
      <c r="C415" s="10" t="str">
        <f>IF(A415&gt;$B$1,VLOOKUP(WEEKDAY($A415),DOTWMonth,3,FALSE),"")</f>
        <v>Wednesday</v>
      </c>
      <c r="D415" s="7">
        <f>IF('[1]Game Input'!$B415&lt;&gt;"",'[1]Game Input'!$B415,"")</f>
        <v>0.83680555555555547</v>
      </c>
      <c r="E415" s="7">
        <f>IF('[1]Game Input'!$C415&lt;&gt;"",'[1]Game Input'!$C415,"")</f>
        <v>0.79513888888888884</v>
      </c>
      <c r="F415" s="8" t="str">
        <f>IF('[1]Game Input'!$D415&lt;&gt;"",'[1]Game Input'!$D415,"")</f>
        <v>Standard</v>
      </c>
      <c r="G415" s="8" t="str">
        <f>IF('[1]Game Input'!$G415&lt;&gt;"",'[1]Game Input'!$G415,"")</f>
        <v>MAD @ CR</v>
      </c>
      <c r="H415" s="8" t="str">
        <f>IF('[1]Game Input'!$H415&lt;&gt;"",'[1]Game Input'!$H415,"")</f>
        <v>Vs. Conference</v>
      </c>
      <c r="I415" s="8" t="str">
        <f>IF('[1]Game Input'!$I415&lt;&gt;"",'[1]Game Input'!$I415,"")</f>
        <v>MADISON</v>
      </c>
      <c r="J415" s="9">
        <f>IF('[1]Game Input'!$AC415&lt;&gt;"",'[1]Game Input'!$AC415,"")</f>
        <v>4</v>
      </c>
      <c r="K415" s="9">
        <f>IF('[1]Game Input'!$AD415&lt;&gt;"",'[1]Game Input'!$AD415,"")</f>
        <v>2</v>
      </c>
      <c r="L415" s="9">
        <f>IF('[1]Game Input'!$AJ415&lt;&gt;"",'[1]Game Input'!$AJ415,"")</f>
        <v>0</v>
      </c>
      <c r="M415" s="9">
        <f>IF('[1]Game Input'!$AK415&lt;&gt;"",'[1]Game Input'!$AK415,"")</f>
        <v>0</v>
      </c>
      <c r="N415" s="9">
        <f>IF('[1]Game Input'!$AN415&lt;&gt;"",'[1]Game Input'!$AN415,"")</f>
        <v>2</v>
      </c>
      <c r="O415" s="9">
        <f>IF('[1]Game Input'!$AO415&lt;&gt;"",'[1]Game Input'!$AO415,"")</f>
        <v>0</v>
      </c>
      <c r="P415" s="9">
        <f>IF('[1]Game Input'!$AP415&lt;&gt;"",'[1]Game Input'!$AP415,"")</f>
        <v>0</v>
      </c>
      <c r="Q415" s="9">
        <f>IF('[1]Game Input'!$AQ415&lt;&gt;"",'[1]Game Input'!$AQ415,"")</f>
        <v>0</v>
      </c>
      <c r="R415" s="9">
        <f>IF('[1]Game Input'!$AR415&lt;&gt;"",'[1]Game Input'!$AR415,"")</f>
        <v>0</v>
      </c>
      <c r="S415" s="9">
        <f>IF('[1]Game Input'!$AS415&lt;&gt;"",'[1]Game Input'!$AS415,"")</f>
        <v>0</v>
      </c>
      <c r="T415" s="10" t="str">
        <f>IF('[1]Game Input'!$BA415&lt;&gt;"",'[1]Game Input'!$BA415,"")</f>
        <v>CEDAR RAPIDS</v>
      </c>
      <c r="U415" s="9">
        <f>IF('[1]Game Input'!$BU415&lt;&gt;"",'[1]Game Input'!$BU415,"")</f>
        <v>4</v>
      </c>
      <c r="V415" s="9">
        <f>IF('[1]Game Input'!$BV415&lt;&gt;"",'[1]Game Input'!$BV415,"")</f>
        <v>2</v>
      </c>
      <c r="W415" s="9">
        <f>IF('[1]Game Input'!$CB415&lt;&gt;"",'[1]Game Input'!$CB415,"")</f>
        <v>0</v>
      </c>
      <c r="X415" s="9">
        <f>IF('[1]Game Input'!$CC415&lt;&gt;"",'[1]Game Input'!$CC415,"")</f>
        <v>0</v>
      </c>
      <c r="Y415" s="9">
        <f>IF('[1]Game Input'!$CF415&lt;&gt;"",'[1]Game Input'!$CF415,"")</f>
        <v>2</v>
      </c>
      <c r="Z415" s="9">
        <f>IF('[1]Game Input'!$CG415&lt;&gt;"",'[1]Game Input'!$CG415,"")</f>
        <v>0</v>
      </c>
      <c r="AA415" s="9">
        <f>IF('[1]Game Input'!$CH415&lt;&gt;"",'[1]Game Input'!$CH415,"")</f>
        <v>0</v>
      </c>
      <c r="AB415" s="9">
        <f>IF('[1]Game Input'!$CI415&lt;&gt;"",'[1]Game Input'!$CI415,"")</f>
        <v>0</v>
      </c>
      <c r="AC415" s="9">
        <f>IF('[1]Game Input'!$CJ415&lt;&gt;"",'[1]Game Input'!$CJ415,"")</f>
        <v>0</v>
      </c>
      <c r="AD415" s="9">
        <f>IF('[1]Game Input'!$CK415&lt;&gt;"",'[1]Game Input'!$CK415,"")</f>
        <v>0</v>
      </c>
      <c r="AE415" s="8" t="s">
        <v>97</v>
      </c>
      <c r="AF415" s="8"/>
      <c r="AG415" s="8" t="s">
        <v>108</v>
      </c>
      <c r="AH415" s="8" t="s">
        <v>120</v>
      </c>
    </row>
    <row r="416" spans="1:34" x14ac:dyDescent="0.2">
      <c r="A416" s="6">
        <f>IF('[1]Game Input'!$A416&lt;&gt;"",'[1]Game Input'!$A416,"")</f>
        <v>43532</v>
      </c>
      <c r="B416" s="6" t="str">
        <f>IF(A416&gt;$B$1,VLOOKUP(MONTH($A416),DOTWMonth,2,FALSE),"")</f>
        <v>March</v>
      </c>
      <c r="C416" s="10" t="str">
        <f>IF(A416&gt;$B$1,VLOOKUP(WEEKDAY($A416),DOTWMonth,3,FALSE),"")</f>
        <v>Friday</v>
      </c>
      <c r="D416" s="7">
        <f>IF('[1]Game Input'!$B416&lt;&gt;"",'[1]Game Input'!$B416,"")</f>
        <v>0.83680555555555547</v>
      </c>
      <c r="E416" s="7">
        <f>IF('[1]Game Input'!$C416&lt;&gt;"",'[1]Game Input'!$C416,"")</f>
        <v>0.79513888888888884</v>
      </c>
      <c r="F416" s="8" t="str">
        <f>IF('[1]Game Input'!$D416&lt;&gt;"",'[1]Game Input'!$D416,"")</f>
        <v>Standard</v>
      </c>
      <c r="G416" s="8" t="str">
        <f>IF('[1]Game Input'!$G416&lt;&gt;"",'[1]Game Input'!$G416,"")</f>
        <v>MUS @ DUB</v>
      </c>
      <c r="H416" s="8" t="str">
        <f>IF('[1]Game Input'!$H416&lt;&gt;"",'[1]Game Input'!$H416,"")</f>
        <v>Vs. Conference</v>
      </c>
      <c r="I416" s="8" t="str">
        <f>IF('[1]Game Input'!$I416&lt;&gt;"",'[1]Game Input'!$I416,"")</f>
        <v>MUSKEGON</v>
      </c>
      <c r="J416" s="9">
        <f>IF('[1]Game Input'!$AC416&lt;&gt;"",'[1]Game Input'!$AC416,"")</f>
        <v>24</v>
      </c>
      <c r="K416" s="9">
        <f>IF('[1]Game Input'!$AD416&lt;&gt;"",'[1]Game Input'!$AD416,"")</f>
        <v>8</v>
      </c>
      <c r="L416" s="9">
        <f>IF('[1]Game Input'!$AJ416&lt;&gt;"",'[1]Game Input'!$AJ416,"")</f>
        <v>0</v>
      </c>
      <c r="M416" s="9">
        <f>IF('[1]Game Input'!$AK416&lt;&gt;"",'[1]Game Input'!$AK416,"")</f>
        <v>0</v>
      </c>
      <c r="N416" s="9">
        <f>IF('[1]Game Input'!$AN416&lt;&gt;"",'[1]Game Input'!$AN416,"")</f>
        <v>7</v>
      </c>
      <c r="O416" s="9">
        <f>IF('[1]Game Input'!$AO416&lt;&gt;"",'[1]Game Input'!$AO416,"")</f>
        <v>0</v>
      </c>
      <c r="P416" s="9">
        <f>IF('[1]Game Input'!$AP416&lt;&gt;"",'[1]Game Input'!$AP416,"")</f>
        <v>1</v>
      </c>
      <c r="Q416" s="9">
        <f>IF('[1]Game Input'!$AQ416&lt;&gt;"",'[1]Game Input'!$AQ416,"")</f>
        <v>0</v>
      </c>
      <c r="R416" s="9">
        <f>IF('[1]Game Input'!$AR416&lt;&gt;"",'[1]Game Input'!$AR416,"")</f>
        <v>0</v>
      </c>
      <c r="S416" s="9">
        <f>IF('[1]Game Input'!$AS416&lt;&gt;"",'[1]Game Input'!$AS416,"")</f>
        <v>0</v>
      </c>
      <c r="T416" s="10" t="str">
        <f>IF('[1]Game Input'!$BA416&lt;&gt;"",'[1]Game Input'!$BA416,"")</f>
        <v>DUBUQUE</v>
      </c>
      <c r="U416" s="9">
        <f>IF('[1]Game Input'!$BU416&lt;&gt;"",'[1]Game Input'!$BU416,"")</f>
        <v>10</v>
      </c>
      <c r="V416" s="9">
        <f>IF('[1]Game Input'!$BV416&lt;&gt;"",'[1]Game Input'!$BV416,"")</f>
        <v>5</v>
      </c>
      <c r="W416" s="9">
        <f>IF('[1]Game Input'!$CB416&lt;&gt;"",'[1]Game Input'!$CB416,"")</f>
        <v>0</v>
      </c>
      <c r="X416" s="9">
        <f>IF('[1]Game Input'!$CC416&lt;&gt;"",'[1]Game Input'!$CC416,"")</f>
        <v>0</v>
      </c>
      <c r="Y416" s="9">
        <f>IF('[1]Game Input'!$CF416&lt;&gt;"",'[1]Game Input'!$CF416,"")</f>
        <v>5</v>
      </c>
      <c r="Z416" s="9">
        <f>IF('[1]Game Input'!$CG416&lt;&gt;"",'[1]Game Input'!$CG416,"")</f>
        <v>0</v>
      </c>
      <c r="AA416" s="9">
        <f>IF('[1]Game Input'!$CH416&lt;&gt;"",'[1]Game Input'!$CH416,"")</f>
        <v>0</v>
      </c>
      <c r="AB416" s="9">
        <f>IF('[1]Game Input'!$CI416&lt;&gt;"",'[1]Game Input'!$CI416,"")</f>
        <v>0</v>
      </c>
      <c r="AC416" s="9">
        <f>IF('[1]Game Input'!$CJ416&lt;&gt;"",'[1]Game Input'!$CJ416,"")</f>
        <v>0</v>
      </c>
      <c r="AD416" s="9">
        <f>IF('[1]Game Input'!$CK416&lt;&gt;"",'[1]Game Input'!$CK416,"")</f>
        <v>0</v>
      </c>
      <c r="AE416" s="8"/>
      <c r="AF416" s="8"/>
      <c r="AG416" s="8"/>
      <c r="AH416" s="8"/>
    </row>
    <row r="417" spans="1:34" x14ac:dyDescent="0.2">
      <c r="A417" s="6">
        <f>IF('[1]Game Input'!$A417&lt;&gt;"",'[1]Game Input'!$A417,"")</f>
        <v>43532</v>
      </c>
      <c r="B417" s="6" t="str">
        <f>IF(A417&gt;$B$1,VLOOKUP(MONTH($A417),DOTWMonth,2,FALSE),"")</f>
        <v>March</v>
      </c>
      <c r="C417" s="10" t="str">
        <f>IF(A417&gt;$B$1,VLOOKUP(WEEKDAY($A417),DOTWMonth,3,FALSE),"")</f>
        <v>Friday</v>
      </c>
      <c r="D417" s="7">
        <f>IF('[1]Game Input'!$B417&lt;&gt;"",'[1]Game Input'!$B417,"")</f>
        <v>0.83680555555555547</v>
      </c>
      <c r="E417" s="7">
        <f>IF('[1]Game Input'!$C417&lt;&gt;"",'[1]Game Input'!$C417,"")</f>
        <v>0.79513888888888884</v>
      </c>
      <c r="F417" s="8" t="str">
        <f>IF('[1]Game Input'!$D417&lt;&gt;"",'[1]Game Input'!$D417,"")</f>
        <v>Standard</v>
      </c>
      <c r="G417" s="8" t="str">
        <f>IF('[1]Game Input'!$G417&lt;&gt;"",'[1]Game Input'!$G417,"")</f>
        <v>OMA @ FGO</v>
      </c>
      <c r="H417" s="8" t="str">
        <f>IF('[1]Game Input'!$H417&lt;&gt;"",'[1]Game Input'!$H417,"")</f>
        <v>Vs. Conference</v>
      </c>
      <c r="I417" s="8" t="str">
        <f>IF('[1]Game Input'!$I417&lt;&gt;"",'[1]Game Input'!$I417,"")</f>
        <v>OMAHA</v>
      </c>
      <c r="J417" s="9">
        <f>IF('[1]Game Input'!$AC417&lt;&gt;"",'[1]Game Input'!$AC417,"")</f>
        <v>6</v>
      </c>
      <c r="K417" s="9">
        <f>IF('[1]Game Input'!$AD417&lt;&gt;"",'[1]Game Input'!$AD417,"")</f>
        <v>3</v>
      </c>
      <c r="L417" s="9">
        <f>IF('[1]Game Input'!$AJ417&lt;&gt;"",'[1]Game Input'!$AJ417,"")</f>
        <v>0</v>
      </c>
      <c r="M417" s="9">
        <f>IF('[1]Game Input'!$AK417&lt;&gt;"",'[1]Game Input'!$AK417,"")</f>
        <v>0</v>
      </c>
      <c r="N417" s="9">
        <f>IF('[1]Game Input'!$AN417&lt;&gt;"",'[1]Game Input'!$AN417,"")</f>
        <v>3</v>
      </c>
      <c r="O417" s="9">
        <f>IF('[1]Game Input'!$AO417&lt;&gt;"",'[1]Game Input'!$AO417,"")</f>
        <v>0</v>
      </c>
      <c r="P417" s="9">
        <f>IF('[1]Game Input'!$AP417&lt;&gt;"",'[1]Game Input'!$AP417,"")</f>
        <v>0</v>
      </c>
      <c r="Q417" s="9">
        <f>IF('[1]Game Input'!$AQ417&lt;&gt;"",'[1]Game Input'!$AQ417,"")</f>
        <v>0</v>
      </c>
      <c r="R417" s="9">
        <f>IF('[1]Game Input'!$AR417&lt;&gt;"",'[1]Game Input'!$AR417,"")</f>
        <v>0</v>
      </c>
      <c r="S417" s="9">
        <f>IF('[1]Game Input'!$AS417&lt;&gt;"",'[1]Game Input'!$AS417,"")</f>
        <v>0</v>
      </c>
      <c r="T417" s="10" t="str">
        <f>IF('[1]Game Input'!$BA417&lt;&gt;"",'[1]Game Input'!$BA417,"")</f>
        <v>FARGO</v>
      </c>
      <c r="U417" s="9">
        <f>IF('[1]Game Input'!$BU417&lt;&gt;"",'[1]Game Input'!$BU417,"")</f>
        <v>6</v>
      </c>
      <c r="V417" s="9">
        <f>IF('[1]Game Input'!$BV417&lt;&gt;"",'[1]Game Input'!$BV417,"")</f>
        <v>3</v>
      </c>
      <c r="W417" s="9">
        <f>IF('[1]Game Input'!$CB417&lt;&gt;"",'[1]Game Input'!$CB417,"")</f>
        <v>0</v>
      </c>
      <c r="X417" s="9">
        <f>IF('[1]Game Input'!$CC417&lt;&gt;"",'[1]Game Input'!$CC417,"")</f>
        <v>0</v>
      </c>
      <c r="Y417" s="9">
        <f>IF('[1]Game Input'!$CF417&lt;&gt;"",'[1]Game Input'!$CF417,"")</f>
        <v>3</v>
      </c>
      <c r="Z417" s="9">
        <f>IF('[1]Game Input'!$CG417&lt;&gt;"",'[1]Game Input'!$CG417,"")</f>
        <v>0</v>
      </c>
      <c r="AA417" s="9">
        <f>IF('[1]Game Input'!$CH417&lt;&gt;"",'[1]Game Input'!$CH417,"")</f>
        <v>0</v>
      </c>
      <c r="AB417" s="9">
        <f>IF('[1]Game Input'!$CI417&lt;&gt;"",'[1]Game Input'!$CI417,"")</f>
        <v>0</v>
      </c>
      <c r="AC417" s="9">
        <f>IF('[1]Game Input'!$CJ417&lt;&gt;"",'[1]Game Input'!$CJ417,"")</f>
        <v>0</v>
      </c>
      <c r="AD417" s="9">
        <f>IF('[1]Game Input'!$CK417&lt;&gt;"",'[1]Game Input'!$CK417,"")</f>
        <v>0</v>
      </c>
      <c r="AE417" s="8"/>
      <c r="AF417" s="8"/>
      <c r="AG417" s="8"/>
      <c r="AH417" s="8"/>
    </row>
    <row r="418" spans="1:34" x14ac:dyDescent="0.2">
      <c r="A418" s="6">
        <f>IF('[1]Game Input'!$A418&lt;&gt;"",'[1]Game Input'!$A418,"")</f>
        <v>43532</v>
      </c>
      <c r="B418" s="6" t="str">
        <f>IF(A418&gt;$B$1,VLOOKUP(MONTH($A418),DOTWMonth,2,FALSE),"")</f>
        <v>March</v>
      </c>
      <c r="C418" s="10" t="str">
        <f>IF(A418&gt;$B$1,VLOOKUP(WEEKDAY($A418),DOTWMonth,3,FALSE),"")</f>
        <v>Friday</v>
      </c>
      <c r="D418" s="7">
        <f>IF('[1]Game Input'!$B418&lt;&gt;"",'[1]Game Input'!$B418,"")</f>
        <v>0.83680555555555547</v>
      </c>
      <c r="E418" s="7">
        <f>IF('[1]Game Input'!$C418&lt;&gt;"",'[1]Game Input'!$C418,"")</f>
        <v>0.79513888888888884</v>
      </c>
      <c r="F418" s="8" t="str">
        <f>IF('[1]Game Input'!$D418&lt;&gt;"",'[1]Game Input'!$D418,"")</f>
        <v>Standard</v>
      </c>
      <c r="G418" s="8" t="str">
        <f>IF('[1]Game Input'!$G418&lt;&gt;"",'[1]Game Input'!$G418,"")</f>
        <v>CIL @ MAD</v>
      </c>
      <c r="H418" s="8" t="str">
        <f>IF('[1]Game Input'!$H418&lt;&gt;"",'[1]Game Input'!$H418,"")</f>
        <v>Vs. Conference</v>
      </c>
      <c r="I418" s="8" t="str">
        <f>IF('[1]Game Input'!$I418&lt;&gt;"",'[1]Game Input'!$I418,"")</f>
        <v>CENTRAL ILLINOIS</v>
      </c>
      <c r="J418" s="9">
        <f>IF('[1]Game Input'!$AC418&lt;&gt;"",'[1]Game Input'!$AC418,"")</f>
        <v>21</v>
      </c>
      <c r="K418" s="9">
        <f>IF('[1]Game Input'!$AD418&lt;&gt;"",'[1]Game Input'!$AD418,"")</f>
        <v>5</v>
      </c>
      <c r="L418" s="9">
        <f>IF('[1]Game Input'!$AJ418&lt;&gt;"",'[1]Game Input'!$AJ418,"")</f>
        <v>0</v>
      </c>
      <c r="M418" s="9">
        <f>IF('[1]Game Input'!$AK418&lt;&gt;"",'[1]Game Input'!$AK418,"")</f>
        <v>0</v>
      </c>
      <c r="N418" s="9">
        <f>IF('[1]Game Input'!$AN418&lt;&gt;"",'[1]Game Input'!$AN418,"")</f>
        <v>3</v>
      </c>
      <c r="O418" s="9">
        <f>IF('[1]Game Input'!$AO418&lt;&gt;"",'[1]Game Input'!$AO418,"")</f>
        <v>1</v>
      </c>
      <c r="P418" s="9">
        <f>IF('[1]Game Input'!$AP418&lt;&gt;"",'[1]Game Input'!$AP418,"")</f>
        <v>1</v>
      </c>
      <c r="Q418" s="9">
        <f>IF('[1]Game Input'!$AQ418&lt;&gt;"",'[1]Game Input'!$AQ418,"")</f>
        <v>0</v>
      </c>
      <c r="R418" s="9">
        <f>IF('[1]Game Input'!$AR418&lt;&gt;"",'[1]Game Input'!$AR418,"")</f>
        <v>0</v>
      </c>
      <c r="S418" s="9">
        <f>IF('[1]Game Input'!$AS418&lt;&gt;"",'[1]Game Input'!$AS418,"")</f>
        <v>0</v>
      </c>
      <c r="T418" s="10" t="str">
        <f>IF('[1]Game Input'!$BA418&lt;&gt;"",'[1]Game Input'!$BA418,"")</f>
        <v>MADISON</v>
      </c>
      <c r="U418" s="9">
        <f>IF('[1]Game Input'!$BU418&lt;&gt;"",'[1]Game Input'!$BU418,"")</f>
        <v>21</v>
      </c>
      <c r="V418" s="9">
        <f>IF('[1]Game Input'!$BV418&lt;&gt;"",'[1]Game Input'!$BV418,"")</f>
        <v>5</v>
      </c>
      <c r="W418" s="9">
        <f>IF('[1]Game Input'!$CB418&lt;&gt;"",'[1]Game Input'!$CB418,"")</f>
        <v>0</v>
      </c>
      <c r="X418" s="9">
        <f>IF('[1]Game Input'!$CC418&lt;&gt;"",'[1]Game Input'!$CC418,"")</f>
        <v>0</v>
      </c>
      <c r="Y418" s="9">
        <f>IF('[1]Game Input'!$CF418&lt;&gt;"",'[1]Game Input'!$CF418,"")</f>
        <v>3</v>
      </c>
      <c r="Z418" s="9">
        <f>IF('[1]Game Input'!$CG418&lt;&gt;"",'[1]Game Input'!$CG418,"")</f>
        <v>1</v>
      </c>
      <c r="AA418" s="9">
        <f>IF('[1]Game Input'!$CH418&lt;&gt;"",'[1]Game Input'!$CH418,"")</f>
        <v>1</v>
      </c>
      <c r="AB418" s="9">
        <f>IF('[1]Game Input'!$CI418&lt;&gt;"",'[1]Game Input'!$CI418,"")</f>
        <v>0</v>
      </c>
      <c r="AC418" s="9">
        <f>IF('[1]Game Input'!$CJ418&lt;&gt;"",'[1]Game Input'!$CJ418,"")</f>
        <v>0</v>
      </c>
      <c r="AD418" s="9">
        <f>IF('[1]Game Input'!$CK418&lt;&gt;"",'[1]Game Input'!$CK418,"")</f>
        <v>0</v>
      </c>
      <c r="AE418" s="8" t="s">
        <v>103</v>
      </c>
      <c r="AF418" s="8" t="s">
        <v>95</v>
      </c>
      <c r="AG418" s="8" t="s">
        <v>122</v>
      </c>
      <c r="AH418" s="8" t="s">
        <v>113</v>
      </c>
    </row>
    <row r="419" spans="1:34" x14ac:dyDescent="0.2">
      <c r="A419" s="6">
        <f>IF('[1]Game Input'!$A419&lt;&gt;"",'[1]Game Input'!$A419,"")</f>
        <v>43532</v>
      </c>
      <c r="B419" s="6" t="str">
        <f>IF(A419&gt;$B$1,VLOOKUP(MONTH($A419),DOTWMonth,2,FALSE),"")</f>
        <v>March</v>
      </c>
      <c r="C419" s="10" t="str">
        <f>IF(A419&gt;$B$1,VLOOKUP(WEEKDAY($A419),DOTWMonth,3,FALSE),"")</f>
        <v>Friday</v>
      </c>
      <c r="D419" s="7">
        <f>IF('[1]Game Input'!$B419&lt;&gt;"",'[1]Game Input'!$B419,"")</f>
        <v>0.83680555555555547</v>
      </c>
      <c r="E419" s="7">
        <f>IF('[1]Game Input'!$C419&lt;&gt;"",'[1]Game Input'!$C419,"")</f>
        <v>0.79513888888888884</v>
      </c>
      <c r="F419" s="8" t="str">
        <f>IF('[1]Game Input'!$D419&lt;&gt;"",'[1]Game Input'!$D419,"")</f>
        <v>Standard</v>
      </c>
      <c r="G419" s="8" t="str">
        <f>IF('[1]Game Input'!$G419&lt;&gt;"",'[1]Game Input'!$G419,"")</f>
        <v>SC @ TC</v>
      </c>
      <c r="H419" s="8" t="str">
        <f>IF('[1]Game Input'!$H419&lt;&gt;"",'[1]Game Input'!$H419,"")</f>
        <v>Vs. Conference</v>
      </c>
      <c r="I419" s="8" t="str">
        <f>IF('[1]Game Input'!$I419&lt;&gt;"",'[1]Game Input'!$I419,"")</f>
        <v>SIOUX CITY</v>
      </c>
      <c r="J419" s="9">
        <f>IF('[1]Game Input'!$AC419&lt;&gt;"",'[1]Game Input'!$AC419,"")</f>
        <v>10</v>
      </c>
      <c r="K419" s="9">
        <f>IF('[1]Game Input'!$AD419&lt;&gt;"",'[1]Game Input'!$AD419,"")</f>
        <v>5</v>
      </c>
      <c r="L419" s="9">
        <f>IF('[1]Game Input'!$AJ419&lt;&gt;"",'[1]Game Input'!$AJ419,"")</f>
        <v>0</v>
      </c>
      <c r="M419" s="9">
        <f>IF('[1]Game Input'!$AK419&lt;&gt;"",'[1]Game Input'!$AK419,"")</f>
        <v>0</v>
      </c>
      <c r="N419" s="9">
        <f>IF('[1]Game Input'!$AN419&lt;&gt;"",'[1]Game Input'!$AN419,"")</f>
        <v>5</v>
      </c>
      <c r="O419" s="9">
        <f>IF('[1]Game Input'!$AO419&lt;&gt;"",'[1]Game Input'!$AO419,"")</f>
        <v>0</v>
      </c>
      <c r="P419" s="9">
        <f>IF('[1]Game Input'!$AP419&lt;&gt;"",'[1]Game Input'!$AP419,"")</f>
        <v>0</v>
      </c>
      <c r="Q419" s="9">
        <f>IF('[1]Game Input'!$AQ419&lt;&gt;"",'[1]Game Input'!$AQ419,"")</f>
        <v>0</v>
      </c>
      <c r="R419" s="9">
        <f>IF('[1]Game Input'!$AR419&lt;&gt;"",'[1]Game Input'!$AR419,"")</f>
        <v>0</v>
      </c>
      <c r="S419" s="9">
        <f>IF('[1]Game Input'!$AS419&lt;&gt;"",'[1]Game Input'!$AS419,"")</f>
        <v>0</v>
      </c>
      <c r="T419" s="10" t="str">
        <f>IF('[1]Game Input'!$BA419&lt;&gt;"",'[1]Game Input'!$BA419,"")</f>
        <v>TRI-CITY</v>
      </c>
      <c r="U419" s="9">
        <f>IF('[1]Game Input'!$BU419&lt;&gt;"",'[1]Game Input'!$BU419,"")</f>
        <v>10</v>
      </c>
      <c r="V419" s="9">
        <f>IF('[1]Game Input'!$BV419&lt;&gt;"",'[1]Game Input'!$BV419,"")</f>
        <v>5</v>
      </c>
      <c r="W419" s="9">
        <f>IF('[1]Game Input'!$CB419&lt;&gt;"",'[1]Game Input'!$CB419,"")</f>
        <v>0</v>
      </c>
      <c r="X419" s="9">
        <f>IF('[1]Game Input'!$CC419&lt;&gt;"",'[1]Game Input'!$CC419,"")</f>
        <v>0</v>
      </c>
      <c r="Y419" s="9">
        <f>IF('[1]Game Input'!$CF419&lt;&gt;"",'[1]Game Input'!$CF419,"")</f>
        <v>5</v>
      </c>
      <c r="Z419" s="9">
        <f>IF('[1]Game Input'!$CG419&lt;&gt;"",'[1]Game Input'!$CG419,"")</f>
        <v>0</v>
      </c>
      <c r="AA419" s="9">
        <f>IF('[1]Game Input'!$CH419&lt;&gt;"",'[1]Game Input'!$CH419,"")</f>
        <v>0</v>
      </c>
      <c r="AB419" s="9">
        <f>IF('[1]Game Input'!$CI419&lt;&gt;"",'[1]Game Input'!$CI419,"")</f>
        <v>0</v>
      </c>
      <c r="AC419" s="9">
        <f>IF('[1]Game Input'!$CJ419&lt;&gt;"",'[1]Game Input'!$CJ419,"")</f>
        <v>0</v>
      </c>
      <c r="AD419" s="9">
        <f>IF('[1]Game Input'!$CK419&lt;&gt;"",'[1]Game Input'!$CK419,"")</f>
        <v>0</v>
      </c>
      <c r="AE419" s="8"/>
      <c r="AF419" s="8"/>
      <c r="AG419" s="8"/>
      <c r="AH419" s="8"/>
    </row>
    <row r="420" spans="1:34" x14ac:dyDescent="0.2">
      <c r="A420" s="6">
        <f>IF('[1]Game Input'!$A420&lt;&gt;"",'[1]Game Input'!$A420,"")</f>
        <v>43532</v>
      </c>
      <c r="B420" s="6" t="str">
        <f>IF(A420&gt;$B$1,VLOOKUP(MONTH($A420),DOTWMonth,2,FALSE),"")</f>
        <v>March</v>
      </c>
      <c r="C420" s="10" t="str">
        <f>IF(A420&gt;$B$1,VLOOKUP(WEEKDAY($A420),DOTWMonth,3,FALSE),"")</f>
        <v>Friday</v>
      </c>
      <c r="D420" s="7">
        <f>IF('[1]Game Input'!$B420&lt;&gt;"",'[1]Game Input'!$B420,"")</f>
        <v>0.83680555555555547</v>
      </c>
      <c r="E420" s="7">
        <f>IF('[1]Game Input'!$C420&lt;&gt;"",'[1]Game Input'!$C420,"")</f>
        <v>0.79513888888888884</v>
      </c>
      <c r="F420" s="8" t="str">
        <f>IF('[1]Game Input'!$D420&lt;&gt;"",'[1]Game Input'!$D420,"")</f>
        <v>Standard</v>
      </c>
      <c r="G420" s="8" t="str">
        <f>IF('[1]Game Input'!$G420&lt;&gt;"",'[1]Game Input'!$G420,"")</f>
        <v>DM @ WAT</v>
      </c>
      <c r="H420" s="8" t="str">
        <f>IF('[1]Game Input'!$H420&lt;&gt;"",'[1]Game Input'!$H420,"")</f>
        <v>Vs. Conference</v>
      </c>
      <c r="I420" s="8" t="str">
        <f>IF('[1]Game Input'!$I420&lt;&gt;"",'[1]Game Input'!$I420,"")</f>
        <v>DES MOINES</v>
      </c>
      <c r="J420" s="9">
        <f>IF('[1]Game Input'!$AC420&lt;&gt;"",'[1]Game Input'!$AC420,"")</f>
        <v>10</v>
      </c>
      <c r="K420" s="9">
        <f>IF('[1]Game Input'!$AD420&lt;&gt;"",'[1]Game Input'!$AD420,"")</f>
        <v>5</v>
      </c>
      <c r="L420" s="9">
        <f>IF('[1]Game Input'!$AJ420&lt;&gt;"",'[1]Game Input'!$AJ420,"")</f>
        <v>0</v>
      </c>
      <c r="M420" s="9">
        <f>IF('[1]Game Input'!$AK420&lt;&gt;"",'[1]Game Input'!$AK420,"")</f>
        <v>0</v>
      </c>
      <c r="N420" s="9">
        <f>IF('[1]Game Input'!$AN420&lt;&gt;"",'[1]Game Input'!$AN420,"")</f>
        <v>5</v>
      </c>
      <c r="O420" s="9">
        <f>IF('[1]Game Input'!$AO420&lt;&gt;"",'[1]Game Input'!$AO420,"")</f>
        <v>0</v>
      </c>
      <c r="P420" s="9">
        <f>IF('[1]Game Input'!$AP420&lt;&gt;"",'[1]Game Input'!$AP420,"")</f>
        <v>0</v>
      </c>
      <c r="Q420" s="9">
        <f>IF('[1]Game Input'!$AQ420&lt;&gt;"",'[1]Game Input'!$AQ420,"")</f>
        <v>0</v>
      </c>
      <c r="R420" s="9">
        <f>IF('[1]Game Input'!$AR420&lt;&gt;"",'[1]Game Input'!$AR420,"")</f>
        <v>0</v>
      </c>
      <c r="S420" s="9">
        <f>IF('[1]Game Input'!$AS420&lt;&gt;"",'[1]Game Input'!$AS420,"")</f>
        <v>0</v>
      </c>
      <c r="T420" s="10" t="str">
        <f>IF('[1]Game Input'!$BA420&lt;&gt;"",'[1]Game Input'!$BA420,"")</f>
        <v>WATERLOO</v>
      </c>
      <c r="U420" s="9">
        <f>IF('[1]Game Input'!$BU420&lt;&gt;"",'[1]Game Input'!$BU420,"")</f>
        <v>12</v>
      </c>
      <c r="V420" s="9">
        <f>IF('[1]Game Input'!$BV420&lt;&gt;"",'[1]Game Input'!$BV420,"")</f>
        <v>6</v>
      </c>
      <c r="W420" s="9">
        <f>IF('[1]Game Input'!$CB420&lt;&gt;"",'[1]Game Input'!$CB420,"")</f>
        <v>0</v>
      </c>
      <c r="X420" s="9">
        <f>IF('[1]Game Input'!$CC420&lt;&gt;"",'[1]Game Input'!$CC420,"")</f>
        <v>0</v>
      </c>
      <c r="Y420" s="9">
        <f>IF('[1]Game Input'!$CF420&lt;&gt;"",'[1]Game Input'!$CF420,"")</f>
        <v>6</v>
      </c>
      <c r="Z420" s="9">
        <f>IF('[1]Game Input'!$CG420&lt;&gt;"",'[1]Game Input'!$CG420,"")</f>
        <v>0</v>
      </c>
      <c r="AA420" s="9">
        <f>IF('[1]Game Input'!$CH420&lt;&gt;"",'[1]Game Input'!$CH420,"")</f>
        <v>0</v>
      </c>
      <c r="AB420" s="9">
        <f>IF('[1]Game Input'!$CI420&lt;&gt;"",'[1]Game Input'!$CI420,"")</f>
        <v>0</v>
      </c>
      <c r="AC420" s="9">
        <f>IF('[1]Game Input'!$CJ420&lt;&gt;"",'[1]Game Input'!$CJ420,"")</f>
        <v>0</v>
      </c>
      <c r="AD420" s="9">
        <f>IF('[1]Game Input'!$CK420&lt;&gt;"",'[1]Game Input'!$CK420,"")</f>
        <v>0</v>
      </c>
      <c r="AE420" s="8" t="s">
        <v>104</v>
      </c>
      <c r="AF420" s="8"/>
      <c r="AG420" s="8" t="s">
        <v>124</v>
      </c>
      <c r="AH420" s="8" t="s">
        <v>136</v>
      </c>
    </row>
    <row r="421" spans="1:34" x14ac:dyDescent="0.2">
      <c r="A421" s="6">
        <f>IF('[1]Game Input'!$A421&lt;&gt;"",'[1]Game Input'!$A421,"")</f>
        <v>43532</v>
      </c>
      <c r="B421" s="6" t="str">
        <f>IF(A421&gt;$B$1,VLOOKUP(MONTH($A421),DOTWMonth,2,FALSE),"")</f>
        <v>March</v>
      </c>
      <c r="C421" s="10" t="str">
        <f>IF(A421&gt;$B$1,VLOOKUP(WEEKDAY($A421),DOTWMonth,3,FALSE),"")</f>
        <v>Friday</v>
      </c>
      <c r="D421" s="7">
        <f>IF('[1]Game Input'!$B421&lt;&gt;"",'[1]Game Input'!$B421,"")</f>
        <v>0.83680555555555547</v>
      </c>
      <c r="E421" s="7">
        <f>IF('[1]Game Input'!$C421&lt;&gt;"",'[1]Game Input'!$C421,"")</f>
        <v>0.79513888888888884</v>
      </c>
      <c r="F421" s="8" t="str">
        <f>IF('[1]Game Input'!$D421&lt;&gt;"",'[1]Game Input'!$D421,"")</f>
        <v>Standard</v>
      </c>
      <c r="G421" s="8" t="str">
        <f>IF('[1]Game Input'!$G421&lt;&gt;"",'[1]Game Input'!$G421,"")</f>
        <v>SF @ CHI</v>
      </c>
      <c r="H421" s="8" t="str">
        <f>IF('[1]Game Input'!$H421&lt;&gt;"",'[1]Game Input'!$H421,"")</f>
        <v>Vs. Non-Conference</v>
      </c>
      <c r="I421" s="8" t="str">
        <f>IF('[1]Game Input'!$I421&lt;&gt;"",'[1]Game Input'!$I421,"")</f>
        <v>SIOUX FALLS</v>
      </c>
      <c r="J421" s="9">
        <f>IF('[1]Game Input'!$AC421&lt;&gt;"",'[1]Game Input'!$AC421,"")</f>
        <v>10</v>
      </c>
      <c r="K421" s="9">
        <f>IF('[1]Game Input'!$AD421&lt;&gt;"",'[1]Game Input'!$AD421,"")</f>
        <v>5</v>
      </c>
      <c r="L421" s="9">
        <f>IF('[1]Game Input'!$AJ421&lt;&gt;"",'[1]Game Input'!$AJ421,"")</f>
        <v>0</v>
      </c>
      <c r="M421" s="9">
        <f>IF('[1]Game Input'!$AK421&lt;&gt;"",'[1]Game Input'!$AK421,"")</f>
        <v>0</v>
      </c>
      <c r="N421" s="9">
        <f>IF('[1]Game Input'!$AN421&lt;&gt;"",'[1]Game Input'!$AN421,"")</f>
        <v>5</v>
      </c>
      <c r="O421" s="9">
        <f>IF('[1]Game Input'!$AO421&lt;&gt;"",'[1]Game Input'!$AO421,"")</f>
        <v>0</v>
      </c>
      <c r="P421" s="9">
        <f>IF('[1]Game Input'!$AP421&lt;&gt;"",'[1]Game Input'!$AP421,"")</f>
        <v>0</v>
      </c>
      <c r="Q421" s="9">
        <f>IF('[1]Game Input'!$AQ421&lt;&gt;"",'[1]Game Input'!$AQ421,"")</f>
        <v>0</v>
      </c>
      <c r="R421" s="9">
        <f>IF('[1]Game Input'!$AR421&lt;&gt;"",'[1]Game Input'!$AR421,"")</f>
        <v>0</v>
      </c>
      <c r="S421" s="9">
        <f>IF('[1]Game Input'!$AS421&lt;&gt;"",'[1]Game Input'!$AS421,"")</f>
        <v>0</v>
      </c>
      <c r="T421" s="10" t="str">
        <f>IF('[1]Game Input'!$BA421&lt;&gt;"",'[1]Game Input'!$BA421,"")</f>
        <v>CHICAGO</v>
      </c>
      <c r="U421" s="9">
        <f>IF('[1]Game Input'!$BU421&lt;&gt;"",'[1]Game Input'!$BU421,"")</f>
        <v>8</v>
      </c>
      <c r="V421" s="9">
        <f>IF('[1]Game Input'!$BV421&lt;&gt;"",'[1]Game Input'!$BV421,"")</f>
        <v>4</v>
      </c>
      <c r="W421" s="9">
        <f>IF('[1]Game Input'!$CB421&lt;&gt;"",'[1]Game Input'!$CB421,"")</f>
        <v>0</v>
      </c>
      <c r="X421" s="9">
        <f>IF('[1]Game Input'!$CC421&lt;&gt;"",'[1]Game Input'!$CC421,"")</f>
        <v>0</v>
      </c>
      <c r="Y421" s="9">
        <f>IF('[1]Game Input'!$CF421&lt;&gt;"",'[1]Game Input'!$CF421,"")</f>
        <v>4</v>
      </c>
      <c r="Z421" s="9">
        <f>IF('[1]Game Input'!$CG421&lt;&gt;"",'[1]Game Input'!$CG421,"")</f>
        <v>0</v>
      </c>
      <c r="AA421" s="9">
        <f>IF('[1]Game Input'!$CH421&lt;&gt;"",'[1]Game Input'!$CH421,"")</f>
        <v>0</v>
      </c>
      <c r="AB421" s="9">
        <f>IF('[1]Game Input'!$CI421&lt;&gt;"",'[1]Game Input'!$CI421,"")</f>
        <v>0</v>
      </c>
      <c r="AC421" s="9">
        <f>IF('[1]Game Input'!$CJ421&lt;&gt;"",'[1]Game Input'!$CJ421,"")</f>
        <v>0</v>
      </c>
      <c r="AD421" s="9">
        <f>IF('[1]Game Input'!$CK421&lt;&gt;"",'[1]Game Input'!$CK421,"")</f>
        <v>0</v>
      </c>
      <c r="AE421" s="8"/>
      <c r="AF421" s="8"/>
      <c r="AG421" s="8"/>
      <c r="AH421" s="8"/>
    </row>
    <row r="422" spans="1:34" x14ac:dyDescent="0.2">
      <c r="A422" s="6">
        <f>IF('[1]Game Input'!$A422&lt;&gt;"",'[1]Game Input'!$A422,"")</f>
        <v>43532</v>
      </c>
      <c r="B422" s="6" t="str">
        <f>IF(A422&gt;$B$1,VLOOKUP(MONTH($A422),DOTWMonth,2,FALSE),"")</f>
        <v>March</v>
      </c>
      <c r="C422" s="10" t="str">
        <f>IF(A422&gt;$B$1,VLOOKUP(WEEKDAY($A422),DOTWMonth,3,FALSE),"")</f>
        <v>Friday</v>
      </c>
      <c r="D422" s="7">
        <f>IF('[1]Game Input'!$B422&lt;&gt;"",'[1]Game Input'!$B422,"")</f>
        <v>0.83680555555555547</v>
      </c>
      <c r="E422" s="7">
        <f>IF('[1]Game Input'!$C422&lt;&gt;"",'[1]Game Input'!$C422,"")</f>
        <v>0.79513888888888884</v>
      </c>
      <c r="F422" s="8" t="str">
        <f>IF('[1]Game Input'!$D422&lt;&gt;"",'[1]Game Input'!$D422,"")</f>
        <v>Standard</v>
      </c>
      <c r="G422" s="8" t="str">
        <f>IF('[1]Game Input'!$G422&lt;&gt;"",'[1]Game Input'!$G422,"")</f>
        <v>USA @ LIN</v>
      </c>
      <c r="H422" s="8" t="str">
        <f>IF('[1]Game Input'!$H422&lt;&gt;"",'[1]Game Input'!$H422,"")</f>
        <v>Vs. Non-Conference</v>
      </c>
      <c r="I422" s="8" t="str">
        <f>IF('[1]Game Input'!$I422&lt;&gt;"",'[1]Game Input'!$I422,"")</f>
        <v>TEAM USA</v>
      </c>
      <c r="J422" s="9">
        <f>IF('[1]Game Input'!$AC422&lt;&gt;"",'[1]Game Input'!$AC422,"")</f>
        <v>12</v>
      </c>
      <c r="K422" s="9">
        <f>IF('[1]Game Input'!$AD422&lt;&gt;"",'[1]Game Input'!$AD422,"")</f>
        <v>6</v>
      </c>
      <c r="L422" s="9">
        <f>IF('[1]Game Input'!$AJ422&lt;&gt;"",'[1]Game Input'!$AJ422,"")</f>
        <v>0</v>
      </c>
      <c r="M422" s="9">
        <f>IF('[1]Game Input'!$AK422&lt;&gt;"",'[1]Game Input'!$AK422,"")</f>
        <v>0</v>
      </c>
      <c r="N422" s="9">
        <f>IF('[1]Game Input'!$AN422&lt;&gt;"",'[1]Game Input'!$AN422,"")</f>
        <v>6</v>
      </c>
      <c r="O422" s="9">
        <f>IF('[1]Game Input'!$AO422&lt;&gt;"",'[1]Game Input'!$AO422,"")</f>
        <v>0</v>
      </c>
      <c r="P422" s="9">
        <f>IF('[1]Game Input'!$AP422&lt;&gt;"",'[1]Game Input'!$AP422,"")</f>
        <v>0</v>
      </c>
      <c r="Q422" s="9">
        <f>IF('[1]Game Input'!$AQ422&lt;&gt;"",'[1]Game Input'!$AQ422,"")</f>
        <v>0</v>
      </c>
      <c r="R422" s="9">
        <f>IF('[1]Game Input'!$AR422&lt;&gt;"",'[1]Game Input'!$AR422,"")</f>
        <v>0</v>
      </c>
      <c r="S422" s="9">
        <f>IF('[1]Game Input'!$AS422&lt;&gt;"",'[1]Game Input'!$AS422,"")</f>
        <v>0</v>
      </c>
      <c r="T422" s="10" t="str">
        <f>IF('[1]Game Input'!$BA422&lt;&gt;"",'[1]Game Input'!$BA422,"")</f>
        <v>LINCOLN</v>
      </c>
      <c r="U422" s="9">
        <f>IF('[1]Game Input'!$BU422&lt;&gt;"",'[1]Game Input'!$BU422,"")</f>
        <v>12</v>
      </c>
      <c r="V422" s="9">
        <f>IF('[1]Game Input'!$BV422&lt;&gt;"",'[1]Game Input'!$BV422,"")</f>
        <v>6</v>
      </c>
      <c r="W422" s="9">
        <f>IF('[1]Game Input'!$CB422&lt;&gt;"",'[1]Game Input'!$CB422,"")</f>
        <v>0</v>
      </c>
      <c r="X422" s="9">
        <f>IF('[1]Game Input'!$CC422&lt;&gt;"",'[1]Game Input'!$CC422,"")</f>
        <v>0</v>
      </c>
      <c r="Y422" s="9">
        <f>IF('[1]Game Input'!$CF422&lt;&gt;"",'[1]Game Input'!$CF422,"")</f>
        <v>6</v>
      </c>
      <c r="Z422" s="9">
        <f>IF('[1]Game Input'!$CG422&lt;&gt;"",'[1]Game Input'!$CG422,"")</f>
        <v>0</v>
      </c>
      <c r="AA422" s="9">
        <f>IF('[1]Game Input'!$CH422&lt;&gt;"",'[1]Game Input'!$CH422,"")</f>
        <v>0</v>
      </c>
      <c r="AB422" s="9">
        <f>IF('[1]Game Input'!$CI422&lt;&gt;"",'[1]Game Input'!$CI422,"")</f>
        <v>0</v>
      </c>
      <c r="AC422" s="9">
        <f>IF('[1]Game Input'!$CJ422&lt;&gt;"",'[1]Game Input'!$CJ422,"")</f>
        <v>0</v>
      </c>
      <c r="AD422" s="9">
        <f>IF('[1]Game Input'!$CK422&lt;&gt;"",'[1]Game Input'!$CK422,"")</f>
        <v>0</v>
      </c>
      <c r="AE422" s="8"/>
      <c r="AF422" s="8"/>
      <c r="AG422" s="8"/>
      <c r="AH422" s="8"/>
    </row>
    <row r="423" spans="1:34" x14ac:dyDescent="0.2">
      <c r="A423" s="6">
        <f>IF('[1]Game Input'!$A423&lt;&gt;"",'[1]Game Input'!$A423,"")</f>
        <v>43533</v>
      </c>
      <c r="B423" s="6" t="str">
        <f>IF(A423&gt;$B$1,VLOOKUP(MONTH($A423),DOTWMonth,2,FALSE),"")</f>
        <v>March</v>
      </c>
      <c r="C423" s="10" t="str">
        <f>IF(A423&gt;$B$1,VLOOKUP(WEEKDAY($A423),DOTWMonth,3,FALSE),"")</f>
        <v>Saturday</v>
      </c>
      <c r="D423" s="7">
        <f>IF('[1]Game Input'!$B423&lt;&gt;"",'[1]Game Input'!$B423,"")</f>
        <v>0.79513888888888884</v>
      </c>
      <c r="E423" s="7">
        <f>IF('[1]Game Input'!$C423&lt;&gt;"",'[1]Game Input'!$C423,"")</f>
        <v>0.75347222222222221</v>
      </c>
      <c r="F423" s="8" t="str">
        <f>IF('[1]Game Input'!$D423&lt;&gt;"",'[1]Game Input'!$D423,"")</f>
        <v>Standard</v>
      </c>
      <c r="G423" s="8" t="str">
        <f>IF('[1]Game Input'!$G423&lt;&gt;"",'[1]Game Input'!$G423,"")</f>
        <v>GB @ YNG</v>
      </c>
      <c r="H423" s="8" t="str">
        <f>IF('[1]Game Input'!$H423&lt;&gt;"",'[1]Game Input'!$H423,"")</f>
        <v>Vs. Conference</v>
      </c>
      <c r="I423" s="8" t="str">
        <f>IF('[1]Game Input'!$I423&lt;&gt;"",'[1]Game Input'!$I423,"")</f>
        <v>GREEN BAY</v>
      </c>
      <c r="J423" s="9">
        <f>IF('[1]Game Input'!$AC423&lt;&gt;"",'[1]Game Input'!$AC423,"")</f>
        <v>4</v>
      </c>
      <c r="K423" s="9">
        <f>IF('[1]Game Input'!$AD423&lt;&gt;"",'[1]Game Input'!$AD423,"")</f>
        <v>2</v>
      </c>
      <c r="L423" s="9">
        <f>IF('[1]Game Input'!$AJ423&lt;&gt;"",'[1]Game Input'!$AJ423,"")</f>
        <v>0</v>
      </c>
      <c r="M423" s="9">
        <f>IF('[1]Game Input'!$AK423&lt;&gt;"",'[1]Game Input'!$AK423,"")</f>
        <v>0</v>
      </c>
      <c r="N423" s="9">
        <f>IF('[1]Game Input'!$AN423&lt;&gt;"",'[1]Game Input'!$AN423,"")</f>
        <v>2</v>
      </c>
      <c r="O423" s="9">
        <f>IF('[1]Game Input'!$AO423&lt;&gt;"",'[1]Game Input'!$AO423,"")</f>
        <v>0</v>
      </c>
      <c r="P423" s="9">
        <f>IF('[1]Game Input'!$AP423&lt;&gt;"",'[1]Game Input'!$AP423,"")</f>
        <v>0</v>
      </c>
      <c r="Q423" s="9">
        <f>IF('[1]Game Input'!$AQ423&lt;&gt;"",'[1]Game Input'!$AQ423,"")</f>
        <v>0</v>
      </c>
      <c r="R423" s="9">
        <f>IF('[1]Game Input'!$AR423&lt;&gt;"",'[1]Game Input'!$AR423,"")</f>
        <v>0</v>
      </c>
      <c r="S423" s="9">
        <f>IF('[1]Game Input'!$AS423&lt;&gt;"",'[1]Game Input'!$AS423,"")</f>
        <v>0</v>
      </c>
      <c r="T423" s="10" t="str">
        <f>IF('[1]Game Input'!$BA423&lt;&gt;"",'[1]Game Input'!$BA423,"")</f>
        <v>YOUNGSTOWN</v>
      </c>
      <c r="U423" s="9">
        <f>IF('[1]Game Input'!$BU423&lt;&gt;"",'[1]Game Input'!$BU423,"")</f>
        <v>6</v>
      </c>
      <c r="V423" s="9">
        <f>IF('[1]Game Input'!$BV423&lt;&gt;"",'[1]Game Input'!$BV423,"")</f>
        <v>3</v>
      </c>
      <c r="W423" s="9">
        <f>IF('[1]Game Input'!$CB423&lt;&gt;"",'[1]Game Input'!$CB423,"")</f>
        <v>0</v>
      </c>
      <c r="X423" s="9">
        <f>IF('[1]Game Input'!$CC423&lt;&gt;"",'[1]Game Input'!$CC423,"")</f>
        <v>0</v>
      </c>
      <c r="Y423" s="9">
        <f>IF('[1]Game Input'!$CF423&lt;&gt;"",'[1]Game Input'!$CF423,"")</f>
        <v>3</v>
      </c>
      <c r="Z423" s="9">
        <f>IF('[1]Game Input'!$CG423&lt;&gt;"",'[1]Game Input'!$CG423,"")</f>
        <v>0</v>
      </c>
      <c r="AA423" s="9">
        <f>IF('[1]Game Input'!$CH423&lt;&gt;"",'[1]Game Input'!$CH423,"")</f>
        <v>0</v>
      </c>
      <c r="AB423" s="9">
        <f>IF('[1]Game Input'!$CI423&lt;&gt;"",'[1]Game Input'!$CI423,"")</f>
        <v>0</v>
      </c>
      <c r="AC423" s="9">
        <f>IF('[1]Game Input'!$CJ423&lt;&gt;"",'[1]Game Input'!$CJ423,"")</f>
        <v>0</v>
      </c>
      <c r="AD423" s="9">
        <f>IF('[1]Game Input'!$CK423&lt;&gt;"",'[1]Game Input'!$CK423,"")</f>
        <v>0</v>
      </c>
      <c r="AE423" s="8"/>
      <c r="AF423" s="8"/>
      <c r="AG423" s="8"/>
      <c r="AH423" s="8"/>
    </row>
    <row r="424" spans="1:34" x14ac:dyDescent="0.2">
      <c r="A424" s="6">
        <f>IF('[1]Game Input'!$A424&lt;&gt;"",'[1]Game Input'!$A424,"")</f>
        <v>43533</v>
      </c>
      <c r="B424" s="6" t="str">
        <f>IF(A424&gt;$B$1,VLOOKUP(MONTH($A424),DOTWMonth,2,FALSE),"")</f>
        <v>March</v>
      </c>
      <c r="C424" s="10" t="str">
        <f>IF(A424&gt;$B$1,VLOOKUP(WEEKDAY($A424),DOTWMonth,3,FALSE),"")</f>
        <v>Saturday</v>
      </c>
      <c r="D424" s="7">
        <f>IF('[1]Game Input'!$B424&lt;&gt;"",'[1]Game Input'!$B424,"")</f>
        <v>0.83680555555555547</v>
      </c>
      <c r="E424" s="7">
        <f>IF('[1]Game Input'!$C424&lt;&gt;"",'[1]Game Input'!$C424,"")</f>
        <v>0.79513888888888884</v>
      </c>
      <c r="F424" s="8" t="str">
        <f>IF('[1]Game Input'!$D424&lt;&gt;"",'[1]Game Input'!$D424,"")</f>
        <v>Standard</v>
      </c>
      <c r="G424" s="8" t="str">
        <f>IF('[1]Game Input'!$G424&lt;&gt;"",'[1]Game Input'!$G424,"")</f>
        <v>USA @ CHI</v>
      </c>
      <c r="H424" s="8" t="str">
        <f>IF('[1]Game Input'!$H424&lt;&gt;"",'[1]Game Input'!$H424,"")</f>
        <v>Vs. Conference</v>
      </c>
      <c r="I424" s="8" t="str">
        <f>IF('[1]Game Input'!$I424&lt;&gt;"",'[1]Game Input'!$I424,"")</f>
        <v>TEAM USA</v>
      </c>
      <c r="J424" s="9">
        <f>IF('[1]Game Input'!$AC424&lt;&gt;"",'[1]Game Input'!$AC424,"")</f>
        <v>6</v>
      </c>
      <c r="K424" s="9">
        <f>IF('[1]Game Input'!$AD424&lt;&gt;"",'[1]Game Input'!$AD424,"")</f>
        <v>3</v>
      </c>
      <c r="L424" s="9">
        <f>IF('[1]Game Input'!$AJ424&lt;&gt;"",'[1]Game Input'!$AJ424,"")</f>
        <v>0</v>
      </c>
      <c r="M424" s="9">
        <f>IF('[1]Game Input'!$AK424&lt;&gt;"",'[1]Game Input'!$AK424,"")</f>
        <v>1</v>
      </c>
      <c r="N424" s="9">
        <f>IF('[1]Game Input'!$AN424&lt;&gt;"",'[1]Game Input'!$AN424,"")</f>
        <v>3</v>
      </c>
      <c r="O424" s="9">
        <f>IF('[1]Game Input'!$AO424&lt;&gt;"",'[1]Game Input'!$AO424,"")</f>
        <v>0</v>
      </c>
      <c r="P424" s="9">
        <f>IF('[1]Game Input'!$AP424&lt;&gt;"",'[1]Game Input'!$AP424,"")</f>
        <v>0</v>
      </c>
      <c r="Q424" s="9">
        <f>IF('[1]Game Input'!$AQ424&lt;&gt;"",'[1]Game Input'!$AQ424,"")</f>
        <v>0</v>
      </c>
      <c r="R424" s="9">
        <f>IF('[1]Game Input'!$AR424&lt;&gt;"",'[1]Game Input'!$AR424,"")</f>
        <v>0</v>
      </c>
      <c r="S424" s="9">
        <f>IF('[1]Game Input'!$AS424&lt;&gt;"",'[1]Game Input'!$AS424,"")</f>
        <v>1</v>
      </c>
      <c r="T424" s="10" t="str">
        <f>IF('[1]Game Input'!$BA424&lt;&gt;"",'[1]Game Input'!$BA424,"")</f>
        <v>CHICAGO</v>
      </c>
      <c r="U424" s="9">
        <f>IF('[1]Game Input'!$BU424&lt;&gt;"",'[1]Game Input'!$BU424,"")</f>
        <v>6</v>
      </c>
      <c r="V424" s="9">
        <f>IF('[1]Game Input'!$BV424&lt;&gt;"",'[1]Game Input'!$BV424,"")</f>
        <v>4</v>
      </c>
      <c r="W424" s="9">
        <f>IF('[1]Game Input'!$CB424&lt;&gt;"",'[1]Game Input'!$CB424,"")</f>
        <v>0</v>
      </c>
      <c r="X424" s="9">
        <f>IF('[1]Game Input'!$CC424&lt;&gt;"",'[1]Game Input'!$CC424,"")</f>
        <v>0</v>
      </c>
      <c r="Y424" s="9">
        <f>IF('[1]Game Input'!$CF424&lt;&gt;"",'[1]Game Input'!$CF424,"")</f>
        <v>3</v>
      </c>
      <c r="Z424" s="9">
        <f>IF('[1]Game Input'!$CG424&lt;&gt;"",'[1]Game Input'!$CG424,"")</f>
        <v>0</v>
      </c>
      <c r="AA424" s="9">
        <f>IF('[1]Game Input'!$CH424&lt;&gt;"",'[1]Game Input'!$CH424,"")</f>
        <v>0</v>
      </c>
      <c r="AB424" s="9">
        <f>IF('[1]Game Input'!$CI424&lt;&gt;"",'[1]Game Input'!$CI424,"")</f>
        <v>0</v>
      </c>
      <c r="AC424" s="9">
        <f>IF('[1]Game Input'!$CJ424&lt;&gt;"",'[1]Game Input'!$CJ424,"")</f>
        <v>0</v>
      </c>
      <c r="AD424" s="9">
        <f>IF('[1]Game Input'!$CK424&lt;&gt;"",'[1]Game Input'!$CK424,"")</f>
        <v>0</v>
      </c>
      <c r="AE424" s="8"/>
      <c r="AF424" s="8"/>
      <c r="AG424" s="8"/>
      <c r="AH424" s="8"/>
    </row>
    <row r="425" spans="1:34" x14ac:dyDescent="0.2">
      <c r="A425" s="6">
        <f>IF('[1]Game Input'!$A425&lt;&gt;"",'[1]Game Input'!$A425,"")</f>
        <v>43533</v>
      </c>
      <c r="B425" s="6" t="str">
        <f>IF(A425&gt;$B$1,VLOOKUP(MONTH($A425),DOTWMonth,2,FALSE),"")</f>
        <v>March</v>
      </c>
      <c r="C425" s="10" t="str">
        <f>IF(A425&gt;$B$1,VLOOKUP(WEEKDAY($A425),DOTWMonth,3,FALSE),"")</f>
        <v>Saturday</v>
      </c>
      <c r="D425" s="7">
        <f>IF('[1]Game Input'!$B425&lt;&gt;"",'[1]Game Input'!$B425,"")</f>
        <v>0.83680555555555547</v>
      </c>
      <c r="E425" s="7">
        <f>IF('[1]Game Input'!$C425&lt;&gt;"",'[1]Game Input'!$C425,"")</f>
        <v>0.79513888888888884</v>
      </c>
      <c r="F425" s="8" t="str">
        <f>IF('[1]Game Input'!$D425&lt;&gt;"",'[1]Game Input'!$D425,"")</f>
        <v>Standard</v>
      </c>
      <c r="G425" s="8" t="str">
        <f>IF('[1]Game Input'!$G425&lt;&gt;"",'[1]Game Input'!$G425,"")</f>
        <v>OMA @ FGO</v>
      </c>
      <c r="H425" s="8" t="str">
        <f>IF('[1]Game Input'!$H425&lt;&gt;"",'[1]Game Input'!$H425,"")</f>
        <v>Vs. Conference</v>
      </c>
      <c r="I425" s="8" t="str">
        <f>IF('[1]Game Input'!$I425&lt;&gt;"",'[1]Game Input'!$I425,"")</f>
        <v>OMAHA</v>
      </c>
      <c r="J425" s="9">
        <f>IF('[1]Game Input'!$AC425&lt;&gt;"",'[1]Game Input'!$AC425,"")</f>
        <v>6</v>
      </c>
      <c r="K425" s="9">
        <f>IF('[1]Game Input'!$AD425&lt;&gt;"",'[1]Game Input'!$AD425,"")</f>
        <v>3</v>
      </c>
      <c r="L425" s="9">
        <f>IF('[1]Game Input'!$AJ425&lt;&gt;"",'[1]Game Input'!$AJ425,"")</f>
        <v>0</v>
      </c>
      <c r="M425" s="9">
        <f>IF('[1]Game Input'!$AK425&lt;&gt;"",'[1]Game Input'!$AK425,"")</f>
        <v>0</v>
      </c>
      <c r="N425" s="9">
        <f>IF('[1]Game Input'!$AN425&lt;&gt;"",'[1]Game Input'!$AN425,"")</f>
        <v>3</v>
      </c>
      <c r="O425" s="9">
        <f>IF('[1]Game Input'!$AO425&lt;&gt;"",'[1]Game Input'!$AO425,"")</f>
        <v>0</v>
      </c>
      <c r="P425" s="9">
        <f>IF('[1]Game Input'!$AP425&lt;&gt;"",'[1]Game Input'!$AP425,"")</f>
        <v>0</v>
      </c>
      <c r="Q425" s="9">
        <f>IF('[1]Game Input'!$AQ425&lt;&gt;"",'[1]Game Input'!$AQ425,"")</f>
        <v>0</v>
      </c>
      <c r="R425" s="9">
        <f>IF('[1]Game Input'!$AR425&lt;&gt;"",'[1]Game Input'!$AR425,"")</f>
        <v>0</v>
      </c>
      <c r="S425" s="9">
        <f>IF('[1]Game Input'!$AS425&lt;&gt;"",'[1]Game Input'!$AS425,"")</f>
        <v>0</v>
      </c>
      <c r="T425" s="10" t="str">
        <f>IF('[1]Game Input'!$BA425&lt;&gt;"",'[1]Game Input'!$BA425,"")</f>
        <v>FARGO</v>
      </c>
      <c r="U425" s="9">
        <f>IF('[1]Game Input'!$BU425&lt;&gt;"",'[1]Game Input'!$BU425,"")</f>
        <v>16</v>
      </c>
      <c r="V425" s="9">
        <f>IF('[1]Game Input'!$BV425&lt;&gt;"",'[1]Game Input'!$BV425,"")</f>
        <v>8</v>
      </c>
      <c r="W425" s="9">
        <f>IF('[1]Game Input'!$CB425&lt;&gt;"",'[1]Game Input'!$CB425,"")</f>
        <v>0</v>
      </c>
      <c r="X425" s="9">
        <f>IF('[1]Game Input'!$CC425&lt;&gt;"",'[1]Game Input'!$CC425,"")</f>
        <v>0</v>
      </c>
      <c r="Y425" s="9">
        <f>IF('[1]Game Input'!$CF425&lt;&gt;"",'[1]Game Input'!$CF425,"")</f>
        <v>8</v>
      </c>
      <c r="Z425" s="9">
        <f>IF('[1]Game Input'!$CG425&lt;&gt;"",'[1]Game Input'!$CG425,"")</f>
        <v>0</v>
      </c>
      <c r="AA425" s="9">
        <f>IF('[1]Game Input'!$CH425&lt;&gt;"",'[1]Game Input'!$CH425,"")</f>
        <v>0</v>
      </c>
      <c r="AB425" s="9">
        <f>IF('[1]Game Input'!$CI425&lt;&gt;"",'[1]Game Input'!$CI425,"")</f>
        <v>0</v>
      </c>
      <c r="AC425" s="9">
        <f>IF('[1]Game Input'!$CJ425&lt;&gt;"",'[1]Game Input'!$CJ425,"")</f>
        <v>0</v>
      </c>
      <c r="AD425" s="9">
        <f>IF('[1]Game Input'!$CK425&lt;&gt;"",'[1]Game Input'!$CK425,"")</f>
        <v>0</v>
      </c>
      <c r="AE425" s="8"/>
      <c r="AF425" s="8"/>
      <c r="AG425" s="8"/>
      <c r="AH425" s="8"/>
    </row>
    <row r="426" spans="1:34" x14ac:dyDescent="0.2">
      <c r="A426" s="6">
        <f>IF('[1]Game Input'!$A426&lt;&gt;"",'[1]Game Input'!$A426,"")</f>
        <v>43533</v>
      </c>
      <c r="B426" s="6" t="str">
        <f>IF(A426&gt;$B$1,VLOOKUP(MONTH($A426),DOTWMonth,2,FALSE),"")</f>
        <v>March</v>
      </c>
      <c r="C426" s="10" t="str">
        <f>IF(A426&gt;$B$1,VLOOKUP(WEEKDAY($A426),DOTWMonth,3,FALSE),"")</f>
        <v>Saturday</v>
      </c>
      <c r="D426" s="7">
        <f>IF('[1]Game Input'!$B426&lt;&gt;"",'[1]Game Input'!$B426,"")</f>
        <v>0.83680555555555547</v>
      </c>
      <c r="E426" s="7">
        <f>IF('[1]Game Input'!$C426&lt;&gt;"",'[1]Game Input'!$C426,"")</f>
        <v>0.79513888888888884</v>
      </c>
      <c r="F426" s="8" t="str">
        <f>IF('[1]Game Input'!$D426&lt;&gt;"",'[1]Game Input'!$D426,"")</f>
        <v>Standard</v>
      </c>
      <c r="G426" s="8" t="str">
        <f>IF('[1]Game Input'!$G426&lt;&gt;"",'[1]Game Input'!$G426,"")</f>
        <v>CR @ MAD</v>
      </c>
      <c r="H426" s="8" t="str">
        <f>IF('[1]Game Input'!$H426&lt;&gt;"",'[1]Game Input'!$H426,"")</f>
        <v>Vs. Conference</v>
      </c>
      <c r="I426" s="8" t="str">
        <f>IF('[1]Game Input'!$I426&lt;&gt;"",'[1]Game Input'!$I426,"")</f>
        <v>CEDAR RAPIDS</v>
      </c>
      <c r="J426" s="9">
        <f>IF('[1]Game Input'!$AC426&lt;&gt;"",'[1]Game Input'!$AC426,"")</f>
        <v>10</v>
      </c>
      <c r="K426" s="9">
        <f>IF('[1]Game Input'!$AD426&lt;&gt;"",'[1]Game Input'!$AD426,"")</f>
        <v>5</v>
      </c>
      <c r="L426" s="9">
        <f>IF('[1]Game Input'!$AJ426&lt;&gt;"",'[1]Game Input'!$AJ426,"")</f>
        <v>0</v>
      </c>
      <c r="M426" s="9">
        <f>IF('[1]Game Input'!$AK426&lt;&gt;"",'[1]Game Input'!$AK426,"")</f>
        <v>0</v>
      </c>
      <c r="N426" s="9">
        <f>IF('[1]Game Input'!$AN426&lt;&gt;"",'[1]Game Input'!$AN426,"")</f>
        <v>5</v>
      </c>
      <c r="O426" s="9">
        <f>IF('[1]Game Input'!$AO426&lt;&gt;"",'[1]Game Input'!$AO426,"")</f>
        <v>0</v>
      </c>
      <c r="P426" s="9">
        <f>IF('[1]Game Input'!$AP426&lt;&gt;"",'[1]Game Input'!$AP426,"")</f>
        <v>0</v>
      </c>
      <c r="Q426" s="9">
        <f>IF('[1]Game Input'!$AQ426&lt;&gt;"",'[1]Game Input'!$AQ426,"")</f>
        <v>0</v>
      </c>
      <c r="R426" s="9">
        <f>IF('[1]Game Input'!$AR426&lt;&gt;"",'[1]Game Input'!$AR426,"")</f>
        <v>0</v>
      </c>
      <c r="S426" s="9">
        <f>IF('[1]Game Input'!$AS426&lt;&gt;"",'[1]Game Input'!$AS426,"")</f>
        <v>0</v>
      </c>
      <c r="T426" s="10" t="str">
        <f>IF('[1]Game Input'!$BA426&lt;&gt;"",'[1]Game Input'!$BA426,"")</f>
        <v>MADISON</v>
      </c>
      <c r="U426" s="9">
        <f>IF('[1]Game Input'!$BU426&lt;&gt;"",'[1]Game Input'!$BU426,"")</f>
        <v>14</v>
      </c>
      <c r="V426" s="9">
        <f>IF('[1]Game Input'!$BV426&lt;&gt;"",'[1]Game Input'!$BV426,"")</f>
        <v>7</v>
      </c>
      <c r="W426" s="9">
        <f>IF('[1]Game Input'!$CB426&lt;&gt;"",'[1]Game Input'!$CB426,"")</f>
        <v>0</v>
      </c>
      <c r="X426" s="9">
        <f>IF('[1]Game Input'!$CC426&lt;&gt;"",'[1]Game Input'!$CC426,"")</f>
        <v>0</v>
      </c>
      <c r="Y426" s="9">
        <f>IF('[1]Game Input'!$CF426&lt;&gt;"",'[1]Game Input'!$CF426,"")</f>
        <v>7</v>
      </c>
      <c r="Z426" s="9">
        <f>IF('[1]Game Input'!$CG426&lt;&gt;"",'[1]Game Input'!$CG426,"")</f>
        <v>0</v>
      </c>
      <c r="AA426" s="9">
        <f>IF('[1]Game Input'!$CH426&lt;&gt;"",'[1]Game Input'!$CH426,"")</f>
        <v>0</v>
      </c>
      <c r="AB426" s="9">
        <f>IF('[1]Game Input'!$CI426&lt;&gt;"",'[1]Game Input'!$CI426,"")</f>
        <v>0</v>
      </c>
      <c r="AC426" s="9">
        <f>IF('[1]Game Input'!$CJ426&lt;&gt;"",'[1]Game Input'!$CJ426,"")</f>
        <v>0</v>
      </c>
      <c r="AD426" s="9">
        <f>IF('[1]Game Input'!$CK426&lt;&gt;"",'[1]Game Input'!$CK426,"")</f>
        <v>0</v>
      </c>
      <c r="AE426" s="8" t="s">
        <v>152</v>
      </c>
      <c r="AF426" s="8"/>
      <c r="AG426" s="8" t="s">
        <v>145</v>
      </c>
      <c r="AH426" s="8" t="s">
        <v>153</v>
      </c>
    </row>
    <row r="427" spans="1:34" x14ac:dyDescent="0.2">
      <c r="A427" s="6">
        <f>IF('[1]Game Input'!$A427&lt;&gt;"",'[1]Game Input'!$A427,"")</f>
        <v>43533</v>
      </c>
      <c r="B427" s="6" t="str">
        <f>IF(A427&gt;$B$1,VLOOKUP(MONTH($A427),DOTWMonth,2,FALSE),"")</f>
        <v>March</v>
      </c>
      <c r="C427" s="10" t="str">
        <f>IF(A427&gt;$B$1,VLOOKUP(WEEKDAY($A427),DOTWMonth,3,FALSE),"")</f>
        <v>Saturday</v>
      </c>
      <c r="D427" s="7">
        <f>IF('[1]Game Input'!$B427&lt;&gt;"",'[1]Game Input'!$B427,"")</f>
        <v>0.83680555555555547</v>
      </c>
      <c r="E427" s="7">
        <f>IF('[1]Game Input'!$C427&lt;&gt;"",'[1]Game Input'!$C427,"")</f>
        <v>0.79513888888888884</v>
      </c>
      <c r="F427" s="8" t="str">
        <f>IF('[1]Game Input'!$D427&lt;&gt;"",'[1]Game Input'!$D427,"")</f>
        <v>Standard</v>
      </c>
      <c r="G427" s="8" t="str">
        <f>IF('[1]Game Input'!$G427&lt;&gt;"",'[1]Game Input'!$G427,"")</f>
        <v>SC @ TC</v>
      </c>
      <c r="H427" s="8" t="str">
        <f>IF('[1]Game Input'!$H427&lt;&gt;"",'[1]Game Input'!$H427,"")</f>
        <v>Vs. Conference</v>
      </c>
      <c r="I427" s="8" t="str">
        <f>IF('[1]Game Input'!$I427&lt;&gt;"",'[1]Game Input'!$I427,"")</f>
        <v>SIOUX CITY</v>
      </c>
      <c r="J427" s="9">
        <f>IF('[1]Game Input'!$AC427&lt;&gt;"",'[1]Game Input'!$AC427,"")</f>
        <v>8</v>
      </c>
      <c r="K427" s="9">
        <f>IF('[1]Game Input'!$AD427&lt;&gt;"",'[1]Game Input'!$AD427,"")</f>
        <v>4</v>
      </c>
      <c r="L427" s="9">
        <f>IF('[1]Game Input'!$AJ427&lt;&gt;"",'[1]Game Input'!$AJ427,"")</f>
        <v>0</v>
      </c>
      <c r="M427" s="9">
        <f>IF('[1]Game Input'!$AK427&lt;&gt;"",'[1]Game Input'!$AK427,"")</f>
        <v>0</v>
      </c>
      <c r="N427" s="9">
        <f>IF('[1]Game Input'!$AN427&lt;&gt;"",'[1]Game Input'!$AN427,"")</f>
        <v>4</v>
      </c>
      <c r="O427" s="9">
        <f>IF('[1]Game Input'!$AO427&lt;&gt;"",'[1]Game Input'!$AO427,"")</f>
        <v>0</v>
      </c>
      <c r="P427" s="9">
        <f>IF('[1]Game Input'!$AP427&lt;&gt;"",'[1]Game Input'!$AP427,"")</f>
        <v>0</v>
      </c>
      <c r="Q427" s="9">
        <f>IF('[1]Game Input'!$AQ427&lt;&gt;"",'[1]Game Input'!$AQ427,"")</f>
        <v>0</v>
      </c>
      <c r="R427" s="9">
        <f>IF('[1]Game Input'!$AR427&lt;&gt;"",'[1]Game Input'!$AR427,"")</f>
        <v>0</v>
      </c>
      <c r="S427" s="9">
        <f>IF('[1]Game Input'!$AS427&lt;&gt;"",'[1]Game Input'!$AS427,"")</f>
        <v>0</v>
      </c>
      <c r="T427" s="10" t="str">
        <f>IF('[1]Game Input'!$BA427&lt;&gt;"",'[1]Game Input'!$BA427,"")</f>
        <v>TRI-CITY</v>
      </c>
      <c r="U427" s="9">
        <f>IF('[1]Game Input'!$BU427&lt;&gt;"",'[1]Game Input'!$BU427,"")</f>
        <v>8</v>
      </c>
      <c r="V427" s="9">
        <f>IF('[1]Game Input'!$BV427&lt;&gt;"",'[1]Game Input'!$BV427,"")</f>
        <v>4</v>
      </c>
      <c r="W427" s="9">
        <f>IF('[1]Game Input'!$CB427&lt;&gt;"",'[1]Game Input'!$CB427,"")</f>
        <v>0</v>
      </c>
      <c r="X427" s="9">
        <f>IF('[1]Game Input'!$CC427&lt;&gt;"",'[1]Game Input'!$CC427,"")</f>
        <v>0</v>
      </c>
      <c r="Y427" s="9">
        <f>IF('[1]Game Input'!$CF427&lt;&gt;"",'[1]Game Input'!$CF427,"")</f>
        <v>4</v>
      </c>
      <c r="Z427" s="9">
        <f>IF('[1]Game Input'!$CG427&lt;&gt;"",'[1]Game Input'!$CG427,"")</f>
        <v>0</v>
      </c>
      <c r="AA427" s="9">
        <f>IF('[1]Game Input'!$CH427&lt;&gt;"",'[1]Game Input'!$CH427,"")</f>
        <v>0</v>
      </c>
      <c r="AB427" s="9">
        <f>IF('[1]Game Input'!$CI427&lt;&gt;"",'[1]Game Input'!$CI427,"")</f>
        <v>0</v>
      </c>
      <c r="AC427" s="9">
        <f>IF('[1]Game Input'!$CJ427&lt;&gt;"",'[1]Game Input'!$CJ427,"")</f>
        <v>0</v>
      </c>
      <c r="AD427" s="9">
        <f>IF('[1]Game Input'!$CK427&lt;&gt;"",'[1]Game Input'!$CK427,"")</f>
        <v>0</v>
      </c>
      <c r="AE427" s="8"/>
      <c r="AF427" s="8"/>
      <c r="AG427" s="8"/>
      <c r="AH427" s="8"/>
    </row>
    <row r="428" spans="1:34" x14ac:dyDescent="0.2">
      <c r="A428" s="6">
        <f>IF('[1]Game Input'!$A428&lt;&gt;"",'[1]Game Input'!$A428,"")</f>
        <v>43533</v>
      </c>
      <c r="B428" s="6" t="str">
        <f>IF(A428&gt;$B$1,VLOOKUP(MONTH($A428),DOTWMonth,2,FALSE),"")</f>
        <v>March</v>
      </c>
      <c r="C428" s="10" t="str">
        <f>IF(A428&gt;$B$1,VLOOKUP(WEEKDAY($A428),DOTWMonth,3,FALSE),"")</f>
        <v>Saturday</v>
      </c>
      <c r="D428" s="7">
        <f>IF('[1]Game Input'!$B428&lt;&gt;"",'[1]Game Input'!$B428,"")</f>
        <v>0.83680555555555547</v>
      </c>
      <c r="E428" s="7">
        <f>IF('[1]Game Input'!$C428&lt;&gt;"",'[1]Game Input'!$C428,"")</f>
        <v>0.79513888888888884</v>
      </c>
      <c r="F428" s="8" t="str">
        <f>IF('[1]Game Input'!$D428&lt;&gt;"",'[1]Game Input'!$D428,"")</f>
        <v>Standard</v>
      </c>
      <c r="G428" s="8" t="str">
        <f>IF('[1]Game Input'!$G428&lt;&gt;"",'[1]Game Input'!$G428,"")</f>
        <v>SF @ WAT</v>
      </c>
      <c r="H428" s="8" t="str">
        <f>IF('[1]Game Input'!$H428&lt;&gt;"",'[1]Game Input'!$H428,"")</f>
        <v>Vs. Conference</v>
      </c>
      <c r="I428" s="8" t="str">
        <f>IF('[1]Game Input'!$I428&lt;&gt;"",'[1]Game Input'!$I428,"")</f>
        <v>SIOUX FALLS</v>
      </c>
      <c r="J428" s="9">
        <f>IF('[1]Game Input'!$AC428&lt;&gt;"",'[1]Game Input'!$AC428,"")</f>
        <v>47</v>
      </c>
      <c r="K428" s="9">
        <f>IF('[1]Game Input'!$AD428&lt;&gt;"",'[1]Game Input'!$AD428,"")</f>
        <v>14</v>
      </c>
      <c r="L428" s="9">
        <f>IF('[1]Game Input'!$AJ428&lt;&gt;"",'[1]Game Input'!$AJ428,"")</f>
        <v>0</v>
      </c>
      <c r="M428" s="9">
        <f>IF('[1]Game Input'!$AK428&lt;&gt;"",'[1]Game Input'!$AK428,"")</f>
        <v>0</v>
      </c>
      <c r="N428" s="9">
        <f>IF('[1]Game Input'!$AN428&lt;&gt;"",'[1]Game Input'!$AN428,"")</f>
        <v>11</v>
      </c>
      <c r="O428" s="9">
        <f>IF('[1]Game Input'!$AO428&lt;&gt;"",'[1]Game Input'!$AO428,"")</f>
        <v>1</v>
      </c>
      <c r="P428" s="9">
        <f>IF('[1]Game Input'!$AP428&lt;&gt;"",'[1]Game Input'!$AP428,"")</f>
        <v>2</v>
      </c>
      <c r="Q428" s="9">
        <f>IF('[1]Game Input'!$AQ428&lt;&gt;"",'[1]Game Input'!$AQ428,"")</f>
        <v>0</v>
      </c>
      <c r="R428" s="9">
        <f>IF('[1]Game Input'!$AR428&lt;&gt;"",'[1]Game Input'!$AR428,"")</f>
        <v>0</v>
      </c>
      <c r="S428" s="9">
        <f>IF('[1]Game Input'!$AS428&lt;&gt;"",'[1]Game Input'!$AS428,"")</f>
        <v>0</v>
      </c>
      <c r="T428" s="10" t="str">
        <f>IF('[1]Game Input'!$BA428&lt;&gt;"",'[1]Game Input'!$BA428,"")</f>
        <v>WATERLOO</v>
      </c>
      <c r="U428" s="9">
        <f>IF('[1]Game Input'!$BU428&lt;&gt;"",'[1]Game Input'!$BU428,"")</f>
        <v>35</v>
      </c>
      <c r="V428" s="9">
        <f>IF('[1]Game Input'!$BV428&lt;&gt;"",'[1]Game Input'!$BV428,"")</f>
        <v>12</v>
      </c>
      <c r="W428" s="9">
        <f>IF('[1]Game Input'!$CB428&lt;&gt;"",'[1]Game Input'!$CB428,"")</f>
        <v>0</v>
      </c>
      <c r="X428" s="9">
        <f>IF('[1]Game Input'!$CC428&lt;&gt;"",'[1]Game Input'!$CC428,"")</f>
        <v>0</v>
      </c>
      <c r="Y428" s="9">
        <f>IF('[1]Game Input'!$CF428&lt;&gt;"",'[1]Game Input'!$CF428,"")</f>
        <v>10</v>
      </c>
      <c r="Z428" s="9">
        <f>IF('[1]Game Input'!$CG428&lt;&gt;"",'[1]Game Input'!$CG428,"")</f>
        <v>1</v>
      </c>
      <c r="AA428" s="9">
        <f>IF('[1]Game Input'!$CH428&lt;&gt;"",'[1]Game Input'!$CH428,"")</f>
        <v>1</v>
      </c>
      <c r="AB428" s="9">
        <f>IF('[1]Game Input'!$CI428&lt;&gt;"",'[1]Game Input'!$CI428,"")</f>
        <v>0</v>
      </c>
      <c r="AC428" s="9">
        <f>IF('[1]Game Input'!$CJ428&lt;&gt;"",'[1]Game Input'!$CJ428,"")</f>
        <v>0</v>
      </c>
      <c r="AD428" s="9">
        <f>IF('[1]Game Input'!$CK428&lt;&gt;"",'[1]Game Input'!$CK428,"")</f>
        <v>0</v>
      </c>
      <c r="AE428" s="8"/>
      <c r="AF428" s="8"/>
      <c r="AG428" s="8"/>
      <c r="AH428" s="8"/>
    </row>
    <row r="429" spans="1:34" x14ac:dyDescent="0.2">
      <c r="A429" s="6">
        <f>IF('[1]Game Input'!$A429&lt;&gt;"",'[1]Game Input'!$A429,"")</f>
        <v>43533</v>
      </c>
      <c r="B429" s="6" t="str">
        <f>IF(A429&gt;$B$1,VLOOKUP(MONTH($A429),DOTWMonth,2,FALSE),"")</f>
        <v>March</v>
      </c>
      <c r="C429" s="10" t="str">
        <f>IF(A429&gt;$B$1,VLOOKUP(WEEKDAY($A429),DOTWMonth,3,FALSE),"")</f>
        <v>Saturday</v>
      </c>
      <c r="D429" s="7">
        <f>IF('[1]Game Input'!$B429&lt;&gt;"",'[1]Game Input'!$B429,"")</f>
        <v>0.83680555555555547</v>
      </c>
      <c r="E429" s="7">
        <f>IF('[1]Game Input'!$C429&lt;&gt;"",'[1]Game Input'!$C429,"")</f>
        <v>0.79513888888888884</v>
      </c>
      <c r="F429" s="8" t="str">
        <f>IF('[1]Game Input'!$D429&lt;&gt;"",'[1]Game Input'!$D429,"")</f>
        <v>Standard</v>
      </c>
      <c r="G429" s="8" t="str">
        <f>IF('[1]Game Input'!$G429&lt;&gt;"",'[1]Game Input'!$G429,"")</f>
        <v>DM @ DUB</v>
      </c>
      <c r="H429" s="8" t="str">
        <f>IF('[1]Game Input'!$H429&lt;&gt;"",'[1]Game Input'!$H429,"")</f>
        <v>Vs. Non-Conference</v>
      </c>
      <c r="I429" s="8" t="str">
        <f>IF('[1]Game Input'!$I429&lt;&gt;"",'[1]Game Input'!$I429,"")</f>
        <v>DES MOINES</v>
      </c>
      <c r="J429" s="9">
        <f>IF('[1]Game Input'!$AC429&lt;&gt;"",'[1]Game Input'!$AC429,"")</f>
        <v>6</v>
      </c>
      <c r="K429" s="9">
        <f>IF('[1]Game Input'!$AD429&lt;&gt;"",'[1]Game Input'!$AD429,"")</f>
        <v>3</v>
      </c>
      <c r="L429" s="9">
        <f>IF('[1]Game Input'!$AJ429&lt;&gt;"",'[1]Game Input'!$AJ429,"")</f>
        <v>1</v>
      </c>
      <c r="M429" s="9">
        <f>IF('[1]Game Input'!$AK429&lt;&gt;"",'[1]Game Input'!$AK429,"")</f>
        <v>1</v>
      </c>
      <c r="N429" s="9">
        <f>IF('[1]Game Input'!$AN429&lt;&gt;"",'[1]Game Input'!$AN429,"")</f>
        <v>3</v>
      </c>
      <c r="O429" s="9">
        <f>IF('[1]Game Input'!$AO429&lt;&gt;"",'[1]Game Input'!$AO429,"")</f>
        <v>0</v>
      </c>
      <c r="P429" s="9">
        <f>IF('[1]Game Input'!$AP429&lt;&gt;"",'[1]Game Input'!$AP429,"")</f>
        <v>0</v>
      </c>
      <c r="Q429" s="9">
        <f>IF('[1]Game Input'!$AQ429&lt;&gt;"",'[1]Game Input'!$AQ429,"")</f>
        <v>0</v>
      </c>
      <c r="R429" s="9">
        <f>IF('[1]Game Input'!$AR429&lt;&gt;"",'[1]Game Input'!$AR429,"")</f>
        <v>0</v>
      </c>
      <c r="S429" s="9">
        <f>IF('[1]Game Input'!$AS429&lt;&gt;"",'[1]Game Input'!$AS429,"")</f>
        <v>1</v>
      </c>
      <c r="T429" s="10" t="str">
        <f>IF('[1]Game Input'!$BA429&lt;&gt;"",'[1]Game Input'!$BA429,"")</f>
        <v>DUBUQUE</v>
      </c>
      <c r="U429" s="9">
        <f>IF('[1]Game Input'!$BU429&lt;&gt;"",'[1]Game Input'!$BU429,"")</f>
        <v>6</v>
      </c>
      <c r="V429" s="9">
        <f>IF('[1]Game Input'!$BV429&lt;&gt;"",'[1]Game Input'!$BV429,"")</f>
        <v>4</v>
      </c>
      <c r="W429" s="9">
        <f>IF('[1]Game Input'!$CB429&lt;&gt;"",'[1]Game Input'!$CB429,"")</f>
        <v>0</v>
      </c>
      <c r="X429" s="9">
        <f>IF('[1]Game Input'!$CC429&lt;&gt;"",'[1]Game Input'!$CC429,"")</f>
        <v>0</v>
      </c>
      <c r="Y429" s="9">
        <f>IF('[1]Game Input'!$CF429&lt;&gt;"",'[1]Game Input'!$CF429,"")</f>
        <v>3</v>
      </c>
      <c r="Z429" s="9">
        <f>IF('[1]Game Input'!$CG429&lt;&gt;"",'[1]Game Input'!$CG429,"")</f>
        <v>0</v>
      </c>
      <c r="AA429" s="9">
        <f>IF('[1]Game Input'!$CH429&lt;&gt;"",'[1]Game Input'!$CH429,"")</f>
        <v>0</v>
      </c>
      <c r="AB429" s="9">
        <f>IF('[1]Game Input'!$CI429&lt;&gt;"",'[1]Game Input'!$CI429,"")</f>
        <v>0</v>
      </c>
      <c r="AC429" s="9">
        <f>IF('[1]Game Input'!$CJ429&lt;&gt;"",'[1]Game Input'!$CJ429,"")</f>
        <v>0</v>
      </c>
      <c r="AD429" s="9">
        <f>IF('[1]Game Input'!$CK429&lt;&gt;"",'[1]Game Input'!$CK429,"")</f>
        <v>0</v>
      </c>
      <c r="AE429" s="8" t="s">
        <v>103</v>
      </c>
      <c r="AF429" s="8"/>
      <c r="AG429" s="8" t="s">
        <v>121</v>
      </c>
      <c r="AH429" s="8" t="s">
        <v>141</v>
      </c>
    </row>
    <row r="430" spans="1:34" x14ac:dyDescent="0.2">
      <c r="A430" s="6">
        <f>IF('[1]Game Input'!$A430&lt;&gt;"",'[1]Game Input'!$A430,"")</f>
        <v>43533</v>
      </c>
      <c r="B430" s="6" t="str">
        <f>IF(A430&gt;$B$1,VLOOKUP(MONTH($A430),DOTWMonth,2,FALSE),"")</f>
        <v>March</v>
      </c>
      <c r="C430" s="10" t="str">
        <f>IF(A430&gt;$B$1,VLOOKUP(WEEKDAY($A430),DOTWMonth,3,FALSE),"")</f>
        <v>Saturday</v>
      </c>
      <c r="D430" s="7">
        <f>IF('[1]Game Input'!$B430&lt;&gt;"",'[1]Game Input'!$B430,"")</f>
        <v>0.83680555555555547</v>
      </c>
      <c r="E430" s="7">
        <f>IF('[1]Game Input'!$C430&lt;&gt;"",'[1]Game Input'!$C430,"")</f>
        <v>0.79513888888888884</v>
      </c>
      <c r="F430" s="8" t="str">
        <f>IF('[1]Game Input'!$D430&lt;&gt;"",'[1]Game Input'!$D430,"")</f>
        <v>Standard</v>
      </c>
      <c r="G430" s="8" t="str">
        <f>IF('[1]Game Input'!$G430&lt;&gt;"",'[1]Game Input'!$G430,"")</f>
        <v>USA @ LIN</v>
      </c>
      <c r="H430" s="8" t="str">
        <f>IF('[1]Game Input'!$H430&lt;&gt;"",'[1]Game Input'!$H430,"")</f>
        <v>Vs. Non-Conference</v>
      </c>
      <c r="I430" s="8" t="str">
        <f>IF('[1]Game Input'!$I430&lt;&gt;"",'[1]Game Input'!$I430,"")</f>
        <v>TEAM USA</v>
      </c>
      <c r="J430" s="9">
        <f>IF('[1]Game Input'!$AC430&lt;&gt;"",'[1]Game Input'!$AC430,"")</f>
        <v>8</v>
      </c>
      <c r="K430" s="9">
        <f>IF('[1]Game Input'!$AD430&lt;&gt;"",'[1]Game Input'!$AD430,"")</f>
        <v>4</v>
      </c>
      <c r="L430" s="9">
        <f>IF('[1]Game Input'!$AJ430&lt;&gt;"",'[1]Game Input'!$AJ430,"")</f>
        <v>0</v>
      </c>
      <c r="M430" s="9">
        <f>IF('[1]Game Input'!$AK430&lt;&gt;"",'[1]Game Input'!$AK430,"")</f>
        <v>0</v>
      </c>
      <c r="N430" s="9">
        <f>IF('[1]Game Input'!$AN430&lt;&gt;"",'[1]Game Input'!$AN430,"")</f>
        <v>4</v>
      </c>
      <c r="O430" s="9">
        <f>IF('[1]Game Input'!$AO430&lt;&gt;"",'[1]Game Input'!$AO430,"")</f>
        <v>0</v>
      </c>
      <c r="P430" s="9">
        <f>IF('[1]Game Input'!$AP430&lt;&gt;"",'[1]Game Input'!$AP430,"")</f>
        <v>0</v>
      </c>
      <c r="Q430" s="9">
        <f>IF('[1]Game Input'!$AQ430&lt;&gt;"",'[1]Game Input'!$AQ430,"")</f>
        <v>0</v>
      </c>
      <c r="R430" s="9">
        <f>IF('[1]Game Input'!$AR430&lt;&gt;"",'[1]Game Input'!$AR430,"")</f>
        <v>0</v>
      </c>
      <c r="S430" s="9">
        <f>IF('[1]Game Input'!$AS430&lt;&gt;"",'[1]Game Input'!$AS430,"")</f>
        <v>0</v>
      </c>
      <c r="T430" s="10" t="str">
        <f>IF('[1]Game Input'!$BA430&lt;&gt;"",'[1]Game Input'!$BA430,"")</f>
        <v>LINCOLN</v>
      </c>
      <c r="U430" s="9">
        <f>IF('[1]Game Input'!$BU430&lt;&gt;"",'[1]Game Input'!$BU430,"")</f>
        <v>6</v>
      </c>
      <c r="V430" s="9">
        <f>IF('[1]Game Input'!$BV430&lt;&gt;"",'[1]Game Input'!$BV430,"")</f>
        <v>3</v>
      </c>
      <c r="W430" s="9">
        <f>IF('[1]Game Input'!$CB430&lt;&gt;"",'[1]Game Input'!$CB430,"")</f>
        <v>0</v>
      </c>
      <c r="X430" s="9">
        <f>IF('[1]Game Input'!$CC430&lt;&gt;"",'[1]Game Input'!$CC430,"")</f>
        <v>0</v>
      </c>
      <c r="Y430" s="9">
        <f>IF('[1]Game Input'!$CF430&lt;&gt;"",'[1]Game Input'!$CF430,"")</f>
        <v>3</v>
      </c>
      <c r="Z430" s="9">
        <f>IF('[1]Game Input'!$CG430&lt;&gt;"",'[1]Game Input'!$CG430,"")</f>
        <v>0</v>
      </c>
      <c r="AA430" s="9">
        <f>IF('[1]Game Input'!$CH430&lt;&gt;"",'[1]Game Input'!$CH430,"")</f>
        <v>0</v>
      </c>
      <c r="AB430" s="9">
        <f>IF('[1]Game Input'!$CI430&lt;&gt;"",'[1]Game Input'!$CI430,"")</f>
        <v>0</v>
      </c>
      <c r="AC430" s="9">
        <f>IF('[1]Game Input'!$CJ430&lt;&gt;"",'[1]Game Input'!$CJ430,"")</f>
        <v>0</v>
      </c>
      <c r="AD430" s="9">
        <f>IF('[1]Game Input'!$CK430&lt;&gt;"",'[1]Game Input'!$CK430,"")</f>
        <v>0</v>
      </c>
      <c r="AE430" s="8"/>
      <c r="AF430" s="8"/>
      <c r="AG430" s="8"/>
      <c r="AH430" s="8"/>
    </row>
    <row r="431" spans="1:34" x14ac:dyDescent="0.2">
      <c r="A431" s="6">
        <f>IF('[1]Game Input'!$A431&lt;&gt;"",'[1]Game Input'!$A431,"")</f>
        <v>43533</v>
      </c>
      <c r="B431" s="6" t="str">
        <f>IF(A431&gt;$B$1,VLOOKUP(MONTH($A431),DOTWMonth,2,FALSE),"")</f>
        <v>March</v>
      </c>
      <c r="C431" s="10" t="str">
        <f>IF(A431&gt;$B$1,VLOOKUP(WEEKDAY($A431),DOTWMonth,3,FALSE),"")</f>
        <v>Saturday</v>
      </c>
      <c r="D431" s="7">
        <f>IF('[1]Game Input'!$B431&lt;&gt;"",'[1]Game Input'!$B431,"")</f>
        <v>0.83819444444444446</v>
      </c>
      <c r="E431" s="7">
        <f>IF('[1]Game Input'!$C431&lt;&gt;"",'[1]Game Input'!$C431,"")</f>
        <v>0.79652777777777783</v>
      </c>
      <c r="F431" s="8" t="str">
        <f>IF('[1]Game Input'!$D431&lt;&gt;"",'[1]Game Input'!$D431,"")</f>
        <v>Standard</v>
      </c>
      <c r="G431" s="8" t="str">
        <f>IF('[1]Game Input'!$G431&lt;&gt;"",'[1]Game Input'!$G431,"")</f>
        <v>MUS @ CIL</v>
      </c>
      <c r="H431" s="8" t="str">
        <f>IF('[1]Game Input'!$H431&lt;&gt;"",'[1]Game Input'!$H431,"")</f>
        <v>Vs. Conference</v>
      </c>
      <c r="I431" s="8" t="str">
        <f>IF('[1]Game Input'!$I431&lt;&gt;"",'[1]Game Input'!$I431,"")</f>
        <v>MUSKEGON</v>
      </c>
      <c r="J431" s="9">
        <f>IF('[1]Game Input'!$AC431&lt;&gt;"",'[1]Game Input'!$AC431,"")</f>
        <v>8</v>
      </c>
      <c r="K431" s="9">
        <f>IF('[1]Game Input'!$AD431&lt;&gt;"",'[1]Game Input'!$AD431,"")</f>
        <v>4</v>
      </c>
      <c r="L431" s="9">
        <f>IF('[1]Game Input'!$AJ431&lt;&gt;"",'[1]Game Input'!$AJ431,"")</f>
        <v>0</v>
      </c>
      <c r="M431" s="9">
        <f>IF('[1]Game Input'!$AK431&lt;&gt;"",'[1]Game Input'!$AK431,"")</f>
        <v>0</v>
      </c>
      <c r="N431" s="9">
        <f>IF('[1]Game Input'!$AN431&lt;&gt;"",'[1]Game Input'!$AN431,"")</f>
        <v>4</v>
      </c>
      <c r="O431" s="9">
        <f>IF('[1]Game Input'!$AO431&lt;&gt;"",'[1]Game Input'!$AO431,"")</f>
        <v>0</v>
      </c>
      <c r="P431" s="9">
        <f>IF('[1]Game Input'!$AP431&lt;&gt;"",'[1]Game Input'!$AP431,"")</f>
        <v>0</v>
      </c>
      <c r="Q431" s="9">
        <f>IF('[1]Game Input'!$AQ431&lt;&gt;"",'[1]Game Input'!$AQ431,"")</f>
        <v>0</v>
      </c>
      <c r="R431" s="9">
        <f>IF('[1]Game Input'!$AR431&lt;&gt;"",'[1]Game Input'!$AR431,"")</f>
        <v>0</v>
      </c>
      <c r="S431" s="9">
        <f>IF('[1]Game Input'!$AS431&lt;&gt;"",'[1]Game Input'!$AS431,"")</f>
        <v>0</v>
      </c>
      <c r="T431" s="10" t="str">
        <f>IF('[1]Game Input'!$BA431&lt;&gt;"",'[1]Game Input'!$BA431,"")</f>
        <v>CENTRAL ILLINOIS</v>
      </c>
      <c r="U431" s="9">
        <f>IF('[1]Game Input'!$BU431&lt;&gt;"",'[1]Game Input'!$BU431,"")</f>
        <v>10</v>
      </c>
      <c r="V431" s="9">
        <f>IF('[1]Game Input'!$BV431&lt;&gt;"",'[1]Game Input'!$BV431,"")</f>
        <v>5</v>
      </c>
      <c r="W431" s="9">
        <f>IF('[1]Game Input'!$CB431&lt;&gt;"",'[1]Game Input'!$CB431,"")</f>
        <v>0</v>
      </c>
      <c r="X431" s="9">
        <f>IF('[1]Game Input'!$CC431&lt;&gt;"",'[1]Game Input'!$CC431,"")</f>
        <v>0</v>
      </c>
      <c r="Y431" s="9">
        <f>IF('[1]Game Input'!$CF431&lt;&gt;"",'[1]Game Input'!$CF431,"")</f>
        <v>5</v>
      </c>
      <c r="Z431" s="9">
        <f>IF('[1]Game Input'!$CG431&lt;&gt;"",'[1]Game Input'!$CG431,"")</f>
        <v>0</v>
      </c>
      <c r="AA431" s="9">
        <f>IF('[1]Game Input'!$CH431&lt;&gt;"",'[1]Game Input'!$CH431,"")</f>
        <v>0</v>
      </c>
      <c r="AB431" s="9">
        <f>IF('[1]Game Input'!$CI431&lt;&gt;"",'[1]Game Input'!$CI431,"")</f>
        <v>0</v>
      </c>
      <c r="AC431" s="9">
        <f>IF('[1]Game Input'!$CJ431&lt;&gt;"",'[1]Game Input'!$CJ431,"")</f>
        <v>0</v>
      </c>
      <c r="AD431" s="9">
        <f>IF('[1]Game Input'!$CK431&lt;&gt;"",'[1]Game Input'!$CK431,"")</f>
        <v>0</v>
      </c>
      <c r="AE431" s="8" t="s">
        <v>95</v>
      </c>
      <c r="AF431" s="8" t="s">
        <v>131</v>
      </c>
      <c r="AG431" s="8" t="s">
        <v>108</v>
      </c>
      <c r="AH431" s="8" t="s">
        <v>120</v>
      </c>
    </row>
    <row r="432" spans="1:34" x14ac:dyDescent="0.2">
      <c r="A432" s="6">
        <f>IF('[1]Game Input'!$A432&lt;&gt;"",'[1]Game Input'!$A432,"")</f>
        <v>43534</v>
      </c>
      <c r="B432" s="6" t="str">
        <f>IF(A432&gt;$B$1,VLOOKUP(MONTH($A432),DOTWMonth,2,FALSE),"")</f>
        <v>March</v>
      </c>
      <c r="C432" s="10" t="str">
        <f>IF(A432&gt;$B$1,VLOOKUP(WEEKDAY($A432),DOTWMonth,3,FALSE),"")</f>
        <v>Sunday</v>
      </c>
      <c r="D432" s="7">
        <f>IF('[1]Game Input'!$B432&lt;&gt;"",'[1]Game Input'!$B432,"")</f>
        <v>0.70833333333333337</v>
      </c>
      <c r="E432" s="7">
        <f>IF('[1]Game Input'!$C432&lt;&gt;"",'[1]Game Input'!$C432,"")</f>
        <v>0.66666666666666674</v>
      </c>
      <c r="F432" s="8" t="str">
        <f>IF('[1]Game Input'!$D432&lt;&gt;"",'[1]Game Input'!$D432,"")</f>
        <v>Daylight</v>
      </c>
      <c r="G432" s="8" t="str">
        <f>IF('[1]Game Input'!$G432&lt;&gt;"",'[1]Game Input'!$G432,"")</f>
        <v>GB @ YNG</v>
      </c>
      <c r="H432" s="8" t="str">
        <f>IF('[1]Game Input'!$H432&lt;&gt;"",'[1]Game Input'!$H432,"")</f>
        <v>Vs. Conference</v>
      </c>
      <c r="I432" s="8" t="str">
        <f>IF('[1]Game Input'!$I432&lt;&gt;"",'[1]Game Input'!$I432,"")</f>
        <v>GREEN BAY</v>
      </c>
      <c r="J432" s="9">
        <f>IF('[1]Game Input'!$AC432&lt;&gt;"",'[1]Game Input'!$AC432,"")</f>
        <v>10</v>
      </c>
      <c r="K432" s="9">
        <f>IF('[1]Game Input'!$AD432&lt;&gt;"",'[1]Game Input'!$AD432,"")</f>
        <v>5</v>
      </c>
      <c r="L432" s="9">
        <f>IF('[1]Game Input'!$AJ432&lt;&gt;"",'[1]Game Input'!$AJ432,"")</f>
        <v>0</v>
      </c>
      <c r="M432" s="9">
        <f>IF('[1]Game Input'!$AK432&lt;&gt;"",'[1]Game Input'!$AK432,"")</f>
        <v>0</v>
      </c>
      <c r="N432" s="9">
        <f>IF('[1]Game Input'!$AN432&lt;&gt;"",'[1]Game Input'!$AN432,"")</f>
        <v>5</v>
      </c>
      <c r="O432" s="9">
        <f>IF('[1]Game Input'!$AO432&lt;&gt;"",'[1]Game Input'!$AO432,"")</f>
        <v>0</v>
      </c>
      <c r="P432" s="9">
        <f>IF('[1]Game Input'!$AP432&lt;&gt;"",'[1]Game Input'!$AP432,"")</f>
        <v>0</v>
      </c>
      <c r="Q432" s="9">
        <f>IF('[1]Game Input'!$AQ432&lt;&gt;"",'[1]Game Input'!$AQ432,"")</f>
        <v>0</v>
      </c>
      <c r="R432" s="9">
        <f>IF('[1]Game Input'!$AR432&lt;&gt;"",'[1]Game Input'!$AR432,"")</f>
        <v>0</v>
      </c>
      <c r="S432" s="9">
        <f>IF('[1]Game Input'!$AS432&lt;&gt;"",'[1]Game Input'!$AS432,"")</f>
        <v>0</v>
      </c>
      <c r="T432" s="10" t="str">
        <f>IF('[1]Game Input'!$BA432&lt;&gt;"",'[1]Game Input'!$BA432,"")</f>
        <v>YOUNGSTOWN</v>
      </c>
      <c r="U432" s="9">
        <f>IF('[1]Game Input'!$BU432&lt;&gt;"",'[1]Game Input'!$BU432,"")</f>
        <v>8</v>
      </c>
      <c r="V432" s="9">
        <f>IF('[1]Game Input'!$BV432&lt;&gt;"",'[1]Game Input'!$BV432,"")</f>
        <v>4</v>
      </c>
      <c r="W432" s="9">
        <f>IF('[1]Game Input'!$CB432&lt;&gt;"",'[1]Game Input'!$CB432,"")</f>
        <v>0</v>
      </c>
      <c r="X432" s="9">
        <f>IF('[1]Game Input'!$CC432&lt;&gt;"",'[1]Game Input'!$CC432,"")</f>
        <v>0</v>
      </c>
      <c r="Y432" s="9">
        <f>IF('[1]Game Input'!$CF432&lt;&gt;"",'[1]Game Input'!$CF432,"")</f>
        <v>4</v>
      </c>
      <c r="Z432" s="9">
        <f>IF('[1]Game Input'!$CG432&lt;&gt;"",'[1]Game Input'!$CG432,"")</f>
        <v>0</v>
      </c>
      <c r="AA432" s="9">
        <f>IF('[1]Game Input'!$CH432&lt;&gt;"",'[1]Game Input'!$CH432,"")</f>
        <v>0</v>
      </c>
      <c r="AB432" s="9">
        <f>IF('[1]Game Input'!$CI432&lt;&gt;"",'[1]Game Input'!$CI432,"")</f>
        <v>0</v>
      </c>
      <c r="AC432" s="9">
        <f>IF('[1]Game Input'!$CJ432&lt;&gt;"",'[1]Game Input'!$CJ432,"")</f>
        <v>0</v>
      </c>
      <c r="AD432" s="9">
        <f>IF('[1]Game Input'!$CK432&lt;&gt;"",'[1]Game Input'!$CK432,"")</f>
        <v>0</v>
      </c>
      <c r="AE432" s="8"/>
      <c r="AF432" s="8"/>
      <c r="AG432" s="8"/>
      <c r="AH432" s="8"/>
    </row>
    <row r="433" spans="1:34" x14ac:dyDescent="0.2">
      <c r="A433" s="6">
        <f>IF('[1]Game Input'!$A433&lt;&gt;"",'[1]Game Input'!$A433,"")</f>
        <v>43539</v>
      </c>
      <c r="B433" s="6" t="str">
        <f>IF(A433&gt;$B$1,VLOOKUP(MONTH($A433),DOTWMonth,2,FALSE),"")</f>
        <v>March</v>
      </c>
      <c r="C433" s="10" t="str">
        <f>IF(A433&gt;$B$1,VLOOKUP(WEEKDAY($A433),DOTWMonth,3,FALSE),"")</f>
        <v>Friday</v>
      </c>
      <c r="D433" s="7">
        <f>IF('[1]Game Input'!$B433&lt;&gt;"",'[1]Game Input'!$B433,"")</f>
        <v>0.79166666666666663</v>
      </c>
      <c r="E433" s="7">
        <f>IF('[1]Game Input'!$C433&lt;&gt;"",'[1]Game Input'!$C433,"")</f>
        <v>0.75</v>
      </c>
      <c r="F433" s="8" t="str">
        <f>IF('[1]Game Input'!$D433&lt;&gt;"",'[1]Game Input'!$D433,"")</f>
        <v>Daylight</v>
      </c>
      <c r="G433" s="8" t="str">
        <f>IF('[1]Game Input'!$G433&lt;&gt;"",'[1]Game Input'!$G433,"")</f>
        <v>GB @ USA</v>
      </c>
      <c r="H433" s="8" t="str">
        <f>IF('[1]Game Input'!$H433&lt;&gt;"",'[1]Game Input'!$H433,"")</f>
        <v>Vs. Conference</v>
      </c>
      <c r="I433" s="8" t="str">
        <f>IF('[1]Game Input'!$I433&lt;&gt;"",'[1]Game Input'!$I433,"")</f>
        <v>GREEN BAY</v>
      </c>
      <c r="J433" s="9">
        <f>IF('[1]Game Input'!$AC433&lt;&gt;"",'[1]Game Input'!$AC433,"")</f>
        <v>6</v>
      </c>
      <c r="K433" s="9">
        <f>IF('[1]Game Input'!$AD433&lt;&gt;"",'[1]Game Input'!$AD433,"")</f>
        <v>3</v>
      </c>
      <c r="L433" s="9">
        <f>IF('[1]Game Input'!$AJ433&lt;&gt;"",'[1]Game Input'!$AJ433,"")</f>
        <v>0</v>
      </c>
      <c r="M433" s="9">
        <f>IF('[1]Game Input'!$AK433&lt;&gt;"",'[1]Game Input'!$AK433,"")</f>
        <v>0</v>
      </c>
      <c r="N433" s="9">
        <f>IF('[1]Game Input'!$AN433&lt;&gt;"",'[1]Game Input'!$AN433,"")</f>
        <v>3</v>
      </c>
      <c r="O433" s="9">
        <f>IF('[1]Game Input'!$AO433&lt;&gt;"",'[1]Game Input'!$AO433,"")</f>
        <v>0</v>
      </c>
      <c r="P433" s="9">
        <f>IF('[1]Game Input'!$AP433&lt;&gt;"",'[1]Game Input'!$AP433,"")</f>
        <v>0</v>
      </c>
      <c r="Q433" s="9">
        <f>IF('[1]Game Input'!$AQ433&lt;&gt;"",'[1]Game Input'!$AQ433,"")</f>
        <v>0</v>
      </c>
      <c r="R433" s="9">
        <f>IF('[1]Game Input'!$AR433&lt;&gt;"",'[1]Game Input'!$AR433,"")</f>
        <v>0</v>
      </c>
      <c r="S433" s="9">
        <f>IF('[1]Game Input'!$AS433&lt;&gt;"",'[1]Game Input'!$AS433,"")</f>
        <v>0</v>
      </c>
      <c r="T433" s="10" t="str">
        <f>IF('[1]Game Input'!$BA433&lt;&gt;"",'[1]Game Input'!$BA433,"")</f>
        <v>TEAM USA</v>
      </c>
      <c r="U433" s="9">
        <f>IF('[1]Game Input'!$BU433&lt;&gt;"",'[1]Game Input'!$BU433,"")</f>
        <v>2</v>
      </c>
      <c r="V433" s="9">
        <f>IF('[1]Game Input'!$BV433&lt;&gt;"",'[1]Game Input'!$BV433,"")</f>
        <v>1</v>
      </c>
      <c r="W433" s="9">
        <f>IF('[1]Game Input'!$CB433&lt;&gt;"",'[1]Game Input'!$CB433,"")</f>
        <v>0</v>
      </c>
      <c r="X433" s="9">
        <f>IF('[1]Game Input'!$CC433&lt;&gt;"",'[1]Game Input'!$CC433,"")</f>
        <v>0</v>
      </c>
      <c r="Y433" s="9">
        <f>IF('[1]Game Input'!$CF433&lt;&gt;"",'[1]Game Input'!$CF433,"")</f>
        <v>1</v>
      </c>
      <c r="Z433" s="9">
        <f>IF('[1]Game Input'!$CG433&lt;&gt;"",'[1]Game Input'!$CG433,"")</f>
        <v>0</v>
      </c>
      <c r="AA433" s="9">
        <f>IF('[1]Game Input'!$CH433&lt;&gt;"",'[1]Game Input'!$CH433,"")</f>
        <v>0</v>
      </c>
      <c r="AB433" s="9">
        <f>IF('[1]Game Input'!$CI433&lt;&gt;"",'[1]Game Input'!$CI433,"")</f>
        <v>0</v>
      </c>
      <c r="AC433" s="9">
        <f>IF('[1]Game Input'!$CJ433&lt;&gt;"",'[1]Game Input'!$CJ433,"")</f>
        <v>0</v>
      </c>
      <c r="AD433" s="9">
        <f>IF('[1]Game Input'!$CK433&lt;&gt;"",'[1]Game Input'!$CK433,"")</f>
        <v>0</v>
      </c>
      <c r="AE433" s="8"/>
      <c r="AF433" s="8"/>
      <c r="AG433" s="8"/>
      <c r="AH433" s="8"/>
    </row>
    <row r="434" spans="1:34" x14ac:dyDescent="0.2">
      <c r="A434" s="6">
        <f>IF('[1]Game Input'!$A434&lt;&gt;"",'[1]Game Input'!$A434,"")</f>
        <v>43539</v>
      </c>
      <c r="B434" s="6" t="str">
        <f>IF(A434&gt;$B$1,VLOOKUP(MONTH($A434),DOTWMonth,2,FALSE),"")</f>
        <v>March</v>
      </c>
      <c r="C434" s="10" t="str">
        <f>IF(A434&gt;$B$1,VLOOKUP(WEEKDAY($A434),DOTWMonth,3,FALSE),"")</f>
        <v>Friday</v>
      </c>
      <c r="D434" s="7">
        <f>IF('[1]Game Input'!$B434&lt;&gt;"",'[1]Game Input'!$B434,"")</f>
        <v>0.80208333333333337</v>
      </c>
      <c r="E434" s="7">
        <f>IF('[1]Game Input'!$C434&lt;&gt;"",'[1]Game Input'!$C434,"")</f>
        <v>0.76041666666666674</v>
      </c>
      <c r="F434" s="8" t="str">
        <f>IF('[1]Game Input'!$D434&lt;&gt;"",'[1]Game Input'!$D434,"")</f>
        <v>Daylight</v>
      </c>
      <c r="G434" s="8" t="str">
        <f>IF('[1]Game Input'!$G434&lt;&gt;"",'[1]Game Input'!$G434,"")</f>
        <v>DM @ MUS</v>
      </c>
      <c r="H434" s="8" t="str">
        <f>IF('[1]Game Input'!$H434&lt;&gt;"",'[1]Game Input'!$H434,"")</f>
        <v>Vs. Non-Conference</v>
      </c>
      <c r="I434" s="8" t="str">
        <f>IF('[1]Game Input'!$I434&lt;&gt;"",'[1]Game Input'!$I434,"")</f>
        <v>DES MOINES</v>
      </c>
      <c r="J434" s="9">
        <f>IF('[1]Game Input'!$AC434&lt;&gt;"",'[1]Game Input'!$AC434,"")</f>
        <v>8</v>
      </c>
      <c r="K434" s="9">
        <f>IF('[1]Game Input'!$AD434&lt;&gt;"",'[1]Game Input'!$AD434,"")</f>
        <v>4</v>
      </c>
      <c r="L434" s="9">
        <f>IF('[1]Game Input'!$AJ434&lt;&gt;"",'[1]Game Input'!$AJ434,"")</f>
        <v>0</v>
      </c>
      <c r="M434" s="9">
        <f>IF('[1]Game Input'!$AK434&lt;&gt;"",'[1]Game Input'!$AK434,"")</f>
        <v>0</v>
      </c>
      <c r="N434" s="9">
        <f>IF('[1]Game Input'!$AN434&lt;&gt;"",'[1]Game Input'!$AN434,"")</f>
        <v>4</v>
      </c>
      <c r="O434" s="9">
        <f>IF('[1]Game Input'!$AO434&lt;&gt;"",'[1]Game Input'!$AO434,"")</f>
        <v>0</v>
      </c>
      <c r="P434" s="9">
        <f>IF('[1]Game Input'!$AP434&lt;&gt;"",'[1]Game Input'!$AP434,"")</f>
        <v>0</v>
      </c>
      <c r="Q434" s="9">
        <f>IF('[1]Game Input'!$AQ434&lt;&gt;"",'[1]Game Input'!$AQ434,"")</f>
        <v>0</v>
      </c>
      <c r="R434" s="9">
        <f>IF('[1]Game Input'!$AR434&lt;&gt;"",'[1]Game Input'!$AR434,"")</f>
        <v>0</v>
      </c>
      <c r="S434" s="9">
        <f>IF('[1]Game Input'!$AS434&lt;&gt;"",'[1]Game Input'!$AS434,"")</f>
        <v>0</v>
      </c>
      <c r="T434" s="10" t="str">
        <f>IF('[1]Game Input'!$BA434&lt;&gt;"",'[1]Game Input'!$BA434,"")</f>
        <v>MUSKEGON</v>
      </c>
      <c r="U434" s="9">
        <f>IF('[1]Game Input'!$BU434&lt;&gt;"",'[1]Game Input'!$BU434,"")</f>
        <v>4</v>
      </c>
      <c r="V434" s="9">
        <f>IF('[1]Game Input'!$BV434&lt;&gt;"",'[1]Game Input'!$BV434,"")</f>
        <v>2</v>
      </c>
      <c r="W434" s="9">
        <f>IF('[1]Game Input'!$CB434&lt;&gt;"",'[1]Game Input'!$CB434,"")</f>
        <v>0</v>
      </c>
      <c r="X434" s="9">
        <f>IF('[1]Game Input'!$CC434&lt;&gt;"",'[1]Game Input'!$CC434,"")</f>
        <v>0</v>
      </c>
      <c r="Y434" s="9">
        <f>IF('[1]Game Input'!$CF434&lt;&gt;"",'[1]Game Input'!$CF434,"")</f>
        <v>2</v>
      </c>
      <c r="Z434" s="9">
        <f>IF('[1]Game Input'!$CG434&lt;&gt;"",'[1]Game Input'!$CG434,"")</f>
        <v>0</v>
      </c>
      <c r="AA434" s="9">
        <f>IF('[1]Game Input'!$CH434&lt;&gt;"",'[1]Game Input'!$CH434,"")</f>
        <v>0</v>
      </c>
      <c r="AB434" s="9">
        <f>IF('[1]Game Input'!$CI434&lt;&gt;"",'[1]Game Input'!$CI434,"")</f>
        <v>0</v>
      </c>
      <c r="AC434" s="9">
        <f>IF('[1]Game Input'!$CJ434&lt;&gt;"",'[1]Game Input'!$CJ434,"")</f>
        <v>0</v>
      </c>
      <c r="AD434" s="9">
        <f>IF('[1]Game Input'!$CK434&lt;&gt;"",'[1]Game Input'!$CK434,"")</f>
        <v>0</v>
      </c>
      <c r="AE434" s="8" t="s">
        <v>98</v>
      </c>
      <c r="AF434" s="8"/>
      <c r="AG434" s="8" t="s">
        <v>113</v>
      </c>
      <c r="AH434" s="8" t="s">
        <v>142</v>
      </c>
    </row>
    <row r="435" spans="1:34" x14ac:dyDescent="0.2">
      <c r="A435" s="6">
        <f>IF('[1]Game Input'!$A435&lt;&gt;"",'[1]Game Input'!$A435,"")</f>
        <v>43539</v>
      </c>
      <c r="B435" s="6" t="str">
        <f>IF(A435&gt;$B$1,VLOOKUP(MONTH($A435),DOTWMonth,2,FALSE),"")</f>
        <v>March</v>
      </c>
      <c r="C435" s="10" t="str">
        <f>IF(A435&gt;$B$1,VLOOKUP(WEEKDAY($A435),DOTWMonth,3,FALSE),"")</f>
        <v>Friday</v>
      </c>
      <c r="D435" s="7">
        <f>IF('[1]Game Input'!$B435&lt;&gt;"",'[1]Game Input'!$B435,"")</f>
        <v>0.83680555555555547</v>
      </c>
      <c r="E435" s="7">
        <f>IF('[1]Game Input'!$C435&lt;&gt;"",'[1]Game Input'!$C435,"")</f>
        <v>0.79513888888888884</v>
      </c>
      <c r="F435" s="8" t="str">
        <f>IF('[1]Game Input'!$D435&lt;&gt;"",'[1]Game Input'!$D435,"")</f>
        <v>Daylight</v>
      </c>
      <c r="G435" s="8" t="str">
        <f>IF('[1]Game Input'!$G435&lt;&gt;"",'[1]Game Input'!$G435,"")</f>
        <v>USA @ CR</v>
      </c>
      <c r="H435" s="8" t="str">
        <f>IF('[1]Game Input'!$H435&lt;&gt;"",'[1]Game Input'!$H435,"")</f>
        <v>Vs. Conference</v>
      </c>
      <c r="I435" s="8" t="str">
        <f>IF('[1]Game Input'!$I435&lt;&gt;"",'[1]Game Input'!$I435,"")</f>
        <v>TEAM USA</v>
      </c>
      <c r="J435" s="9">
        <f>IF('[1]Game Input'!$AC435&lt;&gt;"",'[1]Game Input'!$AC435,"")</f>
        <v>10</v>
      </c>
      <c r="K435" s="9">
        <f>IF('[1]Game Input'!$AD435&lt;&gt;"",'[1]Game Input'!$AD435,"")</f>
        <v>5</v>
      </c>
      <c r="L435" s="9">
        <f>IF('[1]Game Input'!$AJ435&lt;&gt;"",'[1]Game Input'!$AJ435,"")</f>
        <v>0</v>
      </c>
      <c r="M435" s="9">
        <f>IF('[1]Game Input'!$AK435&lt;&gt;"",'[1]Game Input'!$AK435,"")</f>
        <v>0</v>
      </c>
      <c r="N435" s="9">
        <f>IF('[1]Game Input'!$AN435&lt;&gt;"",'[1]Game Input'!$AN435,"")</f>
        <v>5</v>
      </c>
      <c r="O435" s="9">
        <f>IF('[1]Game Input'!$AO435&lt;&gt;"",'[1]Game Input'!$AO435,"")</f>
        <v>0</v>
      </c>
      <c r="P435" s="9">
        <f>IF('[1]Game Input'!$AP435&lt;&gt;"",'[1]Game Input'!$AP435,"")</f>
        <v>0</v>
      </c>
      <c r="Q435" s="9">
        <f>IF('[1]Game Input'!$AQ435&lt;&gt;"",'[1]Game Input'!$AQ435,"")</f>
        <v>0</v>
      </c>
      <c r="R435" s="9">
        <f>IF('[1]Game Input'!$AR435&lt;&gt;"",'[1]Game Input'!$AR435,"")</f>
        <v>0</v>
      </c>
      <c r="S435" s="9">
        <f>IF('[1]Game Input'!$AS435&lt;&gt;"",'[1]Game Input'!$AS435,"")</f>
        <v>0</v>
      </c>
      <c r="T435" s="10" t="str">
        <f>IF('[1]Game Input'!$BA435&lt;&gt;"",'[1]Game Input'!$BA435,"")</f>
        <v>CEDAR RAPIDS</v>
      </c>
      <c r="U435" s="9">
        <f>IF('[1]Game Input'!$BU435&lt;&gt;"",'[1]Game Input'!$BU435,"")</f>
        <v>18</v>
      </c>
      <c r="V435" s="9">
        <f>IF('[1]Game Input'!$BV435&lt;&gt;"",'[1]Game Input'!$BV435,"")</f>
        <v>5</v>
      </c>
      <c r="W435" s="9">
        <f>IF('[1]Game Input'!$CB435&lt;&gt;"",'[1]Game Input'!$CB435,"")</f>
        <v>0</v>
      </c>
      <c r="X435" s="9">
        <f>IF('[1]Game Input'!$CC435&lt;&gt;"",'[1]Game Input'!$CC435,"")</f>
        <v>0</v>
      </c>
      <c r="Y435" s="9">
        <f>IF('[1]Game Input'!$CF435&lt;&gt;"",'[1]Game Input'!$CF435,"")</f>
        <v>4</v>
      </c>
      <c r="Z435" s="9">
        <f>IF('[1]Game Input'!$CG435&lt;&gt;"",'[1]Game Input'!$CG435,"")</f>
        <v>0</v>
      </c>
      <c r="AA435" s="9">
        <f>IF('[1]Game Input'!$CH435&lt;&gt;"",'[1]Game Input'!$CH435,"")</f>
        <v>1</v>
      </c>
      <c r="AB435" s="9">
        <f>IF('[1]Game Input'!$CI435&lt;&gt;"",'[1]Game Input'!$CI435,"")</f>
        <v>0</v>
      </c>
      <c r="AC435" s="9">
        <f>IF('[1]Game Input'!$CJ435&lt;&gt;"",'[1]Game Input'!$CJ435,"")</f>
        <v>0</v>
      </c>
      <c r="AD435" s="9">
        <f>IF('[1]Game Input'!$CK435&lt;&gt;"",'[1]Game Input'!$CK435,"")</f>
        <v>0</v>
      </c>
      <c r="AE435" s="8" t="s">
        <v>95</v>
      </c>
      <c r="AF435" s="8"/>
      <c r="AG435" s="8" t="s">
        <v>116</v>
      </c>
      <c r="AH435" s="8" t="s">
        <v>117</v>
      </c>
    </row>
    <row r="436" spans="1:34" x14ac:dyDescent="0.2">
      <c r="A436" s="6">
        <f>IF('[1]Game Input'!$A436&lt;&gt;"",'[1]Game Input'!$A436,"")</f>
        <v>43539</v>
      </c>
      <c r="B436" s="6" t="str">
        <f>IF(A436&gt;$B$1,VLOOKUP(MONTH($A436),DOTWMonth,2,FALSE),"")</f>
        <v>March</v>
      </c>
      <c r="C436" s="10" t="str">
        <f>IF(A436&gt;$B$1,VLOOKUP(WEEKDAY($A436),DOTWMonth,3,FALSE),"")</f>
        <v>Friday</v>
      </c>
      <c r="D436" s="7">
        <f>IF('[1]Game Input'!$B436&lt;&gt;"",'[1]Game Input'!$B436,"")</f>
        <v>0.83680555555555547</v>
      </c>
      <c r="E436" s="7">
        <f>IF('[1]Game Input'!$C436&lt;&gt;"",'[1]Game Input'!$C436,"")</f>
        <v>0.79513888888888884</v>
      </c>
      <c r="F436" s="8" t="str">
        <f>IF('[1]Game Input'!$D436&lt;&gt;"",'[1]Game Input'!$D436,"")</f>
        <v>Daylight</v>
      </c>
      <c r="G436" s="8" t="str">
        <f>IF('[1]Game Input'!$G436&lt;&gt;"",'[1]Game Input'!$G436,"")</f>
        <v>YNG @ CHI</v>
      </c>
      <c r="H436" s="8" t="str">
        <f>IF('[1]Game Input'!$H436&lt;&gt;"",'[1]Game Input'!$H436,"")</f>
        <v>Vs. Conference</v>
      </c>
      <c r="I436" s="8" t="str">
        <f>IF('[1]Game Input'!$I436&lt;&gt;"",'[1]Game Input'!$I436,"")</f>
        <v>YOUNGSTOWN</v>
      </c>
      <c r="J436" s="9">
        <f>IF('[1]Game Input'!$AC436&lt;&gt;"",'[1]Game Input'!$AC436,"")</f>
        <v>6</v>
      </c>
      <c r="K436" s="9">
        <f>IF('[1]Game Input'!$AD436&lt;&gt;"",'[1]Game Input'!$AD436,"")</f>
        <v>3</v>
      </c>
      <c r="L436" s="9">
        <f>IF('[1]Game Input'!$AJ436&lt;&gt;"",'[1]Game Input'!$AJ436,"")</f>
        <v>0</v>
      </c>
      <c r="M436" s="9">
        <f>IF('[1]Game Input'!$AK436&lt;&gt;"",'[1]Game Input'!$AK436,"")</f>
        <v>0</v>
      </c>
      <c r="N436" s="9">
        <f>IF('[1]Game Input'!$AN436&lt;&gt;"",'[1]Game Input'!$AN436,"")</f>
        <v>3</v>
      </c>
      <c r="O436" s="9">
        <f>IF('[1]Game Input'!$AO436&lt;&gt;"",'[1]Game Input'!$AO436,"")</f>
        <v>0</v>
      </c>
      <c r="P436" s="9">
        <f>IF('[1]Game Input'!$AP436&lt;&gt;"",'[1]Game Input'!$AP436,"")</f>
        <v>0</v>
      </c>
      <c r="Q436" s="9">
        <f>IF('[1]Game Input'!$AQ436&lt;&gt;"",'[1]Game Input'!$AQ436,"")</f>
        <v>0</v>
      </c>
      <c r="R436" s="9">
        <f>IF('[1]Game Input'!$AR436&lt;&gt;"",'[1]Game Input'!$AR436,"")</f>
        <v>0</v>
      </c>
      <c r="S436" s="9">
        <f>IF('[1]Game Input'!$AS436&lt;&gt;"",'[1]Game Input'!$AS436,"")</f>
        <v>0</v>
      </c>
      <c r="T436" s="10" t="str">
        <f>IF('[1]Game Input'!$BA436&lt;&gt;"",'[1]Game Input'!$BA436,"")</f>
        <v>CHICAGO</v>
      </c>
      <c r="U436" s="9">
        <f>IF('[1]Game Input'!$BU436&lt;&gt;"",'[1]Game Input'!$BU436,"")</f>
        <v>10</v>
      </c>
      <c r="V436" s="9">
        <f>IF('[1]Game Input'!$BV436&lt;&gt;"",'[1]Game Input'!$BV436,"")</f>
        <v>5</v>
      </c>
      <c r="W436" s="9">
        <f>IF('[1]Game Input'!$CB436&lt;&gt;"",'[1]Game Input'!$CB436,"")</f>
        <v>0</v>
      </c>
      <c r="X436" s="9">
        <f>IF('[1]Game Input'!$CC436&lt;&gt;"",'[1]Game Input'!$CC436,"")</f>
        <v>0</v>
      </c>
      <c r="Y436" s="9">
        <f>IF('[1]Game Input'!$CF436&lt;&gt;"",'[1]Game Input'!$CF436,"")</f>
        <v>5</v>
      </c>
      <c r="Z436" s="9">
        <f>IF('[1]Game Input'!$CG436&lt;&gt;"",'[1]Game Input'!$CG436,"")</f>
        <v>0</v>
      </c>
      <c r="AA436" s="9">
        <f>IF('[1]Game Input'!$CH436&lt;&gt;"",'[1]Game Input'!$CH436,"")</f>
        <v>0</v>
      </c>
      <c r="AB436" s="9">
        <f>IF('[1]Game Input'!$CI436&lt;&gt;"",'[1]Game Input'!$CI436,"")</f>
        <v>0</v>
      </c>
      <c r="AC436" s="9">
        <f>IF('[1]Game Input'!$CJ436&lt;&gt;"",'[1]Game Input'!$CJ436,"")</f>
        <v>0</v>
      </c>
      <c r="AD436" s="9">
        <f>IF('[1]Game Input'!$CK436&lt;&gt;"",'[1]Game Input'!$CK436,"")</f>
        <v>0</v>
      </c>
      <c r="AE436" s="8"/>
      <c r="AF436" s="8"/>
      <c r="AG436" s="8"/>
      <c r="AH436" s="8"/>
    </row>
    <row r="437" spans="1:34" x14ac:dyDescent="0.2">
      <c r="A437" s="6">
        <f>IF('[1]Game Input'!$A437&lt;&gt;"",'[1]Game Input'!$A437,"")</f>
        <v>43539</v>
      </c>
      <c r="B437" s="6" t="str">
        <f>IF(A437&gt;$B$1,VLOOKUP(MONTH($A437),DOTWMonth,2,FALSE),"")</f>
        <v>March</v>
      </c>
      <c r="C437" s="10" t="str">
        <f>IF(A437&gt;$B$1,VLOOKUP(WEEKDAY($A437),DOTWMonth,3,FALSE),"")</f>
        <v>Friday</v>
      </c>
      <c r="D437" s="7">
        <f>IF('[1]Game Input'!$B437&lt;&gt;"",'[1]Game Input'!$B437,"")</f>
        <v>0.83680555555555547</v>
      </c>
      <c r="E437" s="7">
        <f>IF('[1]Game Input'!$C437&lt;&gt;"",'[1]Game Input'!$C437,"")</f>
        <v>0.79513888888888884</v>
      </c>
      <c r="F437" s="8" t="str">
        <f>IF('[1]Game Input'!$D437&lt;&gt;"",'[1]Game Input'!$D437,"")</f>
        <v>Daylight</v>
      </c>
      <c r="G437" s="8" t="str">
        <f>IF('[1]Game Input'!$G437&lt;&gt;"",'[1]Game Input'!$G437,"")</f>
        <v>MAD @ DUB</v>
      </c>
      <c r="H437" s="8" t="str">
        <f>IF('[1]Game Input'!$H437&lt;&gt;"",'[1]Game Input'!$H437,"")</f>
        <v>Vs. Conference</v>
      </c>
      <c r="I437" s="8" t="str">
        <f>IF('[1]Game Input'!$I437&lt;&gt;"",'[1]Game Input'!$I437,"")</f>
        <v>MADISON</v>
      </c>
      <c r="J437" s="9">
        <f>IF('[1]Game Input'!$AC437&lt;&gt;"",'[1]Game Input'!$AC437,"")</f>
        <v>12</v>
      </c>
      <c r="K437" s="9">
        <f>IF('[1]Game Input'!$AD437&lt;&gt;"",'[1]Game Input'!$AD437,"")</f>
        <v>2</v>
      </c>
      <c r="L437" s="9">
        <f>IF('[1]Game Input'!$AJ437&lt;&gt;"",'[1]Game Input'!$AJ437,"")</f>
        <v>0</v>
      </c>
      <c r="M437" s="9">
        <f>IF('[1]Game Input'!$AK437&lt;&gt;"",'[1]Game Input'!$AK437,"")</f>
        <v>0</v>
      </c>
      <c r="N437" s="9">
        <f>IF('[1]Game Input'!$AN437&lt;&gt;"",'[1]Game Input'!$AN437,"")</f>
        <v>1</v>
      </c>
      <c r="O437" s="9">
        <f>IF('[1]Game Input'!$AO437&lt;&gt;"",'[1]Game Input'!$AO437,"")</f>
        <v>0</v>
      </c>
      <c r="P437" s="9">
        <f>IF('[1]Game Input'!$AP437&lt;&gt;"",'[1]Game Input'!$AP437,"")</f>
        <v>1</v>
      </c>
      <c r="Q437" s="9">
        <f>IF('[1]Game Input'!$AQ437&lt;&gt;"",'[1]Game Input'!$AQ437,"")</f>
        <v>0</v>
      </c>
      <c r="R437" s="9">
        <f>IF('[1]Game Input'!$AR437&lt;&gt;"",'[1]Game Input'!$AR437,"")</f>
        <v>0</v>
      </c>
      <c r="S437" s="9">
        <f>IF('[1]Game Input'!$AS437&lt;&gt;"",'[1]Game Input'!$AS437,"")</f>
        <v>0</v>
      </c>
      <c r="T437" s="10" t="str">
        <f>IF('[1]Game Input'!$BA437&lt;&gt;"",'[1]Game Input'!$BA437,"")</f>
        <v>DUBUQUE</v>
      </c>
      <c r="U437" s="9">
        <f>IF('[1]Game Input'!$BU437&lt;&gt;"",'[1]Game Input'!$BU437,"")</f>
        <v>8</v>
      </c>
      <c r="V437" s="9">
        <f>IF('[1]Game Input'!$BV437&lt;&gt;"",'[1]Game Input'!$BV437,"")</f>
        <v>4</v>
      </c>
      <c r="W437" s="9">
        <f>IF('[1]Game Input'!$CB437&lt;&gt;"",'[1]Game Input'!$CB437,"")</f>
        <v>0</v>
      </c>
      <c r="X437" s="9">
        <f>IF('[1]Game Input'!$CC437&lt;&gt;"",'[1]Game Input'!$CC437,"")</f>
        <v>0</v>
      </c>
      <c r="Y437" s="9">
        <f>IF('[1]Game Input'!$CF437&lt;&gt;"",'[1]Game Input'!$CF437,"")</f>
        <v>4</v>
      </c>
      <c r="Z437" s="9">
        <f>IF('[1]Game Input'!$CG437&lt;&gt;"",'[1]Game Input'!$CG437,"")</f>
        <v>0</v>
      </c>
      <c r="AA437" s="9">
        <f>IF('[1]Game Input'!$CH437&lt;&gt;"",'[1]Game Input'!$CH437,"")</f>
        <v>0</v>
      </c>
      <c r="AB437" s="9">
        <f>IF('[1]Game Input'!$CI437&lt;&gt;"",'[1]Game Input'!$CI437,"")</f>
        <v>0</v>
      </c>
      <c r="AC437" s="9">
        <f>IF('[1]Game Input'!$CJ437&lt;&gt;"",'[1]Game Input'!$CJ437,"")</f>
        <v>0</v>
      </c>
      <c r="AD437" s="9">
        <f>IF('[1]Game Input'!$CK437&lt;&gt;"",'[1]Game Input'!$CK437,"")</f>
        <v>0</v>
      </c>
      <c r="AE437" s="8"/>
      <c r="AF437" s="8"/>
      <c r="AG437" s="8"/>
      <c r="AH437" s="8"/>
    </row>
    <row r="438" spans="1:34" x14ac:dyDescent="0.2">
      <c r="A438" s="6">
        <f>IF('[1]Game Input'!$A438&lt;&gt;"",'[1]Game Input'!$A438,"")</f>
        <v>43539</v>
      </c>
      <c r="B438" s="6" t="str">
        <f>IF(A438&gt;$B$1,VLOOKUP(MONTH($A438),DOTWMonth,2,FALSE),"")</f>
        <v>March</v>
      </c>
      <c r="C438" s="10" t="str">
        <f>IF(A438&gt;$B$1,VLOOKUP(WEEKDAY($A438),DOTWMonth,3,FALSE),"")</f>
        <v>Friday</v>
      </c>
      <c r="D438" s="7">
        <f>IF('[1]Game Input'!$B438&lt;&gt;"",'[1]Game Input'!$B438,"")</f>
        <v>0.83680555555555547</v>
      </c>
      <c r="E438" s="7">
        <f>IF('[1]Game Input'!$C438&lt;&gt;"",'[1]Game Input'!$C438,"")</f>
        <v>0.79513888888888884</v>
      </c>
      <c r="F438" s="8" t="str">
        <f>IF('[1]Game Input'!$D438&lt;&gt;"",'[1]Game Input'!$D438,"")</f>
        <v>Daylight</v>
      </c>
      <c r="G438" s="8" t="str">
        <f>IF('[1]Game Input'!$G438&lt;&gt;"",'[1]Game Input'!$G438,"")</f>
        <v>LIN @ TC</v>
      </c>
      <c r="H438" s="8" t="str">
        <f>IF('[1]Game Input'!$H438&lt;&gt;"",'[1]Game Input'!$H438,"")</f>
        <v>Vs. Conference</v>
      </c>
      <c r="I438" s="8" t="str">
        <f>IF('[1]Game Input'!$I438&lt;&gt;"",'[1]Game Input'!$I438,"")</f>
        <v>LINCOLN</v>
      </c>
      <c r="J438" s="9">
        <f>IF('[1]Game Input'!$AC438&lt;&gt;"",'[1]Game Input'!$AC438,"")</f>
        <v>35</v>
      </c>
      <c r="K438" s="9">
        <f>IF('[1]Game Input'!$AD438&lt;&gt;"",'[1]Game Input'!$AD438,"")</f>
        <v>12</v>
      </c>
      <c r="L438" s="9">
        <f>IF('[1]Game Input'!$AJ438&lt;&gt;"",'[1]Game Input'!$AJ438,"")</f>
        <v>0</v>
      </c>
      <c r="M438" s="9">
        <f>IF('[1]Game Input'!$AK438&lt;&gt;"",'[1]Game Input'!$AK438,"")</f>
        <v>0</v>
      </c>
      <c r="N438" s="9">
        <f>IF('[1]Game Input'!$AN438&lt;&gt;"",'[1]Game Input'!$AN438,"")</f>
        <v>10</v>
      </c>
      <c r="O438" s="9">
        <f>IF('[1]Game Input'!$AO438&lt;&gt;"",'[1]Game Input'!$AO438,"")</f>
        <v>1</v>
      </c>
      <c r="P438" s="9">
        <f>IF('[1]Game Input'!$AP438&lt;&gt;"",'[1]Game Input'!$AP438,"")</f>
        <v>1</v>
      </c>
      <c r="Q438" s="9">
        <f>IF('[1]Game Input'!$AQ438&lt;&gt;"",'[1]Game Input'!$AQ438,"")</f>
        <v>0</v>
      </c>
      <c r="R438" s="9">
        <f>IF('[1]Game Input'!$AR438&lt;&gt;"",'[1]Game Input'!$AR438,"")</f>
        <v>0</v>
      </c>
      <c r="S438" s="9">
        <f>IF('[1]Game Input'!$AS438&lt;&gt;"",'[1]Game Input'!$AS438,"")</f>
        <v>0</v>
      </c>
      <c r="T438" s="10" t="str">
        <f>IF('[1]Game Input'!$BA438&lt;&gt;"",'[1]Game Input'!$BA438,"")</f>
        <v>TRI-CITY</v>
      </c>
      <c r="U438" s="9">
        <f>IF('[1]Game Input'!$BU438&lt;&gt;"",'[1]Game Input'!$BU438,"")</f>
        <v>39</v>
      </c>
      <c r="V438" s="9">
        <f>IF('[1]Game Input'!$BV438&lt;&gt;"",'[1]Game Input'!$BV438,"")</f>
        <v>10</v>
      </c>
      <c r="W438" s="9">
        <f>IF('[1]Game Input'!$CB438&lt;&gt;"",'[1]Game Input'!$CB438,"")</f>
        <v>0</v>
      </c>
      <c r="X438" s="9">
        <f>IF('[1]Game Input'!$CC438&lt;&gt;"",'[1]Game Input'!$CC438,"")</f>
        <v>0</v>
      </c>
      <c r="Y438" s="9">
        <f>IF('[1]Game Input'!$CF438&lt;&gt;"",'[1]Game Input'!$CF438,"")</f>
        <v>7</v>
      </c>
      <c r="Z438" s="9">
        <f>IF('[1]Game Input'!$CG438&lt;&gt;"",'[1]Game Input'!$CG438,"")</f>
        <v>1</v>
      </c>
      <c r="AA438" s="9">
        <f>IF('[1]Game Input'!$CH438&lt;&gt;"",'[1]Game Input'!$CH438,"")</f>
        <v>2</v>
      </c>
      <c r="AB438" s="9">
        <f>IF('[1]Game Input'!$CI438&lt;&gt;"",'[1]Game Input'!$CI438,"")</f>
        <v>0</v>
      </c>
      <c r="AC438" s="9">
        <f>IF('[1]Game Input'!$CJ438&lt;&gt;"",'[1]Game Input'!$CJ438,"")</f>
        <v>0</v>
      </c>
      <c r="AD438" s="9">
        <f>IF('[1]Game Input'!$CK438&lt;&gt;"",'[1]Game Input'!$CK438,"")</f>
        <v>0</v>
      </c>
      <c r="AE438" s="8"/>
      <c r="AF438" s="8"/>
      <c r="AG438" s="8"/>
      <c r="AH438" s="8"/>
    </row>
    <row r="439" spans="1:34" x14ac:dyDescent="0.2">
      <c r="A439" s="6">
        <f>IF('[1]Game Input'!$A439&lt;&gt;"",'[1]Game Input'!$A439,"")</f>
        <v>43539</v>
      </c>
      <c r="B439" s="6" t="str">
        <f>IF(A439&gt;$B$1,VLOOKUP(MONTH($A439),DOTWMonth,2,FALSE),"")</f>
        <v>March</v>
      </c>
      <c r="C439" s="10" t="str">
        <f>IF(A439&gt;$B$1,VLOOKUP(WEEKDAY($A439),DOTWMonth,3,FALSE),"")</f>
        <v>Friday</v>
      </c>
      <c r="D439" s="7">
        <f>IF('[1]Game Input'!$B439&lt;&gt;"",'[1]Game Input'!$B439,"")</f>
        <v>0.85763888888888884</v>
      </c>
      <c r="E439" s="7">
        <f>IF('[1]Game Input'!$C439&lt;&gt;"",'[1]Game Input'!$C439,"")</f>
        <v>0.81597222222222221</v>
      </c>
      <c r="F439" s="8" t="str">
        <f>IF('[1]Game Input'!$D439&lt;&gt;"",'[1]Game Input'!$D439,"")</f>
        <v>Daylight</v>
      </c>
      <c r="G439" s="8" t="str">
        <f>IF('[1]Game Input'!$G439&lt;&gt;"",'[1]Game Input'!$G439,"")</f>
        <v>SF @ OMA</v>
      </c>
      <c r="H439" s="8" t="str">
        <f>IF('[1]Game Input'!$H439&lt;&gt;"",'[1]Game Input'!$H439,"")</f>
        <v>Vs. Conference</v>
      </c>
      <c r="I439" s="8" t="str">
        <f>IF('[1]Game Input'!$I439&lt;&gt;"",'[1]Game Input'!$I439,"")</f>
        <v>SIOUX FALLS</v>
      </c>
      <c r="J439" s="9">
        <f>IF('[1]Game Input'!$AC439&lt;&gt;"",'[1]Game Input'!$AC439,"")</f>
        <v>10</v>
      </c>
      <c r="K439" s="9">
        <f>IF('[1]Game Input'!$AD439&lt;&gt;"",'[1]Game Input'!$AD439,"")</f>
        <v>5</v>
      </c>
      <c r="L439" s="9">
        <f>IF('[1]Game Input'!$AJ439&lt;&gt;"",'[1]Game Input'!$AJ439,"")</f>
        <v>0</v>
      </c>
      <c r="M439" s="9">
        <f>IF('[1]Game Input'!$AK439&lt;&gt;"",'[1]Game Input'!$AK439,"")</f>
        <v>0</v>
      </c>
      <c r="N439" s="9">
        <f>IF('[1]Game Input'!$AN439&lt;&gt;"",'[1]Game Input'!$AN439,"")</f>
        <v>5</v>
      </c>
      <c r="O439" s="9">
        <f>IF('[1]Game Input'!$AO439&lt;&gt;"",'[1]Game Input'!$AO439,"")</f>
        <v>0</v>
      </c>
      <c r="P439" s="9">
        <f>IF('[1]Game Input'!$AP439&lt;&gt;"",'[1]Game Input'!$AP439,"")</f>
        <v>0</v>
      </c>
      <c r="Q439" s="9">
        <f>IF('[1]Game Input'!$AQ439&lt;&gt;"",'[1]Game Input'!$AQ439,"")</f>
        <v>0</v>
      </c>
      <c r="R439" s="9">
        <f>IF('[1]Game Input'!$AR439&lt;&gt;"",'[1]Game Input'!$AR439,"")</f>
        <v>0</v>
      </c>
      <c r="S439" s="9">
        <f>IF('[1]Game Input'!$AS439&lt;&gt;"",'[1]Game Input'!$AS439,"")</f>
        <v>0</v>
      </c>
      <c r="T439" s="10" t="str">
        <f>IF('[1]Game Input'!$BA439&lt;&gt;"",'[1]Game Input'!$BA439,"")</f>
        <v>OMAHA</v>
      </c>
      <c r="U439" s="9">
        <f>IF('[1]Game Input'!$BU439&lt;&gt;"",'[1]Game Input'!$BU439,"")</f>
        <v>6</v>
      </c>
      <c r="V439" s="9">
        <f>IF('[1]Game Input'!$BV439&lt;&gt;"",'[1]Game Input'!$BV439,"")</f>
        <v>3</v>
      </c>
      <c r="W439" s="9">
        <f>IF('[1]Game Input'!$CB439&lt;&gt;"",'[1]Game Input'!$CB439,"")</f>
        <v>0</v>
      </c>
      <c r="X439" s="9">
        <f>IF('[1]Game Input'!$CC439&lt;&gt;"",'[1]Game Input'!$CC439,"")</f>
        <v>0</v>
      </c>
      <c r="Y439" s="9">
        <f>IF('[1]Game Input'!$CF439&lt;&gt;"",'[1]Game Input'!$CF439,"")</f>
        <v>3</v>
      </c>
      <c r="Z439" s="9">
        <f>IF('[1]Game Input'!$CG439&lt;&gt;"",'[1]Game Input'!$CG439,"")</f>
        <v>0</v>
      </c>
      <c r="AA439" s="9">
        <f>IF('[1]Game Input'!$CH439&lt;&gt;"",'[1]Game Input'!$CH439,"")</f>
        <v>0</v>
      </c>
      <c r="AB439" s="9">
        <f>IF('[1]Game Input'!$CI439&lt;&gt;"",'[1]Game Input'!$CI439,"")</f>
        <v>0</v>
      </c>
      <c r="AC439" s="9">
        <f>IF('[1]Game Input'!$CJ439&lt;&gt;"",'[1]Game Input'!$CJ439,"")</f>
        <v>0</v>
      </c>
      <c r="AD439" s="9">
        <f>IF('[1]Game Input'!$CK439&lt;&gt;"",'[1]Game Input'!$CK439,"")</f>
        <v>0</v>
      </c>
      <c r="AE439" s="8"/>
      <c r="AF439" s="8"/>
      <c r="AG439" s="8"/>
      <c r="AH439" s="8"/>
    </row>
    <row r="440" spans="1:34" x14ac:dyDescent="0.2">
      <c r="A440" s="6">
        <f>IF('[1]Game Input'!$A440&lt;&gt;"",'[1]Game Input'!$A440,"")</f>
        <v>43540</v>
      </c>
      <c r="B440" s="6" t="str">
        <f>IF(A440&gt;$B$1,VLOOKUP(MONTH($A440),DOTWMonth,2,FALSE),"")</f>
        <v>March</v>
      </c>
      <c r="C440" s="10" t="str">
        <f>IF(A440&gt;$B$1,VLOOKUP(WEEKDAY($A440),DOTWMonth,3,FALSE),"")</f>
        <v>Saturday</v>
      </c>
      <c r="D440" s="7">
        <f>IF('[1]Game Input'!$B440&lt;&gt;"",'[1]Game Input'!$B440,"")</f>
        <v>0.71875</v>
      </c>
      <c r="E440" s="7">
        <f>IF('[1]Game Input'!$C440&lt;&gt;"",'[1]Game Input'!$C440,"")</f>
        <v>0.67708333333333337</v>
      </c>
      <c r="F440" s="8" t="str">
        <f>IF('[1]Game Input'!$D440&lt;&gt;"",'[1]Game Input'!$D440,"")</f>
        <v>Daylight</v>
      </c>
      <c r="G440" s="8" t="str">
        <f>IF('[1]Game Input'!$G440&lt;&gt;"",'[1]Game Input'!$G440,"")</f>
        <v>DM @ MUS</v>
      </c>
      <c r="H440" s="8" t="str">
        <f>IF('[1]Game Input'!$H440&lt;&gt;"",'[1]Game Input'!$H440,"")</f>
        <v>Vs. Non-Conference</v>
      </c>
      <c r="I440" s="8" t="str">
        <f>IF('[1]Game Input'!$I440&lt;&gt;"",'[1]Game Input'!$I440,"")</f>
        <v>DES MOINES</v>
      </c>
      <c r="J440" s="9">
        <f>IF('[1]Game Input'!$AC440&lt;&gt;"",'[1]Game Input'!$AC440,"")</f>
        <v>8</v>
      </c>
      <c r="K440" s="9">
        <f>IF('[1]Game Input'!$AD440&lt;&gt;"",'[1]Game Input'!$AD440,"")</f>
        <v>4</v>
      </c>
      <c r="L440" s="9">
        <f>IF('[1]Game Input'!$AJ440&lt;&gt;"",'[1]Game Input'!$AJ440,"")</f>
        <v>0</v>
      </c>
      <c r="M440" s="9">
        <f>IF('[1]Game Input'!$AK440&lt;&gt;"",'[1]Game Input'!$AK440,"")</f>
        <v>0</v>
      </c>
      <c r="N440" s="9">
        <f>IF('[1]Game Input'!$AN440&lt;&gt;"",'[1]Game Input'!$AN440,"")</f>
        <v>4</v>
      </c>
      <c r="O440" s="9">
        <f>IF('[1]Game Input'!$AO440&lt;&gt;"",'[1]Game Input'!$AO440,"")</f>
        <v>0</v>
      </c>
      <c r="P440" s="9">
        <f>IF('[1]Game Input'!$AP440&lt;&gt;"",'[1]Game Input'!$AP440,"")</f>
        <v>0</v>
      </c>
      <c r="Q440" s="9">
        <f>IF('[1]Game Input'!$AQ440&lt;&gt;"",'[1]Game Input'!$AQ440,"")</f>
        <v>0</v>
      </c>
      <c r="R440" s="9">
        <f>IF('[1]Game Input'!$AR440&lt;&gt;"",'[1]Game Input'!$AR440,"")</f>
        <v>0</v>
      </c>
      <c r="S440" s="9">
        <f>IF('[1]Game Input'!$AS440&lt;&gt;"",'[1]Game Input'!$AS440,"")</f>
        <v>0</v>
      </c>
      <c r="T440" s="10" t="str">
        <f>IF('[1]Game Input'!$BA440&lt;&gt;"",'[1]Game Input'!$BA440,"")</f>
        <v>MUSKEGON</v>
      </c>
      <c r="U440" s="9">
        <f>IF('[1]Game Input'!$BU440&lt;&gt;"",'[1]Game Input'!$BU440,"")</f>
        <v>4</v>
      </c>
      <c r="V440" s="9">
        <f>IF('[1]Game Input'!$BV440&lt;&gt;"",'[1]Game Input'!$BV440,"")</f>
        <v>2</v>
      </c>
      <c r="W440" s="9">
        <f>IF('[1]Game Input'!$CB440&lt;&gt;"",'[1]Game Input'!$CB440,"")</f>
        <v>0</v>
      </c>
      <c r="X440" s="9">
        <f>IF('[1]Game Input'!$CC440&lt;&gt;"",'[1]Game Input'!$CC440,"")</f>
        <v>0</v>
      </c>
      <c r="Y440" s="9">
        <f>IF('[1]Game Input'!$CF440&lt;&gt;"",'[1]Game Input'!$CF440,"")</f>
        <v>2</v>
      </c>
      <c r="Z440" s="9">
        <f>IF('[1]Game Input'!$CG440&lt;&gt;"",'[1]Game Input'!$CG440,"")</f>
        <v>0</v>
      </c>
      <c r="AA440" s="9">
        <f>IF('[1]Game Input'!$CH440&lt;&gt;"",'[1]Game Input'!$CH440,"")</f>
        <v>0</v>
      </c>
      <c r="AB440" s="9">
        <f>IF('[1]Game Input'!$CI440&lt;&gt;"",'[1]Game Input'!$CI440,"")</f>
        <v>0</v>
      </c>
      <c r="AC440" s="9">
        <f>IF('[1]Game Input'!$CJ440&lt;&gt;"",'[1]Game Input'!$CJ440,"")</f>
        <v>0</v>
      </c>
      <c r="AD440" s="9">
        <f>IF('[1]Game Input'!$CK440&lt;&gt;"",'[1]Game Input'!$CK440,"")</f>
        <v>0</v>
      </c>
      <c r="AE440" s="8" t="s">
        <v>105</v>
      </c>
      <c r="AF440" s="8"/>
      <c r="AG440" s="8" t="s">
        <v>113</v>
      </c>
      <c r="AH440" s="8" t="s">
        <v>112</v>
      </c>
    </row>
    <row r="441" spans="1:34" x14ac:dyDescent="0.2">
      <c r="A441" s="6">
        <f>IF('[1]Game Input'!$A441&lt;&gt;"",'[1]Game Input'!$A441,"")</f>
        <v>43540</v>
      </c>
      <c r="B441" s="6" t="str">
        <f>IF(A441&gt;$B$1,VLOOKUP(MONTH($A441),DOTWMonth,2,FALSE),"")</f>
        <v>March</v>
      </c>
      <c r="C441" s="10" t="str">
        <f>IF(A441&gt;$B$1,VLOOKUP(WEEKDAY($A441),DOTWMonth,3,FALSE),"")</f>
        <v>Saturday</v>
      </c>
      <c r="D441" s="7">
        <f>IF('[1]Game Input'!$B441&lt;&gt;"",'[1]Game Input'!$B441,"")</f>
        <v>0.79166666666666663</v>
      </c>
      <c r="E441" s="7">
        <f>IF('[1]Game Input'!$C441&lt;&gt;"",'[1]Game Input'!$C441,"")</f>
        <v>0.75</v>
      </c>
      <c r="F441" s="8" t="str">
        <f>IF('[1]Game Input'!$D441&lt;&gt;"",'[1]Game Input'!$D441,"")</f>
        <v>Daylight</v>
      </c>
      <c r="G441" s="8" t="str">
        <f>IF('[1]Game Input'!$G441&lt;&gt;"",'[1]Game Input'!$G441,"")</f>
        <v>GB @ USA</v>
      </c>
      <c r="H441" s="8" t="str">
        <f>IF('[1]Game Input'!$H441&lt;&gt;"",'[1]Game Input'!$H441,"")</f>
        <v>Vs. Conference</v>
      </c>
      <c r="I441" s="8" t="str">
        <f>IF('[1]Game Input'!$I441&lt;&gt;"",'[1]Game Input'!$I441,"")</f>
        <v>GREEN BAY</v>
      </c>
      <c r="J441" s="9">
        <f>IF('[1]Game Input'!$AC441&lt;&gt;"",'[1]Game Input'!$AC441,"")</f>
        <v>10</v>
      </c>
      <c r="K441" s="9">
        <f>IF('[1]Game Input'!$AD441&lt;&gt;"",'[1]Game Input'!$AD441,"")</f>
        <v>5</v>
      </c>
      <c r="L441" s="9">
        <f>IF('[1]Game Input'!$AJ441&lt;&gt;"",'[1]Game Input'!$AJ441,"")</f>
        <v>0</v>
      </c>
      <c r="M441" s="9">
        <f>IF('[1]Game Input'!$AK441&lt;&gt;"",'[1]Game Input'!$AK441,"")</f>
        <v>0</v>
      </c>
      <c r="N441" s="9">
        <f>IF('[1]Game Input'!$AN441&lt;&gt;"",'[1]Game Input'!$AN441,"")</f>
        <v>5</v>
      </c>
      <c r="O441" s="9">
        <f>IF('[1]Game Input'!$AO441&lt;&gt;"",'[1]Game Input'!$AO441,"")</f>
        <v>0</v>
      </c>
      <c r="P441" s="9">
        <f>IF('[1]Game Input'!$AP441&lt;&gt;"",'[1]Game Input'!$AP441,"")</f>
        <v>0</v>
      </c>
      <c r="Q441" s="9">
        <f>IF('[1]Game Input'!$AQ441&lt;&gt;"",'[1]Game Input'!$AQ441,"")</f>
        <v>0</v>
      </c>
      <c r="R441" s="9">
        <f>IF('[1]Game Input'!$AR441&lt;&gt;"",'[1]Game Input'!$AR441,"")</f>
        <v>0</v>
      </c>
      <c r="S441" s="9">
        <f>IF('[1]Game Input'!$AS441&lt;&gt;"",'[1]Game Input'!$AS441,"")</f>
        <v>0</v>
      </c>
      <c r="T441" s="10" t="str">
        <f>IF('[1]Game Input'!$BA441&lt;&gt;"",'[1]Game Input'!$BA441,"")</f>
        <v>TEAM USA</v>
      </c>
      <c r="U441" s="9">
        <f>IF('[1]Game Input'!$BU441&lt;&gt;"",'[1]Game Input'!$BU441,"")</f>
        <v>8</v>
      </c>
      <c r="V441" s="9">
        <f>IF('[1]Game Input'!$BV441&lt;&gt;"",'[1]Game Input'!$BV441,"")</f>
        <v>4</v>
      </c>
      <c r="W441" s="9">
        <f>IF('[1]Game Input'!$CB441&lt;&gt;"",'[1]Game Input'!$CB441,"")</f>
        <v>0</v>
      </c>
      <c r="X441" s="9">
        <f>IF('[1]Game Input'!$CC441&lt;&gt;"",'[1]Game Input'!$CC441,"")</f>
        <v>0</v>
      </c>
      <c r="Y441" s="9">
        <f>IF('[1]Game Input'!$CF441&lt;&gt;"",'[1]Game Input'!$CF441,"")</f>
        <v>4</v>
      </c>
      <c r="Z441" s="9">
        <f>IF('[1]Game Input'!$CG441&lt;&gt;"",'[1]Game Input'!$CG441,"")</f>
        <v>0</v>
      </c>
      <c r="AA441" s="9">
        <f>IF('[1]Game Input'!$CH441&lt;&gt;"",'[1]Game Input'!$CH441,"")</f>
        <v>0</v>
      </c>
      <c r="AB441" s="9">
        <f>IF('[1]Game Input'!$CI441&lt;&gt;"",'[1]Game Input'!$CI441,"")</f>
        <v>0</v>
      </c>
      <c r="AC441" s="9">
        <f>IF('[1]Game Input'!$CJ441&lt;&gt;"",'[1]Game Input'!$CJ441,"")</f>
        <v>0</v>
      </c>
      <c r="AD441" s="9">
        <f>IF('[1]Game Input'!$CK441&lt;&gt;"",'[1]Game Input'!$CK441,"")</f>
        <v>0</v>
      </c>
      <c r="AE441" s="8"/>
      <c r="AF441" s="8"/>
      <c r="AG441" s="8"/>
      <c r="AH441" s="8"/>
    </row>
    <row r="442" spans="1:34" x14ac:dyDescent="0.2">
      <c r="A442" s="6">
        <f>IF('[1]Game Input'!$A442&lt;&gt;"",'[1]Game Input'!$A442,"")</f>
        <v>43540</v>
      </c>
      <c r="B442" s="6" t="str">
        <f>IF(A442&gt;$B$1,VLOOKUP(MONTH($A442),DOTWMonth,2,FALSE),"")</f>
        <v>March</v>
      </c>
      <c r="C442" s="10" t="str">
        <f>IF(A442&gt;$B$1,VLOOKUP(WEEKDAY($A442),DOTWMonth,3,FALSE),"")</f>
        <v>Saturday</v>
      </c>
      <c r="D442" s="7">
        <f>IF('[1]Game Input'!$B442&lt;&gt;"",'[1]Game Input'!$B442,"")</f>
        <v>0.83680555555555547</v>
      </c>
      <c r="E442" s="7">
        <f>IF('[1]Game Input'!$C442&lt;&gt;"",'[1]Game Input'!$C442,"")</f>
        <v>0.79513888888888884</v>
      </c>
      <c r="F442" s="8" t="str">
        <f>IF('[1]Game Input'!$D442&lt;&gt;"",'[1]Game Input'!$D442,"")</f>
        <v>Daylight</v>
      </c>
      <c r="G442" s="8" t="str">
        <f>IF('[1]Game Input'!$G442&lt;&gt;"",'[1]Game Input'!$G442,"")</f>
        <v>USA @ CR</v>
      </c>
      <c r="H442" s="8" t="str">
        <f>IF('[1]Game Input'!$H442&lt;&gt;"",'[1]Game Input'!$H442,"")</f>
        <v>Vs. Conference</v>
      </c>
      <c r="I442" s="8" t="str">
        <f>IF('[1]Game Input'!$I442&lt;&gt;"",'[1]Game Input'!$I442,"")</f>
        <v>TEAM USA</v>
      </c>
      <c r="J442" s="9">
        <f>IF('[1]Game Input'!$AC442&lt;&gt;"",'[1]Game Input'!$AC442,"")</f>
        <v>8</v>
      </c>
      <c r="K442" s="9">
        <f>IF('[1]Game Input'!$AD442&lt;&gt;"",'[1]Game Input'!$AD442,"")</f>
        <v>4</v>
      </c>
      <c r="L442" s="9">
        <f>IF('[1]Game Input'!$AJ442&lt;&gt;"",'[1]Game Input'!$AJ442,"")</f>
        <v>0</v>
      </c>
      <c r="M442" s="9">
        <f>IF('[1]Game Input'!$AK442&lt;&gt;"",'[1]Game Input'!$AK442,"")</f>
        <v>0</v>
      </c>
      <c r="N442" s="9">
        <f>IF('[1]Game Input'!$AN442&lt;&gt;"",'[1]Game Input'!$AN442,"")</f>
        <v>4</v>
      </c>
      <c r="O442" s="9">
        <f>IF('[1]Game Input'!$AO442&lt;&gt;"",'[1]Game Input'!$AO442,"")</f>
        <v>0</v>
      </c>
      <c r="P442" s="9">
        <f>IF('[1]Game Input'!$AP442&lt;&gt;"",'[1]Game Input'!$AP442,"")</f>
        <v>0</v>
      </c>
      <c r="Q442" s="9">
        <f>IF('[1]Game Input'!$AQ442&lt;&gt;"",'[1]Game Input'!$AQ442,"")</f>
        <v>0</v>
      </c>
      <c r="R442" s="9">
        <f>IF('[1]Game Input'!$AR442&lt;&gt;"",'[1]Game Input'!$AR442,"")</f>
        <v>0</v>
      </c>
      <c r="S442" s="9">
        <f>IF('[1]Game Input'!$AS442&lt;&gt;"",'[1]Game Input'!$AS442,"")</f>
        <v>0</v>
      </c>
      <c r="T442" s="10" t="str">
        <f>IF('[1]Game Input'!$BA442&lt;&gt;"",'[1]Game Input'!$BA442,"")</f>
        <v>CEDAR RAPIDS</v>
      </c>
      <c r="U442" s="9">
        <f>IF('[1]Game Input'!$BU442&lt;&gt;"",'[1]Game Input'!$BU442,"")</f>
        <v>8</v>
      </c>
      <c r="V442" s="9">
        <f>IF('[1]Game Input'!$BV442&lt;&gt;"",'[1]Game Input'!$BV442,"")</f>
        <v>4</v>
      </c>
      <c r="W442" s="9">
        <f>IF('[1]Game Input'!$CB442&lt;&gt;"",'[1]Game Input'!$CB442,"")</f>
        <v>0</v>
      </c>
      <c r="X442" s="9">
        <f>IF('[1]Game Input'!$CC442&lt;&gt;"",'[1]Game Input'!$CC442,"")</f>
        <v>0</v>
      </c>
      <c r="Y442" s="9">
        <f>IF('[1]Game Input'!$CF442&lt;&gt;"",'[1]Game Input'!$CF442,"")</f>
        <v>4</v>
      </c>
      <c r="Z442" s="9">
        <f>IF('[1]Game Input'!$CG442&lt;&gt;"",'[1]Game Input'!$CG442,"")</f>
        <v>0</v>
      </c>
      <c r="AA442" s="9">
        <f>IF('[1]Game Input'!$CH442&lt;&gt;"",'[1]Game Input'!$CH442,"")</f>
        <v>0</v>
      </c>
      <c r="AB442" s="9">
        <f>IF('[1]Game Input'!$CI442&lt;&gt;"",'[1]Game Input'!$CI442,"")</f>
        <v>0</v>
      </c>
      <c r="AC442" s="9">
        <f>IF('[1]Game Input'!$CJ442&lt;&gt;"",'[1]Game Input'!$CJ442,"")</f>
        <v>0</v>
      </c>
      <c r="AD442" s="9">
        <f>IF('[1]Game Input'!$CK442&lt;&gt;"",'[1]Game Input'!$CK442,"")</f>
        <v>0</v>
      </c>
      <c r="AE442" s="8" t="s">
        <v>155</v>
      </c>
      <c r="AF442" s="8"/>
      <c r="AG442" s="8" t="s">
        <v>130</v>
      </c>
      <c r="AH442" s="8" t="s">
        <v>124</v>
      </c>
    </row>
    <row r="443" spans="1:34" x14ac:dyDescent="0.2">
      <c r="A443" s="6">
        <f>IF('[1]Game Input'!$A443&lt;&gt;"",'[1]Game Input'!$A443,"")</f>
        <v>43540</v>
      </c>
      <c r="B443" s="6" t="str">
        <f>IF(A443&gt;$B$1,VLOOKUP(MONTH($A443),DOTWMonth,2,FALSE),"")</f>
        <v>March</v>
      </c>
      <c r="C443" s="10" t="str">
        <f>IF(A443&gt;$B$1,VLOOKUP(WEEKDAY($A443),DOTWMonth,3,FALSE),"")</f>
        <v>Saturday</v>
      </c>
      <c r="D443" s="7">
        <f>IF('[1]Game Input'!$B443&lt;&gt;"",'[1]Game Input'!$B443,"")</f>
        <v>0.83680555555555547</v>
      </c>
      <c r="E443" s="7">
        <f>IF('[1]Game Input'!$C443&lt;&gt;"",'[1]Game Input'!$C443,"")</f>
        <v>0.79513888888888884</v>
      </c>
      <c r="F443" s="8" t="str">
        <f>IF('[1]Game Input'!$D443&lt;&gt;"",'[1]Game Input'!$D443,"")</f>
        <v>Daylight</v>
      </c>
      <c r="G443" s="8" t="str">
        <f>IF('[1]Game Input'!$G443&lt;&gt;"",'[1]Game Input'!$G443,"")</f>
        <v>DUB @ CHI</v>
      </c>
      <c r="H443" s="8" t="str">
        <f>IF('[1]Game Input'!$H443&lt;&gt;"",'[1]Game Input'!$H443,"")</f>
        <v>Vs. Conference</v>
      </c>
      <c r="I443" s="8" t="str">
        <f>IF('[1]Game Input'!$I443&lt;&gt;"",'[1]Game Input'!$I443,"")</f>
        <v>DUBUQUE</v>
      </c>
      <c r="J443" s="9">
        <f>IF('[1]Game Input'!$AC443&lt;&gt;"",'[1]Game Input'!$AC443,"")</f>
        <v>0</v>
      </c>
      <c r="K443" s="9">
        <f>IF('[1]Game Input'!$AD443&lt;&gt;"",'[1]Game Input'!$AD443,"")</f>
        <v>0</v>
      </c>
      <c r="L443" s="9">
        <f>IF('[1]Game Input'!$AJ443&lt;&gt;"",'[1]Game Input'!$AJ443,"")</f>
        <v>0</v>
      </c>
      <c r="M443" s="9">
        <f>IF('[1]Game Input'!$AK443&lt;&gt;"",'[1]Game Input'!$AK443,"")</f>
        <v>0</v>
      </c>
      <c r="N443" s="9">
        <f>IF('[1]Game Input'!$AN443&lt;&gt;"",'[1]Game Input'!$AN443,"")</f>
        <v>0</v>
      </c>
      <c r="O443" s="9">
        <f>IF('[1]Game Input'!$AO443&lt;&gt;"",'[1]Game Input'!$AO443,"")</f>
        <v>0</v>
      </c>
      <c r="P443" s="9">
        <f>IF('[1]Game Input'!$AP443&lt;&gt;"",'[1]Game Input'!$AP443,"")</f>
        <v>0</v>
      </c>
      <c r="Q443" s="9">
        <f>IF('[1]Game Input'!$AQ443&lt;&gt;"",'[1]Game Input'!$AQ443,"")</f>
        <v>0</v>
      </c>
      <c r="R443" s="9">
        <f>IF('[1]Game Input'!$AR443&lt;&gt;"",'[1]Game Input'!$AR443,"")</f>
        <v>0</v>
      </c>
      <c r="S443" s="9">
        <f>IF('[1]Game Input'!$AS443&lt;&gt;"",'[1]Game Input'!$AS443,"")</f>
        <v>0</v>
      </c>
      <c r="T443" s="10" t="str">
        <f>IF('[1]Game Input'!$BA443&lt;&gt;"",'[1]Game Input'!$BA443,"")</f>
        <v>CHICAGO</v>
      </c>
      <c r="U443" s="9">
        <f>IF('[1]Game Input'!$BU443&lt;&gt;"",'[1]Game Input'!$BU443,"")</f>
        <v>2</v>
      </c>
      <c r="V443" s="9">
        <f>IF('[1]Game Input'!$BV443&lt;&gt;"",'[1]Game Input'!$BV443,"")</f>
        <v>1</v>
      </c>
      <c r="W443" s="9">
        <f>IF('[1]Game Input'!$CB443&lt;&gt;"",'[1]Game Input'!$CB443,"")</f>
        <v>0</v>
      </c>
      <c r="X443" s="9">
        <f>IF('[1]Game Input'!$CC443&lt;&gt;"",'[1]Game Input'!$CC443,"")</f>
        <v>0</v>
      </c>
      <c r="Y443" s="9">
        <f>IF('[1]Game Input'!$CF443&lt;&gt;"",'[1]Game Input'!$CF443,"")</f>
        <v>1</v>
      </c>
      <c r="Z443" s="9">
        <f>IF('[1]Game Input'!$CG443&lt;&gt;"",'[1]Game Input'!$CG443,"")</f>
        <v>0</v>
      </c>
      <c r="AA443" s="9">
        <f>IF('[1]Game Input'!$CH443&lt;&gt;"",'[1]Game Input'!$CH443,"")</f>
        <v>0</v>
      </c>
      <c r="AB443" s="9">
        <f>IF('[1]Game Input'!$CI443&lt;&gt;"",'[1]Game Input'!$CI443,"")</f>
        <v>0</v>
      </c>
      <c r="AC443" s="9">
        <f>IF('[1]Game Input'!$CJ443&lt;&gt;"",'[1]Game Input'!$CJ443,"")</f>
        <v>0</v>
      </c>
      <c r="AD443" s="9">
        <f>IF('[1]Game Input'!$CK443&lt;&gt;"",'[1]Game Input'!$CK443,"")</f>
        <v>0</v>
      </c>
      <c r="AE443" s="8"/>
      <c r="AF443" s="8"/>
      <c r="AG443" s="8"/>
      <c r="AH443" s="8"/>
    </row>
    <row r="444" spans="1:34" x14ac:dyDescent="0.2">
      <c r="A444" s="6">
        <f>IF('[1]Game Input'!$A444&lt;&gt;"",'[1]Game Input'!$A444,"")</f>
        <v>43540</v>
      </c>
      <c r="B444" s="6" t="str">
        <f>IF(A444&gt;$B$1,VLOOKUP(MONTH($A444),DOTWMonth,2,FALSE),"")</f>
        <v>March</v>
      </c>
      <c r="C444" s="10" t="str">
        <f>IF(A444&gt;$B$1,VLOOKUP(WEEKDAY($A444),DOTWMonth,3,FALSE),"")</f>
        <v>Saturday</v>
      </c>
      <c r="D444" s="7">
        <f>IF('[1]Game Input'!$B444&lt;&gt;"",'[1]Game Input'!$B444,"")</f>
        <v>0.83680555555555547</v>
      </c>
      <c r="E444" s="7">
        <f>IF('[1]Game Input'!$C444&lt;&gt;"",'[1]Game Input'!$C444,"")</f>
        <v>0.79513888888888884</v>
      </c>
      <c r="F444" s="8" t="str">
        <f>IF('[1]Game Input'!$D444&lt;&gt;"",'[1]Game Input'!$D444,"")</f>
        <v>Daylight</v>
      </c>
      <c r="G444" s="8" t="str">
        <f>IF('[1]Game Input'!$G444&lt;&gt;"",'[1]Game Input'!$G444,"")</f>
        <v>WAT @ FGO</v>
      </c>
      <c r="H444" s="8" t="str">
        <f>IF('[1]Game Input'!$H444&lt;&gt;"",'[1]Game Input'!$H444,"")</f>
        <v>Vs. Conference</v>
      </c>
      <c r="I444" s="8" t="str">
        <f>IF('[1]Game Input'!$I444&lt;&gt;"",'[1]Game Input'!$I444,"")</f>
        <v>WATERLOO</v>
      </c>
      <c r="J444" s="9">
        <f>IF('[1]Game Input'!$AC444&lt;&gt;"",'[1]Game Input'!$AC444,"")</f>
        <v>25</v>
      </c>
      <c r="K444" s="9">
        <f>IF('[1]Game Input'!$AD444&lt;&gt;"",'[1]Game Input'!$AD444,"")</f>
        <v>7</v>
      </c>
      <c r="L444" s="9">
        <f>IF('[1]Game Input'!$AJ444&lt;&gt;"",'[1]Game Input'!$AJ444,"")</f>
        <v>0</v>
      </c>
      <c r="M444" s="9">
        <f>IF('[1]Game Input'!$AK444&lt;&gt;"",'[1]Game Input'!$AK444,"")</f>
        <v>0</v>
      </c>
      <c r="N444" s="9">
        <f>IF('[1]Game Input'!$AN444&lt;&gt;"",'[1]Game Input'!$AN444,"")</f>
        <v>5</v>
      </c>
      <c r="O444" s="9">
        <f>IF('[1]Game Input'!$AO444&lt;&gt;"",'[1]Game Input'!$AO444,"")</f>
        <v>1</v>
      </c>
      <c r="P444" s="9">
        <f>IF('[1]Game Input'!$AP444&lt;&gt;"",'[1]Game Input'!$AP444,"")</f>
        <v>1</v>
      </c>
      <c r="Q444" s="9">
        <f>IF('[1]Game Input'!$AQ444&lt;&gt;"",'[1]Game Input'!$AQ444,"")</f>
        <v>0</v>
      </c>
      <c r="R444" s="9">
        <f>IF('[1]Game Input'!$AR444&lt;&gt;"",'[1]Game Input'!$AR444,"")</f>
        <v>0</v>
      </c>
      <c r="S444" s="9">
        <f>IF('[1]Game Input'!$AS444&lt;&gt;"",'[1]Game Input'!$AS444,"")</f>
        <v>0</v>
      </c>
      <c r="T444" s="10" t="str">
        <f>IF('[1]Game Input'!$BA444&lt;&gt;"",'[1]Game Input'!$BA444,"")</f>
        <v>FARGO</v>
      </c>
      <c r="U444" s="9">
        <f>IF('[1]Game Input'!$BU444&lt;&gt;"",'[1]Game Input'!$BU444,"")</f>
        <v>21</v>
      </c>
      <c r="V444" s="9">
        <f>IF('[1]Game Input'!$BV444&lt;&gt;"",'[1]Game Input'!$BV444,"")</f>
        <v>5</v>
      </c>
      <c r="W444" s="9">
        <f>IF('[1]Game Input'!$CB444&lt;&gt;"",'[1]Game Input'!$CB444,"")</f>
        <v>0</v>
      </c>
      <c r="X444" s="9">
        <f>IF('[1]Game Input'!$CC444&lt;&gt;"",'[1]Game Input'!$CC444,"")</f>
        <v>0</v>
      </c>
      <c r="Y444" s="9">
        <f>IF('[1]Game Input'!$CF444&lt;&gt;"",'[1]Game Input'!$CF444,"")</f>
        <v>3</v>
      </c>
      <c r="Z444" s="9">
        <f>IF('[1]Game Input'!$CG444&lt;&gt;"",'[1]Game Input'!$CG444,"")</f>
        <v>1</v>
      </c>
      <c r="AA444" s="9">
        <f>IF('[1]Game Input'!$CH444&lt;&gt;"",'[1]Game Input'!$CH444,"")</f>
        <v>1</v>
      </c>
      <c r="AB444" s="9">
        <f>IF('[1]Game Input'!$CI444&lt;&gt;"",'[1]Game Input'!$CI444,"")</f>
        <v>0</v>
      </c>
      <c r="AC444" s="9">
        <f>IF('[1]Game Input'!$CJ444&lt;&gt;"",'[1]Game Input'!$CJ444,"")</f>
        <v>0</v>
      </c>
      <c r="AD444" s="9">
        <f>IF('[1]Game Input'!$CK444&lt;&gt;"",'[1]Game Input'!$CK444,"")</f>
        <v>0</v>
      </c>
      <c r="AE444" s="8"/>
      <c r="AF444" s="8"/>
      <c r="AG444" s="8"/>
      <c r="AH444" s="8"/>
    </row>
    <row r="445" spans="1:34" x14ac:dyDescent="0.2">
      <c r="A445" s="6">
        <f>IF('[1]Game Input'!$A445&lt;&gt;"",'[1]Game Input'!$A445,"")</f>
        <v>43540</v>
      </c>
      <c r="B445" s="6" t="str">
        <f>IF(A445&gt;$B$1,VLOOKUP(MONTH($A445),DOTWMonth,2,FALSE),"")</f>
        <v>March</v>
      </c>
      <c r="C445" s="10" t="str">
        <f>IF(A445&gt;$B$1,VLOOKUP(WEEKDAY($A445),DOTWMonth,3,FALSE),"")</f>
        <v>Saturday</v>
      </c>
      <c r="D445" s="7">
        <f>IF('[1]Game Input'!$B445&lt;&gt;"",'[1]Game Input'!$B445,"")</f>
        <v>0.83680555555555547</v>
      </c>
      <c r="E445" s="7">
        <f>IF('[1]Game Input'!$C445&lt;&gt;"",'[1]Game Input'!$C445,"")</f>
        <v>0.79513888888888884</v>
      </c>
      <c r="F445" s="8" t="str">
        <f>IF('[1]Game Input'!$D445&lt;&gt;"",'[1]Game Input'!$D445,"")</f>
        <v>Daylight</v>
      </c>
      <c r="G445" s="8" t="str">
        <f>IF('[1]Game Input'!$G445&lt;&gt;"",'[1]Game Input'!$G445,"")</f>
        <v>YNG @ MAD</v>
      </c>
      <c r="H445" s="8" t="str">
        <f>IF('[1]Game Input'!$H445&lt;&gt;"",'[1]Game Input'!$H445,"")</f>
        <v>Vs. Conference</v>
      </c>
      <c r="I445" s="8" t="str">
        <f>IF('[1]Game Input'!$I445&lt;&gt;"",'[1]Game Input'!$I445,"")</f>
        <v>YOUNGSTOWN</v>
      </c>
      <c r="J445" s="9">
        <f>IF('[1]Game Input'!$AC445&lt;&gt;"",'[1]Game Input'!$AC445,"")</f>
        <v>8</v>
      </c>
      <c r="K445" s="9">
        <f>IF('[1]Game Input'!$AD445&lt;&gt;"",'[1]Game Input'!$AD445,"")</f>
        <v>4</v>
      </c>
      <c r="L445" s="9">
        <f>IF('[1]Game Input'!$AJ445&lt;&gt;"",'[1]Game Input'!$AJ445,"")</f>
        <v>0</v>
      </c>
      <c r="M445" s="9">
        <f>IF('[1]Game Input'!$AK445&lt;&gt;"",'[1]Game Input'!$AK445,"")</f>
        <v>0</v>
      </c>
      <c r="N445" s="9">
        <f>IF('[1]Game Input'!$AN445&lt;&gt;"",'[1]Game Input'!$AN445,"")</f>
        <v>4</v>
      </c>
      <c r="O445" s="9">
        <f>IF('[1]Game Input'!$AO445&lt;&gt;"",'[1]Game Input'!$AO445,"")</f>
        <v>0</v>
      </c>
      <c r="P445" s="9">
        <f>IF('[1]Game Input'!$AP445&lt;&gt;"",'[1]Game Input'!$AP445,"")</f>
        <v>0</v>
      </c>
      <c r="Q445" s="9">
        <f>IF('[1]Game Input'!$AQ445&lt;&gt;"",'[1]Game Input'!$AQ445,"")</f>
        <v>0</v>
      </c>
      <c r="R445" s="9">
        <f>IF('[1]Game Input'!$AR445&lt;&gt;"",'[1]Game Input'!$AR445,"")</f>
        <v>0</v>
      </c>
      <c r="S445" s="9">
        <f>IF('[1]Game Input'!$AS445&lt;&gt;"",'[1]Game Input'!$AS445,"")</f>
        <v>0</v>
      </c>
      <c r="T445" s="10" t="str">
        <f>IF('[1]Game Input'!$BA445&lt;&gt;"",'[1]Game Input'!$BA445,"")</f>
        <v>MADISON</v>
      </c>
      <c r="U445" s="9">
        <f>IF('[1]Game Input'!$BU445&lt;&gt;"",'[1]Game Input'!$BU445,"")</f>
        <v>14</v>
      </c>
      <c r="V445" s="9">
        <f>IF('[1]Game Input'!$BV445&lt;&gt;"",'[1]Game Input'!$BV445,"")</f>
        <v>3</v>
      </c>
      <c r="W445" s="9">
        <f>IF('[1]Game Input'!$CB445&lt;&gt;"",'[1]Game Input'!$CB445,"")</f>
        <v>0</v>
      </c>
      <c r="X445" s="9">
        <f>IF('[1]Game Input'!$CC445&lt;&gt;"",'[1]Game Input'!$CC445,"")</f>
        <v>0</v>
      </c>
      <c r="Y445" s="9">
        <f>IF('[1]Game Input'!$CF445&lt;&gt;"",'[1]Game Input'!$CF445,"")</f>
        <v>2</v>
      </c>
      <c r="Z445" s="9">
        <f>IF('[1]Game Input'!$CG445&lt;&gt;"",'[1]Game Input'!$CG445,"")</f>
        <v>0</v>
      </c>
      <c r="AA445" s="9">
        <f>IF('[1]Game Input'!$CH445&lt;&gt;"",'[1]Game Input'!$CH445,"")</f>
        <v>1</v>
      </c>
      <c r="AB445" s="9">
        <f>IF('[1]Game Input'!$CI445&lt;&gt;"",'[1]Game Input'!$CI445,"")</f>
        <v>0</v>
      </c>
      <c r="AC445" s="9">
        <f>IF('[1]Game Input'!$CJ445&lt;&gt;"",'[1]Game Input'!$CJ445,"")</f>
        <v>0</v>
      </c>
      <c r="AD445" s="9">
        <f>IF('[1]Game Input'!$CK445&lt;&gt;"",'[1]Game Input'!$CK445,"")</f>
        <v>0</v>
      </c>
      <c r="AE445" s="8"/>
      <c r="AF445" s="8"/>
      <c r="AG445" s="8"/>
      <c r="AH445" s="8"/>
    </row>
    <row r="446" spans="1:34" x14ac:dyDescent="0.2">
      <c r="A446" s="6">
        <f>IF('[1]Game Input'!$A446&lt;&gt;"",'[1]Game Input'!$A446,"")</f>
        <v>43540</v>
      </c>
      <c r="B446" s="6" t="str">
        <f>IF(A446&gt;$B$1,VLOOKUP(MONTH($A446),DOTWMonth,2,FALSE),"")</f>
        <v>March</v>
      </c>
      <c r="C446" s="10" t="str">
        <f>IF(A446&gt;$B$1,VLOOKUP(WEEKDAY($A446),DOTWMonth,3,FALSE),"")</f>
        <v>Saturday</v>
      </c>
      <c r="D446" s="7">
        <f>IF('[1]Game Input'!$B446&lt;&gt;"",'[1]Game Input'!$B446,"")</f>
        <v>0.83680555555555547</v>
      </c>
      <c r="E446" s="7">
        <f>IF('[1]Game Input'!$C446&lt;&gt;"",'[1]Game Input'!$C446,"")</f>
        <v>0.79513888888888884</v>
      </c>
      <c r="F446" s="8" t="str">
        <f>IF('[1]Game Input'!$D446&lt;&gt;"",'[1]Game Input'!$D446,"")</f>
        <v>Daylight</v>
      </c>
      <c r="G446" s="8" t="str">
        <f>IF('[1]Game Input'!$G446&lt;&gt;"",'[1]Game Input'!$G446,"")</f>
        <v>OMA @ TC</v>
      </c>
      <c r="H446" s="8" t="str">
        <f>IF('[1]Game Input'!$H446&lt;&gt;"",'[1]Game Input'!$H446,"")</f>
        <v>Vs. Conference</v>
      </c>
      <c r="I446" s="8" t="str">
        <f>IF('[1]Game Input'!$I446&lt;&gt;"",'[1]Game Input'!$I446,"")</f>
        <v>OMAHA</v>
      </c>
      <c r="J446" s="9">
        <f>IF('[1]Game Input'!$AC446&lt;&gt;"",'[1]Game Input'!$AC446,"")</f>
        <v>20</v>
      </c>
      <c r="K446" s="9">
        <f>IF('[1]Game Input'!$AD446&lt;&gt;"",'[1]Game Input'!$AD446,"")</f>
        <v>10</v>
      </c>
      <c r="L446" s="9">
        <f>IF('[1]Game Input'!$AJ446&lt;&gt;"",'[1]Game Input'!$AJ446,"")</f>
        <v>0</v>
      </c>
      <c r="M446" s="9">
        <f>IF('[1]Game Input'!$AK446&lt;&gt;"",'[1]Game Input'!$AK446,"")</f>
        <v>0</v>
      </c>
      <c r="N446" s="9">
        <f>IF('[1]Game Input'!$AN446&lt;&gt;"",'[1]Game Input'!$AN446,"")</f>
        <v>10</v>
      </c>
      <c r="O446" s="9">
        <f>IF('[1]Game Input'!$AO446&lt;&gt;"",'[1]Game Input'!$AO446,"")</f>
        <v>0</v>
      </c>
      <c r="P446" s="9">
        <f>IF('[1]Game Input'!$AP446&lt;&gt;"",'[1]Game Input'!$AP446,"")</f>
        <v>0</v>
      </c>
      <c r="Q446" s="9">
        <f>IF('[1]Game Input'!$AQ446&lt;&gt;"",'[1]Game Input'!$AQ446,"")</f>
        <v>0</v>
      </c>
      <c r="R446" s="9">
        <f>IF('[1]Game Input'!$AR446&lt;&gt;"",'[1]Game Input'!$AR446,"")</f>
        <v>0</v>
      </c>
      <c r="S446" s="9">
        <f>IF('[1]Game Input'!$AS446&lt;&gt;"",'[1]Game Input'!$AS446,"")</f>
        <v>0</v>
      </c>
      <c r="T446" s="10" t="str">
        <f>IF('[1]Game Input'!$BA446&lt;&gt;"",'[1]Game Input'!$BA446,"")</f>
        <v>TRI-CITY</v>
      </c>
      <c r="U446" s="9">
        <f>IF('[1]Game Input'!$BU446&lt;&gt;"",'[1]Game Input'!$BU446,"")</f>
        <v>20</v>
      </c>
      <c r="V446" s="9">
        <f>IF('[1]Game Input'!$BV446&lt;&gt;"",'[1]Game Input'!$BV446,"")</f>
        <v>6</v>
      </c>
      <c r="W446" s="9">
        <f>IF('[1]Game Input'!$CB446&lt;&gt;"",'[1]Game Input'!$CB446,"")</f>
        <v>0</v>
      </c>
      <c r="X446" s="9">
        <f>IF('[1]Game Input'!$CC446&lt;&gt;"",'[1]Game Input'!$CC446,"")</f>
        <v>0</v>
      </c>
      <c r="Y446" s="9">
        <f>IF('[1]Game Input'!$CF446&lt;&gt;"",'[1]Game Input'!$CF446,"")</f>
        <v>5</v>
      </c>
      <c r="Z446" s="9">
        <f>IF('[1]Game Input'!$CG446&lt;&gt;"",'[1]Game Input'!$CG446,"")</f>
        <v>0</v>
      </c>
      <c r="AA446" s="9">
        <f>IF('[1]Game Input'!$CH446&lt;&gt;"",'[1]Game Input'!$CH446,"")</f>
        <v>1</v>
      </c>
      <c r="AB446" s="9">
        <f>IF('[1]Game Input'!$CI446&lt;&gt;"",'[1]Game Input'!$CI446,"")</f>
        <v>0</v>
      </c>
      <c r="AC446" s="9">
        <f>IF('[1]Game Input'!$CJ446&lt;&gt;"",'[1]Game Input'!$CJ446,"")</f>
        <v>0</v>
      </c>
      <c r="AD446" s="9">
        <f>IF('[1]Game Input'!$CK446&lt;&gt;"",'[1]Game Input'!$CK446,"")</f>
        <v>0</v>
      </c>
      <c r="AE446" s="8"/>
      <c r="AF446" s="8"/>
      <c r="AG446" s="8"/>
      <c r="AH446" s="8"/>
    </row>
    <row r="447" spans="1:34" x14ac:dyDescent="0.2">
      <c r="A447" s="6">
        <f>IF('[1]Game Input'!$A447&lt;&gt;"",'[1]Game Input'!$A447,"")</f>
        <v>43540</v>
      </c>
      <c r="B447" s="6" t="str">
        <f>IF(A447&gt;$B$1,VLOOKUP(MONTH($A447),DOTWMonth,2,FALSE),"")</f>
        <v>March</v>
      </c>
      <c r="C447" s="10" t="str">
        <f>IF(A447&gt;$B$1,VLOOKUP(WEEKDAY($A447),DOTWMonth,3,FALSE),"")</f>
        <v>Saturday</v>
      </c>
      <c r="D447" s="7">
        <f>IF('[1]Game Input'!$B447&lt;&gt;"",'[1]Game Input'!$B447,"")</f>
        <v>0.83819444444444446</v>
      </c>
      <c r="E447" s="7">
        <f>IF('[1]Game Input'!$C447&lt;&gt;"",'[1]Game Input'!$C447,"")</f>
        <v>0.79652777777777783</v>
      </c>
      <c r="F447" s="8" t="str">
        <f>IF('[1]Game Input'!$D447&lt;&gt;"",'[1]Game Input'!$D447,"")</f>
        <v>Daylight</v>
      </c>
      <c r="G447" s="8" t="str">
        <f>IF('[1]Game Input'!$G447&lt;&gt;"",'[1]Game Input'!$G447,"")</f>
        <v>SC @ CIL</v>
      </c>
      <c r="H447" s="8" t="str">
        <f>IF('[1]Game Input'!$H447&lt;&gt;"",'[1]Game Input'!$H447,"")</f>
        <v>Vs. Non-Conference</v>
      </c>
      <c r="I447" s="8" t="str">
        <f>IF('[1]Game Input'!$I447&lt;&gt;"",'[1]Game Input'!$I447,"")</f>
        <v>SIOUX CITY</v>
      </c>
      <c r="J447" s="9">
        <f>IF('[1]Game Input'!$AC447&lt;&gt;"",'[1]Game Input'!$AC447,"")</f>
        <v>18</v>
      </c>
      <c r="K447" s="9">
        <f>IF('[1]Game Input'!$AD447&lt;&gt;"",'[1]Game Input'!$AD447,"")</f>
        <v>5</v>
      </c>
      <c r="L447" s="9">
        <f>IF('[1]Game Input'!$AJ447&lt;&gt;"",'[1]Game Input'!$AJ447,"")</f>
        <v>0</v>
      </c>
      <c r="M447" s="9">
        <f>IF('[1]Game Input'!$AK447&lt;&gt;"",'[1]Game Input'!$AK447,"")</f>
        <v>0</v>
      </c>
      <c r="N447" s="9">
        <f>IF('[1]Game Input'!$AN447&lt;&gt;"",'[1]Game Input'!$AN447,"")</f>
        <v>4</v>
      </c>
      <c r="O447" s="9">
        <f>IF('[1]Game Input'!$AO447&lt;&gt;"",'[1]Game Input'!$AO447,"")</f>
        <v>0</v>
      </c>
      <c r="P447" s="9">
        <f>IF('[1]Game Input'!$AP447&lt;&gt;"",'[1]Game Input'!$AP447,"")</f>
        <v>1</v>
      </c>
      <c r="Q447" s="9">
        <f>IF('[1]Game Input'!$AQ447&lt;&gt;"",'[1]Game Input'!$AQ447,"")</f>
        <v>0</v>
      </c>
      <c r="R447" s="9">
        <f>IF('[1]Game Input'!$AR447&lt;&gt;"",'[1]Game Input'!$AR447,"")</f>
        <v>0</v>
      </c>
      <c r="S447" s="9">
        <f>IF('[1]Game Input'!$AS447&lt;&gt;"",'[1]Game Input'!$AS447,"")</f>
        <v>0</v>
      </c>
      <c r="T447" s="10" t="str">
        <f>IF('[1]Game Input'!$BA447&lt;&gt;"",'[1]Game Input'!$BA447,"")</f>
        <v>CENTRAL ILLINOIS</v>
      </c>
      <c r="U447" s="9">
        <f>IF('[1]Game Input'!$BU447&lt;&gt;"",'[1]Game Input'!$BU447,"")</f>
        <v>8</v>
      </c>
      <c r="V447" s="9">
        <f>IF('[1]Game Input'!$BV447&lt;&gt;"",'[1]Game Input'!$BV447,"")</f>
        <v>4</v>
      </c>
      <c r="W447" s="9">
        <f>IF('[1]Game Input'!$CB447&lt;&gt;"",'[1]Game Input'!$CB447,"")</f>
        <v>0</v>
      </c>
      <c r="X447" s="9">
        <f>IF('[1]Game Input'!$CC447&lt;&gt;"",'[1]Game Input'!$CC447,"")</f>
        <v>0</v>
      </c>
      <c r="Y447" s="9">
        <f>IF('[1]Game Input'!$CF447&lt;&gt;"",'[1]Game Input'!$CF447,"")</f>
        <v>4</v>
      </c>
      <c r="Z447" s="9">
        <f>IF('[1]Game Input'!$CG447&lt;&gt;"",'[1]Game Input'!$CG447,"")</f>
        <v>0</v>
      </c>
      <c r="AA447" s="9">
        <f>IF('[1]Game Input'!$CH447&lt;&gt;"",'[1]Game Input'!$CH447,"")</f>
        <v>0</v>
      </c>
      <c r="AB447" s="9">
        <f>IF('[1]Game Input'!$CI447&lt;&gt;"",'[1]Game Input'!$CI447,"")</f>
        <v>0</v>
      </c>
      <c r="AC447" s="9">
        <f>IF('[1]Game Input'!$CJ447&lt;&gt;"",'[1]Game Input'!$CJ447,"")</f>
        <v>0</v>
      </c>
      <c r="AD447" s="9">
        <f>IF('[1]Game Input'!$CK447&lt;&gt;"",'[1]Game Input'!$CK447,"")</f>
        <v>0</v>
      </c>
      <c r="AE447" s="8" t="s">
        <v>97</v>
      </c>
      <c r="AF447" s="8"/>
      <c r="AG447" s="8" t="s">
        <v>121</v>
      </c>
      <c r="AH447" s="8" t="s">
        <v>141</v>
      </c>
    </row>
    <row r="448" spans="1:34" x14ac:dyDescent="0.2">
      <c r="A448" s="6">
        <f>IF('[1]Game Input'!$A448&lt;&gt;"",'[1]Game Input'!$A448,"")</f>
        <v>43541</v>
      </c>
      <c r="B448" s="6" t="str">
        <f>IF(A448&gt;$B$1,VLOOKUP(MONTH($A448),DOTWMonth,2,FALSE),"")</f>
        <v>March</v>
      </c>
      <c r="C448" s="10" t="str">
        <f>IF(A448&gt;$B$1,VLOOKUP(WEEKDAY($A448),DOTWMonth,3,FALSE),"")</f>
        <v>Sunday</v>
      </c>
      <c r="D448" s="7">
        <f>IF('[1]Game Input'!$B448&lt;&gt;"",'[1]Game Input'!$B448,"")</f>
        <v>0.62847222222222221</v>
      </c>
      <c r="E448" s="7">
        <f>IF('[1]Game Input'!$C448&lt;&gt;"",'[1]Game Input'!$C448,"")</f>
        <v>0.58680555555555558</v>
      </c>
      <c r="F448" s="8" t="str">
        <f>IF('[1]Game Input'!$D448&lt;&gt;"",'[1]Game Input'!$D448,"")</f>
        <v>Daylight</v>
      </c>
      <c r="G448" s="8" t="str">
        <f>IF('[1]Game Input'!$G448&lt;&gt;"",'[1]Game Input'!$G448,"")</f>
        <v>YNG @ MAD</v>
      </c>
      <c r="H448" s="8" t="str">
        <f>IF('[1]Game Input'!$H448&lt;&gt;"",'[1]Game Input'!$H448,"")</f>
        <v>Vs. Conference</v>
      </c>
      <c r="I448" s="8" t="str">
        <f>IF('[1]Game Input'!$I448&lt;&gt;"",'[1]Game Input'!$I448,"")</f>
        <v>YOUNGSTOWN</v>
      </c>
      <c r="J448" s="9">
        <f>IF('[1]Game Input'!$AC448&lt;&gt;"",'[1]Game Input'!$AC448,"")</f>
        <v>14</v>
      </c>
      <c r="K448" s="9">
        <f>IF('[1]Game Input'!$AD448&lt;&gt;"",'[1]Game Input'!$AD448,"")</f>
        <v>7</v>
      </c>
      <c r="L448" s="9">
        <f>IF('[1]Game Input'!$AJ448&lt;&gt;"",'[1]Game Input'!$AJ448,"")</f>
        <v>0</v>
      </c>
      <c r="M448" s="9">
        <f>IF('[1]Game Input'!$AK448&lt;&gt;"",'[1]Game Input'!$AK448,"")</f>
        <v>0</v>
      </c>
      <c r="N448" s="9">
        <f>IF('[1]Game Input'!$AN448&lt;&gt;"",'[1]Game Input'!$AN448,"")</f>
        <v>7</v>
      </c>
      <c r="O448" s="9">
        <f>IF('[1]Game Input'!$AO448&lt;&gt;"",'[1]Game Input'!$AO448,"")</f>
        <v>0</v>
      </c>
      <c r="P448" s="9">
        <f>IF('[1]Game Input'!$AP448&lt;&gt;"",'[1]Game Input'!$AP448,"")</f>
        <v>0</v>
      </c>
      <c r="Q448" s="9">
        <f>IF('[1]Game Input'!$AQ448&lt;&gt;"",'[1]Game Input'!$AQ448,"")</f>
        <v>0</v>
      </c>
      <c r="R448" s="9">
        <f>IF('[1]Game Input'!$AR448&lt;&gt;"",'[1]Game Input'!$AR448,"")</f>
        <v>0</v>
      </c>
      <c r="S448" s="9">
        <f>IF('[1]Game Input'!$AS448&lt;&gt;"",'[1]Game Input'!$AS448,"")</f>
        <v>0</v>
      </c>
      <c r="T448" s="10" t="str">
        <f>IF('[1]Game Input'!$BA448&lt;&gt;"",'[1]Game Input'!$BA448,"")</f>
        <v>MADISON</v>
      </c>
      <c r="U448" s="9">
        <f>IF('[1]Game Input'!$BU448&lt;&gt;"",'[1]Game Input'!$BU448,"")</f>
        <v>16</v>
      </c>
      <c r="V448" s="9">
        <f>IF('[1]Game Input'!$BV448&lt;&gt;"",'[1]Game Input'!$BV448,"")</f>
        <v>8</v>
      </c>
      <c r="W448" s="9">
        <f>IF('[1]Game Input'!$CB448&lt;&gt;"",'[1]Game Input'!$CB448,"")</f>
        <v>0</v>
      </c>
      <c r="X448" s="9">
        <f>IF('[1]Game Input'!$CC448&lt;&gt;"",'[1]Game Input'!$CC448,"")</f>
        <v>0</v>
      </c>
      <c r="Y448" s="9">
        <f>IF('[1]Game Input'!$CF448&lt;&gt;"",'[1]Game Input'!$CF448,"")</f>
        <v>8</v>
      </c>
      <c r="Z448" s="9">
        <f>IF('[1]Game Input'!$CG448&lt;&gt;"",'[1]Game Input'!$CG448,"")</f>
        <v>0</v>
      </c>
      <c r="AA448" s="9">
        <f>IF('[1]Game Input'!$CH448&lt;&gt;"",'[1]Game Input'!$CH448,"")</f>
        <v>0</v>
      </c>
      <c r="AB448" s="9">
        <f>IF('[1]Game Input'!$CI448&lt;&gt;"",'[1]Game Input'!$CI448,"")</f>
        <v>0</v>
      </c>
      <c r="AC448" s="9">
        <f>IF('[1]Game Input'!$CJ448&lt;&gt;"",'[1]Game Input'!$CJ448,"")</f>
        <v>0</v>
      </c>
      <c r="AD448" s="9">
        <f>IF('[1]Game Input'!$CK448&lt;&gt;"",'[1]Game Input'!$CK448,"")</f>
        <v>0</v>
      </c>
      <c r="AE448" s="8"/>
      <c r="AF448" s="8"/>
      <c r="AG448" s="8"/>
      <c r="AH448" s="8"/>
    </row>
    <row r="449" spans="1:34" x14ac:dyDescent="0.2">
      <c r="A449" s="6">
        <f>IF('[1]Game Input'!$A449&lt;&gt;"",'[1]Game Input'!$A449,"")</f>
        <v>43541</v>
      </c>
      <c r="B449" s="6" t="str">
        <f>IF(A449&gt;$B$1,VLOOKUP(MONTH($A449),DOTWMonth,2,FALSE),"")</f>
        <v>March</v>
      </c>
      <c r="C449" s="10" t="str">
        <f>IF(A449&gt;$B$1,VLOOKUP(WEEKDAY($A449),DOTWMonth,3,FALSE),"")</f>
        <v>Sunday</v>
      </c>
      <c r="D449" s="7">
        <f>IF('[1]Game Input'!$B449&lt;&gt;"",'[1]Game Input'!$B449,"")</f>
        <v>0.71319444444444446</v>
      </c>
      <c r="E449" s="7">
        <f>IF('[1]Game Input'!$C449&lt;&gt;"",'[1]Game Input'!$C449,"")</f>
        <v>0.67152777777777783</v>
      </c>
      <c r="F449" s="8" t="str">
        <f>IF('[1]Game Input'!$D449&lt;&gt;"",'[1]Game Input'!$D449,"")</f>
        <v>Daylight</v>
      </c>
      <c r="G449" s="8" t="str">
        <f>IF('[1]Game Input'!$G449&lt;&gt;"",'[1]Game Input'!$G449,"")</f>
        <v>SC @ CIL</v>
      </c>
      <c r="H449" s="8" t="str">
        <f>IF('[1]Game Input'!$H449&lt;&gt;"",'[1]Game Input'!$H449,"")</f>
        <v>Vs. Non-Conference</v>
      </c>
      <c r="I449" s="8" t="str">
        <f>IF('[1]Game Input'!$I449&lt;&gt;"",'[1]Game Input'!$I449,"")</f>
        <v>SIOUX CITY</v>
      </c>
      <c r="J449" s="9">
        <f>IF('[1]Game Input'!$AC449&lt;&gt;"",'[1]Game Input'!$AC449,"")</f>
        <v>8</v>
      </c>
      <c r="K449" s="9">
        <f>IF('[1]Game Input'!$AD449&lt;&gt;"",'[1]Game Input'!$AD449,"")</f>
        <v>4</v>
      </c>
      <c r="L449" s="9">
        <f>IF('[1]Game Input'!$AJ449&lt;&gt;"",'[1]Game Input'!$AJ449,"")</f>
        <v>0</v>
      </c>
      <c r="M449" s="9">
        <f>IF('[1]Game Input'!$AK449&lt;&gt;"",'[1]Game Input'!$AK449,"")</f>
        <v>0</v>
      </c>
      <c r="N449" s="9">
        <f>IF('[1]Game Input'!$AN449&lt;&gt;"",'[1]Game Input'!$AN449,"")</f>
        <v>4</v>
      </c>
      <c r="O449" s="9">
        <f>IF('[1]Game Input'!$AO449&lt;&gt;"",'[1]Game Input'!$AO449,"")</f>
        <v>0</v>
      </c>
      <c r="P449" s="9">
        <f>IF('[1]Game Input'!$AP449&lt;&gt;"",'[1]Game Input'!$AP449,"")</f>
        <v>0</v>
      </c>
      <c r="Q449" s="9">
        <f>IF('[1]Game Input'!$AQ449&lt;&gt;"",'[1]Game Input'!$AQ449,"")</f>
        <v>0</v>
      </c>
      <c r="R449" s="9">
        <f>IF('[1]Game Input'!$AR449&lt;&gt;"",'[1]Game Input'!$AR449,"")</f>
        <v>0</v>
      </c>
      <c r="S449" s="9">
        <f>IF('[1]Game Input'!$AS449&lt;&gt;"",'[1]Game Input'!$AS449,"")</f>
        <v>0</v>
      </c>
      <c r="T449" s="10" t="str">
        <f>IF('[1]Game Input'!$BA449&lt;&gt;"",'[1]Game Input'!$BA449,"")</f>
        <v>CENTRAL ILLINOIS</v>
      </c>
      <c r="U449" s="9">
        <f>IF('[1]Game Input'!$BU449&lt;&gt;"",'[1]Game Input'!$BU449,"")</f>
        <v>26</v>
      </c>
      <c r="V449" s="9">
        <f>IF('[1]Game Input'!$BV449&lt;&gt;"",'[1]Game Input'!$BV449,"")</f>
        <v>9</v>
      </c>
      <c r="W449" s="9">
        <f>IF('[1]Game Input'!$CB449&lt;&gt;"",'[1]Game Input'!$CB449,"")</f>
        <v>0</v>
      </c>
      <c r="X449" s="9">
        <f>IF('[1]Game Input'!$CC449&lt;&gt;"",'[1]Game Input'!$CC449,"")</f>
        <v>0</v>
      </c>
      <c r="Y449" s="9">
        <f>IF('[1]Game Input'!$CF449&lt;&gt;"",'[1]Game Input'!$CF449,"")</f>
        <v>8</v>
      </c>
      <c r="Z449" s="9">
        <f>IF('[1]Game Input'!$CG449&lt;&gt;"",'[1]Game Input'!$CG449,"")</f>
        <v>0</v>
      </c>
      <c r="AA449" s="9">
        <f>IF('[1]Game Input'!$CH449&lt;&gt;"",'[1]Game Input'!$CH449,"")</f>
        <v>1</v>
      </c>
      <c r="AB449" s="9">
        <f>IF('[1]Game Input'!$CI449&lt;&gt;"",'[1]Game Input'!$CI449,"")</f>
        <v>0</v>
      </c>
      <c r="AC449" s="9">
        <f>IF('[1]Game Input'!$CJ449&lt;&gt;"",'[1]Game Input'!$CJ449,"")</f>
        <v>0</v>
      </c>
      <c r="AD449" s="9">
        <f>IF('[1]Game Input'!$CK449&lt;&gt;"",'[1]Game Input'!$CK449,"")</f>
        <v>0</v>
      </c>
      <c r="AE449" s="8" t="s">
        <v>97</v>
      </c>
      <c r="AF449" s="8" t="s">
        <v>104</v>
      </c>
      <c r="AG449" s="8" t="s">
        <v>121</v>
      </c>
      <c r="AH449" s="8" t="s">
        <v>141</v>
      </c>
    </row>
    <row r="450" spans="1:34" x14ac:dyDescent="0.2">
      <c r="A450" s="6">
        <f>IF('[1]Game Input'!$A450&lt;&gt;"",'[1]Game Input'!$A450,"")</f>
        <v>43541</v>
      </c>
      <c r="B450" s="6" t="str">
        <f>IF(A450&gt;$B$1,VLOOKUP(MONTH($A450),DOTWMonth,2,FALSE),"")</f>
        <v>March</v>
      </c>
      <c r="C450" s="10" t="str">
        <f>IF(A450&gt;$B$1,VLOOKUP(WEEKDAY($A450),DOTWMonth,3,FALSE),"")</f>
        <v>Sunday</v>
      </c>
      <c r="D450" s="7">
        <f>IF('[1]Game Input'!$B450&lt;&gt;"",'[1]Game Input'!$B450,"")</f>
        <v>0.7534722222222221</v>
      </c>
      <c r="E450" s="7">
        <f>IF('[1]Game Input'!$C450&lt;&gt;"",'[1]Game Input'!$C450,"")</f>
        <v>0.71180555555555547</v>
      </c>
      <c r="F450" s="8" t="str">
        <f>IF('[1]Game Input'!$D450&lt;&gt;"",'[1]Game Input'!$D450,"")</f>
        <v>Daylight</v>
      </c>
      <c r="G450" s="8" t="str">
        <f>IF('[1]Game Input'!$G450&lt;&gt;"",'[1]Game Input'!$G450,"")</f>
        <v>FGO @ SF</v>
      </c>
      <c r="H450" s="8" t="str">
        <f>IF('[1]Game Input'!$H450&lt;&gt;"",'[1]Game Input'!$H450,"")</f>
        <v>Vs. Conference</v>
      </c>
      <c r="I450" s="8" t="str">
        <f>IF('[1]Game Input'!$I450&lt;&gt;"",'[1]Game Input'!$I450,"")</f>
        <v>FARGO</v>
      </c>
      <c r="J450" s="9">
        <f>IF('[1]Game Input'!$AC450&lt;&gt;"",'[1]Game Input'!$AC450,"")</f>
        <v>16</v>
      </c>
      <c r="K450" s="9">
        <f>IF('[1]Game Input'!$AD450&lt;&gt;"",'[1]Game Input'!$AD450,"")</f>
        <v>8</v>
      </c>
      <c r="L450" s="9">
        <f>IF('[1]Game Input'!$AJ450&lt;&gt;"",'[1]Game Input'!$AJ450,"")</f>
        <v>0</v>
      </c>
      <c r="M450" s="9">
        <f>IF('[1]Game Input'!$AK450&lt;&gt;"",'[1]Game Input'!$AK450,"")</f>
        <v>0</v>
      </c>
      <c r="N450" s="9">
        <f>IF('[1]Game Input'!$AN450&lt;&gt;"",'[1]Game Input'!$AN450,"")</f>
        <v>8</v>
      </c>
      <c r="O450" s="9">
        <f>IF('[1]Game Input'!$AO450&lt;&gt;"",'[1]Game Input'!$AO450,"")</f>
        <v>0</v>
      </c>
      <c r="P450" s="9">
        <f>IF('[1]Game Input'!$AP450&lt;&gt;"",'[1]Game Input'!$AP450,"")</f>
        <v>0</v>
      </c>
      <c r="Q450" s="9">
        <f>IF('[1]Game Input'!$AQ450&lt;&gt;"",'[1]Game Input'!$AQ450,"")</f>
        <v>0</v>
      </c>
      <c r="R450" s="9">
        <f>IF('[1]Game Input'!$AR450&lt;&gt;"",'[1]Game Input'!$AR450,"")</f>
        <v>0</v>
      </c>
      <c r="S450" s="9">
        <f>IF('[1]Game Input'!$AS450&lt;&gt;"",'[1]Game Input'!$AS450,"")</f>
        <v>0</v>
      </c>
      <c r="T450" s="10" t="str">
        <f>IF('[1]Game Input'!$BA450&lt;&gt;"",'[1]Game Input'!$BA450,"")</f>
        <v>SIOUX FALLS</v>
      </c>
      <c r="U450" s="9">
        <f>IF('[1]Game Input'!$BU450&lt;&gt;"",'[1]Game Input'!$BU450,"")</f>
        <v>14</v>
      </c>
      <c r="V450" s="9">
        <f>IF('[1]Game Input'!$BV450&lt;&gt;"",'[1]Game Input'!$BV450,"")</f>
        <v>7</v>
      </c>
      <c r="W450" s="9">
        <f>IF('[1]Game Input'!$CB450&lt;&gt;"",'[1]Game Input'!$CB450,"")</f>
        <v>0</v>
      </c>
      <c r="X450" s="9">
        <f>IF('[1]Game Input'!$CC450&lt;&gt;"",'[1]Game Input'!$CC450,"")</f>
        <v>0</v>
      </c>
      <c r="Y450" s="9">
        <f>IF('[1]Game Input'!$CF450&lt;&gt;"",'[1]Game Input'!$CF450,"")</f>
        <v>7</v>
      </c>
      <c r="Z450" s="9">
        <f>IF('[1]Game Input'!$CG450&lt;&gt;"",'[1]Game Input'!$CG450,"")</f>
        <v>0</v>
      </c>
      <c r="AA450" s="9">
        <f>IF('[1]Game Input'!$CH450&lt;&gt;"",'[1]Game Input'!$CH450,"")</f>
        <v>0</v>
      </c>
      <c r="AB450" s="9">
        <f>IF('[1]Game Input'!$CI450&lt;&gt;"",'[1]Game Input'!$CI450,"")</f>
        <v>0</v>
      </c>
      <c r="AC450" s="9">
        <f>IF('[1]Game Input'!$CJ450&lt;&gt;"",'[1]Game Input'!$CJ450,"")</f>
        <v>0</v>
      </c>
      <c r="AD450" s="9">
        <f>IF('[1]Game Input'!$CK450&lt;&gt;"",'[1]Game Input'!$CK450,"")</f>
        <v>0</v>
      </c>
      <c r="AE450" s="8"/>
      <c r="AF450" s="8"/>
      <c r="AG450" s="8"/>
      <c r="AH450" s="8"/>
    </row>
    <row r="451" spans="1:34" x14ac:dyDescent="0.2">
      <c r="A451" s="6">
        <f>IF('[1]Game Input'!$A451&lt;&gt;"",'[1]Game Input'!$A451,"")</f>
        <v>43543</v>
      </c>
      <c r="B451" s="6" t="str">
        <f>IF(A451&gt;$B$1,VLOOKUP(MONTH($A451),DOTWMonth,2,FALSE),"")</f>
        <v>March</v>
      </c>
      <c r="C451" s="10" t="str">
        <f>IF(A451&gt;$B$1,VLOOKUP(WEEKDAY($A451),DOTWMonth,3,FALSE),"")</f>
        <v>Tuesday</v>
      </c>
      <c r="D451" s="7">
        <f>IF('[1]Game Input'!$B451&lt;&gt;"",'[1]Game Input'!$B451,"")</f>
        <v>0.83680555555555547</v>
      </c>
      <c r="E451" s="7">
        <f>IF('[1]Game Input'!$C451&lt;&gt;"",'[1]Game Input'!$C451,"")</f>
        <v>0.79513888888888884</v>
      </c>
      <c r="F451" s="8" t="str">
        <f>IF('[1]Game Input'!$D451&lt;&gt;"",'[1]Game Input'!$D451,"")</f>
        <v>Daylight</v>
      </c>
      <c r="G451" s="8" t="str">
        <f>IF('[1]Game Input'!$G451&lt;&gt;"",'[1]Game Input'!$G451,"")</f>
        <v>CHI @ GB</v>
      </c>
      <c r="H451" s="8" t="str">
        <f>IF('[1]Game Input'!$H451&lt;&gt;"",'[1]Game Input'!$H451,"")</f>
        <v>Vs. Conference</v>
      </c>
      <c r="I451" s="8" t="str">
        <f>IF('[1]Game Input'!$I451&lt;&gt;"",'[1]Game Input'!$I451,"")</f>
        <v>CHICAGO</v>
      </c>
      <c r="J451" s="9">
        <f>IF('[1]Game Input'!$AC451&lt;&gt;"",'[1]Game Input'!$AC451,"")</f>
        <v>6</v>
      </c>
      <c r="K451" s="9">
        <f>IF('[1]Game Input'!$AD451&lt;&gt;"",'[1]Game Input'!$AD451,"")</f>
        <v>3</v>
      </c>
      <c r="L451" s="9">
        <f>IF('[1]Game Input'!$AJ451&lt;&gt;"",'[1]Game Input'!$AJ451,"")</f>
        <v>0</v>
      </c>
      <c r="M451" s="9">
        <f>IF('[1]Game Input'!$AK451&lt;&gt;"",'[1]Game Input'!$AK451,"")</f>
        <v>0</v>
      </c>
      <c r="N451" s="9">
        <f>IF('[1]Game Input'!$AN451&lt;&gt;"",'[1]Game Input'!$AN451,"")</f>
        <v>3</v>
      </c>
      <c r="O451" s="9">
        <f>IF('[1]Game Input'!$AO451&lt;&gt;"",'[1]Game Input'!$AO451,"")</f>
        <v>0</v>
      </c>
      <c r="P451" s="9">
        <f>IF('[1]Game Input'!$AP451&lt;&gt;"",'[1]Game Input'!$AP451,"")</f>
        <v>0</v>
      </c>
      <c r="Q451" s="9">
        <f>IF('[1]Game Input'!$AQ451&lt;&gt;"",'[1]Game Input'!$AQ451,"")</f>
        <v>0</v>
      </c>
      <c r="R451" s="9">
        <f>IF('[1]Game Input'!$AR451&lt;&gt;"",'[1]Game Input'!$AR451,"")</f>
        <v>0</v>
      </c>
      <c r="S451" s="9">
        <f>IF('[1]Game Input'!$AS451&lt;&gt;"",'[1]Game Input'!$AS451,"")</f>
        <v>0</v>
      </c>
      <c r="T451" s="10" t="str">
        <f>IF('[1]Game Input'!$BA451&lt;&gt;"",'[1]Game Input'!$BA451,"")</f>
        <v>GREEN BAY</v>
      </c>
      <c r="U451" s="9">
        <f>IF('[1]Game Input'!$BU451&lt;&gt;"",'[1]Game Input'!$BU451,"")</f>
        <v>10</v>
      </c>
      <c r="V451" s="9">
        <f>IF('[1]Game Input'!$BV451&lt;&gt;"",'[1]Game Input'!$BV451,"")</f>
        <v>5</v>
      </c>
      <c r="W451" s="9">
        <f>IF('[1]Game Input'!$CB451&lt;&gt;"",'[1]Game Input'!$CB451,"")</f>
        <v>0</v>
      </c>
      <c r="X451" s="9">
        <f>IF('[1]Game Input'!$CC451&lt;&gt;"",'[1]Game Input'!$CC451,"")</f>
        <v>0</v>
      </c>
      <c r="Y451" s="9">
        <f>IF('[1]Game Input'!$CF451&lt;&gt;"",'[1]Game Input'!$CF451,"")</f>
        <v>5</v>
      </c>
      <c r="Z451" s="9">
        <f>IF('[1]Game Input'!$CG451&lt;&gt;"",'[1]Game Input'!$CG451,"")</f>
        <v>0</v>
      </c>
      <c r="AA451" s="9">
        <f>IF('[1]Game Input'!$CH451&lt;&gt;"",'[1]Game Input'!$CH451,"")</f>
        <v>0</v>
      </c>
      <c r="AB451" s="9">
        <f>IF('[1]Game Input'!$CI451&lt;&gt;"",'[1]Game Input'!$CI451,"")</f>
        <v>0</v>
      </c>
      <c r="AC451" s="9">
        <f>IF('[1]Game Input'!$CJ451&lt;&gt;"",'[1]Game Input'!$CJ451,"")</f>
        <v>0</v>
      </c>
      <c r="AD451" s="9">
        <f>IF('[1]Game Input'!$CK451&lt;&gt;"",'[1]Game Input'!$CK451,"")</f>
        <v>0</v>
      </c>
      <c r="AE451" s="8"/>
      <c r="AF451" s="8"/>
      <c r="AG451" s="8"/>
      <c r="AH451" s="8"/>
    </row>
    <row r="452" spans="1:34" x14ac:dyDescent="0.2">
      <c r="A452" s="6">
        <f>IF('[1]Game Input'!$A452&lt;&gt;"",'[1]Game Input'!$A452,"")</f>
        <v>43543</v>
      </c>
      <c r="B452" s="6" t="str">
        <f>IF(A452&gt;$B$1,VLOOKUP(MONTH($A452),DOTWMonth,2,FALSE),"")</f>
        <v>March</v>
      </c>
      <c r="C452" s="10" t="str">
        <f>IF(A452&gt;$B$1,VLOOKUP(WEEKDAY($A452),DOTWMonth,3,FALSE),"")</f>
        <v>Tuesday</v>
      </c>
      <c r="D452" s="7">
        <f>IF('[1]Game Input'!$B452&lt;&gt;"",'[1]Game Input'!$B452,"")</f>
        <v>0.83680555555555547</v>
      </c>
      <c r="E452" s="7">
        <f>IF('[1]Game Input'!$C452&lt;&gt;"",'[1]Game Input'!$C452,"")</f>
        <v>0.79513888888888884</v>
      </c>
      <c r="F452" s="8" t="str">
        <f>IF('[1]Game Input'!$D452&lt;&gt;"",'[1]Game Input'!$D452,"")</f>
        <v>Daylight</v>
      </c>
      <c r="G452" s="8" t="str">
        <f>IF('[1]Game Input'!$G452&lt;&gt;"",'[1]Game Input'!$G452,"")</f>
        <v>LIN @ TC</v>
      </c>
      <c r="H452" s="8" t="str">
        <f>IF('[1]Game Input'!$H452&lt;&gt;"",'[1]Game Input'!$H452,"")</f>
        <v>Vs. Conference</v>
      </c>
      <c r="I452" s="8" t="str">
        <f>IF('[1]Game Input'!$I452&lt;&gt;"",'[1]Game Input'!$I452,"")</f>
        <v>LINCOLN</v>
      </c>
      <c r="J452" s="9">
        <f>IF('[1]Game Input'!$AC452&lt;&gt;"",'[1]Game Input'!$AC452,"")</f>
        <v>40</v>
      </c>
      <c r="K452" s="9">
        <f>IF('[1]Game Input'!$AD452&lt;&gt;"",'[1]Game Input'!$AD452,"")</f>
        <v>12</v>
      </c>
      <c r="L452" s="9">
        <f>IF('[1]Game Input'!$AJ452&lt;&gt;"",'[1]Game Input'!$AJ452,"")</f>
        <v>0</v>
      </c>
      <c r="M452" s="9">
        <f>IF('[1]Game Input'!$AK452&lt;&gt;"",'[1]Game Input'!$AK452,"")</f>
        <v>0</v>
      </c>
      <c r="N452" s="9">
        <f>IF('[1]Game Input'!$AN452&lt;&gt;"",'[1]Game Input'!$AN452,"")</f>
        <v>10</v>
      </c>
      <c r="O452" s="9">
        <f>IF('[1]Game Input'!$AO452&lt;&gt;"",'[1]Game Input'!$AO452,"")</f>
        <v>0</v>
      </c>
      <c r="P452" s="9">
        <f>IF('[1]Game Input'!$AP452&lt;&gt;"",'[1]Game Input'!$AP452,"")</f>
        <v>2</v>
      </c>
      <c r="Q452" s="9">
        <f>IF('[1]Game Input'!$AQ452&lt;&gt;"",'[1]Game Input'!$AQ452,"")</f>
        <v>0</v>
      </c>
      <c r="R452" s="9">
        <f>IF('[1]Game Input'!$AR452&lt;&gt;"",'[1]Game Input'!$AR452,"")</f>
        <v>0</v>
      </c>
      <c r="S452" s="9">
        <f>IF('[1]Game Input'!$AS452&lt;&gt;"",'[1]Game Input'!$AS452,"")</f>
        <v>0</v>
      </c>
      <c r="T452" s="10" t="str">
        <f>IF('[1]Game Input'!$BA452&lt;&gt;"",'[1]Game Input'!$BA452,"")</f>
        <v>TRI-CITY</v>
      </c>
      <c r="U452" s="9">
        <f>IF('[1]Game Input'!$BU452&lt;&gt;"",'[1]Game Input'!$BU452,"")</f>
        <v>33</v>
      </c>
      <c r="V452" s="9">
        <f>IF('[1]Game Input'!$BV452&lt;&gt;"",'[1]Game Input'!$BV452,"")</f>
        <v>7</v>
      </c>
      <c r="W452" s="9">
        <f>IF('[1]Game Input'!$CB452&lt;&gt;"",'[1]Game Input'!$CB452,"")</f>
        <v>0</v>
      </c>
      <c r="X452" s="9">
        <f>IF('[1]Game Input'!$CC452&lt;&gt;"",'[1]Game Input'!$CC452,"")</f>
        <v>0</v>
      </c>
      <c r="Y452" s="9">
        <f>IF('[1]Game Input'!$CF452&lt;&gt;"",'[1]Game Input'!$CF452,"")</f>
        <v>4</v>
      </c>
      <c r="Z452" s="9">
        <f>IF('[1]Game Input'!$CG452&lt;&gt;"",'[1]Game Input'!$CG452,"")</f>
        <v>1</v>
      </c>
      <c r="AA452" s="9">
        <f>IF('[1]Game Input'!$CH452&lt;&gt;"",'[1]Game Input'!$CH452,"")</f>
        <v>1</v>
      </c>
      <c r="AB452" s="9">
        <f>IF('[1]Game Input'!$CI452&lt;&gt;"",'[1]Game Input'!$CI452,"")</f>
        <v>1</v>
      </c>
      <c r="AC452" s="9">
        <f>IF('[1]Game Input'!$CJ452&lt;&gt;"",'[1]Game Input'!$CJ452,"")</f>
        <v>0</v>
      </c>
      <c r="AD452" s="9">
        <f>IF('[1]Game Input'!$CK452&lt;&gt;"",'[1]Game Input'!$CK452,"")</f>
        <v>0</v>
      </c>
      <c r="AE452" s="8"/>
      <c r="AF452" s="8"/>
      <c r="AG452" s="8"/>
      <c r="AH452" s="8"/>
    </row>
    <row r="453" spans="1:34" x14ac:dyDescent="0.2">
      <c r="A453" s="6">
        <f>IF('[1]Game Input'!$A453&lt;&gt;"",'[1]Game Input'!$A453,"")</f>
        <v>43544</v>
      </c>
      <c r="B453" s="6" t="str">
        <f>IF(A453&gt;$B$1,VLOOKUP(MONTH($A453),DOTWMonth,2,FALSE),"")</f>
        <v>March</v>
      </c>
      <c r="C453" s="10" t="str">
        <f>IF(A453&gt;$B$1,VLOOKUP(WEEKDAY($A453),DOTWMonth,3,FALSE),"")</f>
        <v>Wednesday</v>
      </c>
      <c r="D453" s="7">
        <f>IF('[1]Game Input'!$B453&lt;&gt;"",'[1]Game Input'!$B453,"")</f>
        <v>0.83680555555555547</v>
      </c>
      <c r="E453" s="7">
        <f>IF('[1]Game Input'!$C453&lt;&gt;"",'[1]Game Input'!$C453,"")</f>
        <v>0.79513888888888884</v>
      </c>
      <c r="F453" s="8" t="str">
        <f>IF('[1]Game Input'!$D453&lt;&gt;"",'[1]Game Input'!$D453,"")</f>
        <v>Daylight</v>
      </c>
      <c r="G453" s="8" t="str">
        <f>IF('[1]Game Input'!$G453&lt;&gt;"",'[1]Game Input'!$G453,"")</f>
        <v>DUB @ MAD</v>
      </c>
      <c r="H453" s="8" t="str">
        <f>IF('[1]Game Input'!$H453&lt;&gt;"",'[1]Game Input'!$H453,"")</f>
        <v>Vs. Conference</v>
      </c>
      <c r="I453" s="8" t="str">
        <f>IF('[1]Game Input'!$I453&lt;&gt;"",'[1]Game Input'!$I453,"")</f>
        <v>DUBUQUE</v>
      </c>
      <c r="J453" s="9">
        <f>IF('[1]Game Input'!$AC453&lt;&gt;"",'[1]Game Input'!$AC453,"")</f>
        <v>6</v>
      </c>
      <c r="K453" s="9">
        <f>IF('[1]Game Input'!$AD453&lt;&gt;"",'[1]Game Input'!$AD453,"")</f>
        <v>3</v>
      </c>
      <c r="L453" s="9">
        <f>IF('[1]Game Input'!$AJ453&lt;&gt;"",'[1]Game Input'!$AJ453,"")</f>
        <v>0</v>
      </c>
      <c r="M453" s="9">
        <f>IF('[1]Game Input'!$AK453&lt;&gt;"",'[1]Game Input'!$AK453,"")</f>
        <v>0</v>
      </c>
      <c r="N453" s="9">
        <f>IF('[1]Game Input'!$AN453&lt;&gt;"",'[1]Game Input'!$AN453,"")</f>
        <v>3</v>
      </c>
      <c r="O453" s="9">
        <f>IF('[1]Game Input'!$AO453&lt;&gt;"",'[1]Game Input'!$AO453,"")</f>
        <v>0</v>
      </c>
      <c r="P453" s="9">
        <f>IF('[1]Game Input'!$AP453&lt;&gt;"",'[1]Game Input'!$AP453,"")</f>
        <v>0</v>
      </c>
      <c r="Q453" s="9">
        <f>IF('[1]Game Input'!$AQ453&lt;&gt;"",'[1]Game Input'!$AQ453,"")</f>
        <v>0</v>
      </c>
      <c r="R453" s="9">
        <f>IF('[1]Game Input'!$AR453&lt;&gt;"",'[1]Game Input'!$AR453,"")</f>
        <v>0</v>
      </c>
      <c r="S453" s="9">
        <f>IF('[1]Game Input'!$AS453&lt;&gt;"",'[1]Game Input'!$AS453,"")</f>
        <v>0</v>
      </c>
      <c r="T453" s="10" t="str">
        <f>IF('[1]Game Input'!$BA453&lt;&gt;"",'[1]Game Input'!$BA453,"")</f>
        <v>MADISON</v>
      </c>
      <c r="U453" s="9">
        <f>IF('[1]Game Input'!$BU453&lt;&gt;"",'[1]Game Input'!$BU453,"")</f>
        <v>6</v>
      </c>
      <c r="V453" s="9">
        <f>IF('[1]Game Input'!$BV453&lt;&gt;"",'[1]Game Input'!$BV453,"")</f>
        <v>3</v>
      </c>
      <c r="W453" s="9">
        <f>IF('[1]Game Input'!$CB453&lt;&gt;"",'[1]Game Input'!$CB453,"")</f>
        <v>0</v>
      </c>
      <c r="X453" s="9">
        <f>IF('[1]Game Input'!$CC453&lt;&gt;"",'[1]Game Input'!$CC453,"")</f>
        <v>0</v>
      </c>
      <c r="Y453" s="9">
        <f>IF('[1]Game Input'!$CF453&lt;&gt;"",'[1]Game Input'!$CF453,"")</f>
        <v>3</v>
      </c>
      <c r="Z453" s="9">
        <f>IF('[1]Game Input'!$CG453&lt;&gt;"",'[1]Game Input'!$CG453,"")</f>
        <v>0</v>
      </c>
      <c r="AA453" s="9">
        <f>IF('[1]Game Input'!$CH453&lt;&gt;"",'[1]Game Input'!$CH453,"")</f>
        <v>0</v>
      </c>
      <c r="AB453" s="9">
        <f>IF('[1]Game Input'!$CI453&lt;&gt;"",'[1]Game Input'!$CI453,"")</f>
        <v>0</v>
      </c>
      <c r="AC453" s="9">
        <f>IF('[1]Game Input'!$CJ453&lt;&gt;"",'[1]Game Input'!$CJ453,"")</f>
        <v>0</v>
      </c>
      <c r="AD453" s="9">
        <f>IF('[1]Game Input'!$CK453&lt;&gt;"",'[1]Game Input'!$CK453,"")</f>
        <v>0</v>
      </c>
      <c r="AE453" s="8"/>
      <c r="AF453" s="8"/>
      <c r="AG453" s="8"/>
      <c r="AH453" s="8"/>
    </row>
    <row r="454" spans="1:34" x14ac:dyDescent="0.2">
      <c r="A454" s="6">
        <f>IF('[1]Game Input'!$A454&lt;&gt;"",'[1]Game Input'!$A454,"")</f>
        <v>43546</v>
      </c>
      <c r="B454" s="6" t="str">
        <f>IF(A454&gt;$B$1,VLOOKUP(MONTH($A454),DOTWMonth,2,FALSE),"")</f>
        <v>March</v>
      </c>
      <c r="C454" s="10" t="str">
        <f>IF(A454&gt;$B$1,VLOOKUP(WEEKDAY($A454),DOTWMonth,3,FALSE),"")</f>
        <v>Friday</v>
      </c>
      <c r="D454" s="7">
        <f>IF('[1]Game Input'!$B454&lt;&gt;"",'[1]Game Input'!$B454,"")</f>
        <v>0.79166666666666663</v>
      </c>
      <c r="E454" s="7">
        <f>IF('[1]Game Input'!$C454&lt;&gt;"",'[1]Game Input'!$C454,"")</f>
        <v>0.75</v>
      </c>
      <c r="F454" s="8" t="str">
        <f>IF('[1]Game Input'!$D454&lt;&gt;"",'[1]Game Input'!$D454,"")</f>
        <v>Daylight</v>
      </c>
      <c r="G454" s="8" t="str">
        <f>IF('[1]Game Input'!$G454&lt;&gt;"",'[1]Game Input'!$G454,"")</f>
        <v>DM @ USA</v>
      </c>
      <c r="H454" s="8" t="str">
        <f>IF('[1]Game Input'!$H454&lt;&gt;"",'[1]Game Input'!$H454,"")</f>
        <v>Vs. Non-Conference</v>
      </c>
      <c r="I454" s="8" t="str">
        <f>IF('[1]Game Input'!$I454&lt;&gt;"",'[1]Game Input'!$I454,"")</f>
        <v>DES MOINES</v>
      </c>
      <c r="J454" s="9">
        <f>IF('[1]Game Input'!$AC454&lt;&gt;"",'[1]Game Input'!$AC454,"")</f>
        <v>8</v>
      </c>
      <c r="K454" s="9">
        <f>IF('[1]Game Input'!$AD454&lt;&gt;"",'[1]Game Input'!$AD454,"")</f>
        <v>4</v>
      </c>
      <c r="L454" s="9">
        <f>IF('[1]Game Input'!$AJ454&lt;&gt;"",'[1]Game Input'!$AJ454,"")</f>
        <v>0</v>
      </c>
      <c r="M454" s="9">
        <f>IF('[1]Game Input'!$AK454&lt;&gt;"",'[1]Game Input'!$AK454,"")</f>
        <v>0</v>
      </c>
      <c r="N454" s="9">
        <f>IF('[1]Game Input'!$AN454&lt;&gt;"",'[1]Game Input'!$AN454,"")</f>
        <v>4</v>
      </c>
      <c r="O454" s="9">
        <f>IF('[1]Game Input'!$AO454&lt;&gt;"",'[1]Game Input'!$AO454,"")</f>
        <v>0</v>
      </c>
      <c r="P454" s="9">
        <f>IF('[1]Game Input'!$AP454&lt;&gt;"",'[1]Game Input'!$AP454,"")</f>
        <v>0</v>
      </c>
      <c r="Q454" s="9">
        <f>IF('[1]Game Input'!$AQ454&lt;&gt;"",'[1]Game Input'!$AQ454,"")</f>
        <v>0</v>
      </c>
      <c r="R454" s="9">
        <f>IF('[1]Game Input'!$AR454&lt;&gt;"",'[1]Game Input'!$AR454,"")</f>
        <v>0</v>
      </c>
      <c r="S454" s="9">
        <f>IF('[1]Game Input'!$AS454&lt;&gt;"",'[1]Game Input'!$AS454,"")</f>
        <v>0</v>
      </c>
      <c r="T454" s="10" t="str">
        <f>IF('[1]Game Input'!$BA454&lt;&gt;"",'[1]Game Input'!$BA454,"")</f>
        <v>TEAM USA</v>
      </c>
      <c r="U454" s="9">
        <f>IF('[1]Game Input'!$BU454&lt;&gt;"",'[1]Game Input'!$BU454,"")</f>
        <v>8</v>
      </c>
      <c r="V454" s="9">
        <f>IF('[1]Game Input'!$BV454&lt;&gt;"",'[1]Game Input'!$BV454,"")</f>
        <v>4</v>
      </c>
      <c r="W454" s="9">
        <f>IF('[1]Game Input'!$CB454&lt;&gt;"",'[1]Game Input'!$CB454,"")</f>
        <v>0</v>
      </c>
      <c r="X454" s="9">
        <f>IF('[1]Game Input'!$CC454&lt;&gt;"",'[1]Game Input'!$CC454,"")</f>
        <v>0</v>
      </c>
      <c r="Y454" s="9">
        <f>IF('[1]Game Input'!$CF454&lt;&gt;"",'[1]Game Input'!$CF454,"")</f>
        <v>4</v>
      </c>
      <c r="Z454" s="9">
        <f>IF('[1]Game Input'!$CG454&lt;&gt;"",'[1]Game Input'!$CG454,"")</f>
        <v>0</v>
      </c>
      <c r="AA454" s="9">
        <f>IF('[1]Game Input'!$CH454&lt;&gt;"",'[1]Game Input'!$CH454,"")</f>
        <v>0</v>
      </c>
      <c r="AB454" s="9">
        <f>IF('[1]Game Input'!$CI454&lt;&gt;"",'[1]Game Input'!$CI454,"")</f>
        <v>0</v>
      </c>
      <c r="AC454" s="9">
        <f>IF('[1]Game Input'!$CJ454&lt;&gt;"",'[1]Game Input'!$CJ454,"")</f>
        <v>0</v>
      </c>
      <c r="AD454" s="9">
        <f>IF('[1]Game Input'!$CK454&lt;&gt;"",'[1]Game Input'!$CK454,"")</f>
        <v>0</v>
      </c>
      <c r="AE454" s="8" t="s">
        <v>102</v>
      </c>
      <c r="AF454" s="8"/>
      <c r="AG454" s="8" t="s">
        <v>110</v>
      </c>
      <c r="AH454" s="8" t="s">
        <v>143</v>
      </c>
    </row>
    <row r="455" spans="1:34" x14ac:dyDescent="0.2">
      <c r="A455" s="6">
        <f>IF('[1]Game Input'!$A455&lt;&gt;"",'[1]Game Input'!$A455,"")</f>
        <v>43546</v>
      </c>
      <c r="B455" s="6" t="str">
        <f>IF(A455&gt;$B$1,VLOOKUP(MONTH($A455),DOTWMonth,2,FALSE),"")</f>
        <v>March</v>
      </c>
      <c r="C455" s="10" t="str">
        <f>IF(A455&gt;$B$1,VLOOKUP(WEEKDAY($A455),DOTWMonth,3,FALSE),"")</f>
        <v>Friday</v>
      </c>
      <c r="D455" s="7">
        <f>IF('[1]Game Input'!$B455&lt;&gt;"",'[1]Game Input'!$B455,"")</f>
        <v>0.80208333333333337</v>
      </c>
      <c r="E455" s="7">
        <f>IF('[1]Game Input'!$C455&lt;&gt;"",'[1]Game Input'!$C455,"")</f>
        <v>0.76041666666666674</v>
      </c>
      <c r="F455" s="8" t="str">
        <f>IF('[1]Game Input'!$D455&lt;&gt;"",'[1]Game Input'!$D455,"")</f>
        <v>Daylight</v>
      </c>
      <c r="G455" s="8" t="str">
        <f>IF('[1]Game Input'!$G455&lt;&gt;"",'[1]Game Input'!$G455,"")</f>
        <v>YNG @ MUS</v>
      </c>
      <c r="H455" s="8" t="str">
        <f>IF('[1]Game Input'!$H455&lt;&gt;"",'[1]Game Input'!$H455,"")</f>
        <v>Vs. Conference</v>
      </c>
      <c r="I455" s="8" t="str">
        <f>IF('[1]Game Input'!$I455&lt;&gt;"",'[1]Game Input'!$I455,"")</f>
        <v>YOUNGSTOWN</v>
      </c>
      <c r="J455" s="9">
        <f>IF('[1]Game Input'!$AC455&lt;&gt;"",'[1]Game Input'!$AC455,"")</f>
        <v>10</v>
      </c>
      <c r="K455" s="9">
        <f>IF('[1]Game Input'!$AD455&lt;&gt;"",'[1]Game Input'!$AD455,"")</f>
        <v>5</v>
      </c>
      <c r="L455" s="9">
        <f>IF('[1]Game Input'!$AJ455&lt;&gt;"",'[1]Game Input'!$AJ455,"")</f>
        <v>0</v>
      </c>
      <c r="M455" s="9">
        <f>IF('[1]Game Input'!$AK455&lt;&gt;"",'[1]Game Input'!$AK455,"")</f>
        <v>0</v>
      </c>
      <c r="N455" s="9">
        <f>IF('[1]Game Input'!$AN455&lt;&gt;"",'[1]Game Input'!$AN455,"")</f>
        <v>5</v>
      </c>
      <c r="O455" s="9">
        <f>IF('[1]Game Input'!$AO455&lt;&gt;"",'[1]Game Input'!$AO455,"")</f>
        <v>0</v>
      </c>
      <c r="P455" s="9">
        <f>IF('[1]Game Input'!$AP455&lt;&gt;"",'[1]Game Input'!$AP455,"")</f>
        <v>0</v>
      </c>
      <c r="Q455" s="9">
        <f>IF('[1]Game Input'!$AQ455&lt;&gt;"",'[1]Game Input'!$AQ455,"")</f>
        <v>0</v>
      </c>
      <c r="R455" s="9">
        <f>IF('[1]Game Input'!$AR455&lt;&gt;"",'[1]Game Input'!$AR455,"")</f>
        <v>0</v>
      </c>
      <c r="S455" s="9">
        <f>IF('[1]Game Input'!$AS455&lt;&gt;"",'[1]Game Input'!$AS455,"")</f>
        <v>0</v>
      </c>
      <c r="T455" s="10" t="str">
        <f>IF('[1]Game Input'!$BA455&lt;&gt;"",'[1]Game Input'!$BA455,"")</f>
        <v>MUSKEGON</v>
      </c>
      <c r="U455" s="9">
        <f>IF('[1]Game Input'!$BU455&lt;&gt;"",'[1]Game Input'!$BU455,"")</f>
        <v>12</v>
      </c>
      <c r="V455" s="9">
        <f>IF('[1]Game Input'!$BV455&lt;&gt;"",'[1]Game Input'!$BV455,"")</f>
        <v>6</v>
      </c>
      <c r="W455" s="9">
        <f>IF('[1]Game Input'!$CB455&lt;&gt;"",'[1]Game Input'!$CB455,"")</f>
        <v>0</v>
      </c>
      <c r="X455" s="9">
        <f>IF('[1]Game Input'!$CC455&lt;&gt;"",'[1]Game Input'!$CC455,"")</f>
        <v>0</v>
      </c>
      <c r="Y455" s="9">
        <f>IF('[1]Game Input'!$CF455&lt;&gt;"",'[1]Game Input'!$CF455,"")</f>
        <v>6</v>
      </c>
      <c r="Z455" s="9">
        <f>IF('[1]Game Input'!$CG455&lt;&gt;"",'[1]Game Input'!$CG455,"")</f>
        <v>0</v>
      </c>
      <c r="AA455" s="9">
        <f>IF('[1]Game Input'!$CH455&lt;&gt;"",'[1]Game Input'!$CH455,"")</f>
        <v>0</v>
      </c>
      <c r="AB455" s="9">
        <f>IF('[1]Game Input'!$CI455&lt;&gt;"",'[1]Game Input'!$CI455,"")</f>
        <v>0</v>
      </c>
      <c r="AC455" s="9">
        <f>IF('[1]Game Input'!$CJ455&lt;&gt;"",'[1]Game Input'!$CJ455,"")</f>
        <v>0</v>
      </c>
      <c r="AD455" s="9">
        <f>IF('[1]Game Input'!$CK455&lt;&gt;"",'[1]Game Input'!$CK455,"")</f>
        <v>0</v>
      </c>
      <c r="AE455" s="8"/>
      <c r="AF455" s="8"/>
      <c r="AG455" s="8"/>
      <c r="AH455" s="8"/>
    </row>
    <row r="456" spans="1:34" x14ac:dyDescent="0.2">
      <c r="A456" s="6">
        <f>IF('[1]Game Input'!$A456&lt;&gt;"",'[1]Game Input'!$A456,"")</f>
        <v>43546</v>
      </c>
      <c r="B456" s="6" t="str">
        <f>IF(A456&gt;$B$1,VLOOKUP(MONTH($A456),DOTWMonth,2,FALSE),"")</f>
        <v>March</v>
      </c>
      <c r="C456" s="10" t="str">
        <f>IF(A456&gt;$B$1,VLOOKUP(WEEKDAY($A456),DOTWMonth,3,FALSE),"")</f>
        <v>Friday</v>
      </c>
      <c r="D456" s="7">
        <f>IF('[1]Game Input'!$B456&lt;&gt;"",'[1]Game Input'!$B456,"")</f>
        <v>0.83680555555555547</v>
      </c>
      <c r="E456" s="7">
        <f>IF('[1]Game Input'!$C456&lt;&gt;"",'[1]Game Input'!$C456,"")</f>
        <v>0.79513888888888884</v>
      </c>
      <c r="F456" s="8" t="str">
        <f>IF('[1]Game Input'!$D456&lt;&gt;"",'[1]Game Input'!$D456,"")</f>
        <v>Daylight</v>
      </c>
      <c r="G456" s="8" t="str">
        <f>IF('[1]Game Input'!$G456&lt;&gt;"",'[1]Game Input'!$G456,"")</f>
        <v>CHI @ GB</v>
      </c>
      <c r="H456" s="8" t="str">
        <f>IF('[1]Game Input'!$H456&lt;&gt;"",'[1]Game Input'!$H456,"")</f>
        <v>Vs. Conference</v>
      </c>
      <c r="I456" s="8" t="str">
        <f>IF('[1]Game Input'!$I456&lt;&gt;"",'[1]Game Input'!$I456,"")</f>
        <v>CHICAGO</v>
      </c>
      <c r="J456" s="9">
        <f>IF('[1]Game Input'!$AC456&lt;&gt;"",'[1]Game Input'!$AC456,"")</f>
        <v>6</v>
      </c>
      <c r="K456" s="9">
        <f>IF('[1]Game Input'!$AD456&lt;&gt;"",'[1]Game Input'!$AD456,"")</f>
        <v>3</v>
      </c>
      <c r="L456" s="9">
        <f>IF('[1]Game Input'!$AJ456&lt;&gt;"",'[1]Game Input'!$AJ456,"")</f>
        <v>0</v>
      </c>
      <c r="M456" s="9">
        <f>IF('[1]Game Input'!$AK456&lt;&gt;"",'[1]Game Input'!$AK456,"")</f>
        <v>0</v>
      </c>
      <c r="N456" s="9">
        <f>IF('[1]Game Input'!$AN456&lt;&gt;"",'[1]Game Input'!$AN456,"")</f>
        <v>3</v>
      </c>
      <c r="O456" s="9">
        <f>IF('[1]Game Input'!$AO456&lt;&gt;"",'[1]Game Input'!$AO456,"")</f>
        <v>0</v>
      </c>
      <c r="P456" s="9">
        <f>IF('[1]Game Input'!$AP456&lt;&gt;"",'[1]Game Input'!$AP456,"")</f>
        <v>0</v>
      </c>
      <c r="Q456" s="9">
        <f>IF('[1]Game Input'!$AQ456&lt;&gt;"",'[1]Game Input'!$AQ456,"")</f>
        <v>0</v>
      </c>
      <c r="R456" s="9">
        <f>IF('[1]Game Input'!$AR456&lt;&gt;"",'[1]Game Input'!$AR456,"")</f>
        <v>0</v>
      </c>
      <c r="S456" s="9">
        <f>IF('[1]Game Input'!$AS456&lt;&gt;"",'[1]Game Input'!$AS456,"")</f>
        <v>0</v>
      </c>
      <c r="T456" s="10" t="str">
        <f>IF('[1]Game Input'!$BA456&lt;&gt;"",'[1]Game Input'!$BA456,"")</f>
        <v>GREEN BAY</v>
      </c>
      <c r="U456" s="9">
        <f>IF('[1]Game Input'!$BU456&lt;&gt;"",'[1]Game Input'!$BU456,"")</f>
        <v>10</v>
      </c>
      <c r="V456" s="9">
        <f>IF('[1]Game Input'!$BV456&lt;&gt;"",'[1]Game Input'!$BV456,"")</f>
        <v>5</v>
      </c>
      <c r="W456" s="9">
        <f>IF('[1]Game Input'!$CB456&lt;&gt;"",'[1]Game Input'!$CB456,"")</f>
        <v>0</v>
      </c>
      <c r="X456" s="9">
        <f>IF('[1]Game Input'!$CC456&lt;&gt;"",'[1]Game Input'!$CC456,"")</f>
        <v>0</v>
      </c>
      <c r="Y456" s="9">
        <f>IF('[1]Game Input'!$CF456&lt;&gt;"",'[1]Game Input'!$CF456,"")</f>
        <v>5</v>
      </c>
      <c r="Z456" s="9">
        <f>IF('[1]Game Input'!$CG456&lt;&gt;"",'[1]Game Input'!$CG456,"")</f>
        <v>0</v>
      </c>
      <c r="AA456" s="9">
        <f>IF('[1]Game Input'!$CH456&lt;&gt;"",'[1]Game Input'!$CH456,"")</f>
        <v>0</v>
      </c>
      <c r="AB456" s="9">
        <f>IF('[1]Game Input'!$CI456&lt;&gt;"",'[1]Game Input'!$CI456,"")</f>
        <v>0</v>
      </c>
      <c r="AC456" s="9">
        <f>IF('[1]Game Input'!$CJ456&lt;&gt;"",'[1]Game Input'!$CJ456,"")</f>
        <v>0</v>
      </c>
      <c r="AD456" s="9">
        <f>IF('[1]Game Input'!$CK456&lt;&gt;"",'[1]Game Input'!$CK456,"")</f>
        <v>0</v>
      </c>
      <c r="AE456" s="8"/>
      <c r="AF456" s="8"/>
      <c r="AG456" s="8"/>
      <c r="AH456" s="8"/>
    </row>
    <row r="457" spans="1:34" x14ac:dyDescent="0.2">
      <c r="A457" s="6">
        <f>IF('[1]Game Input'!$A457&lt;&gt;"",'[1]Game Input'!$A457,"")</f>
        <v>43546</v>
      </c>
      <c r="B457" s="6" t="str">
        <f>IF(A457&gt;$B$1,VLOOKUP(MONTH($A457),DOTWMonth,2,FALSE),"")</f>
        <v>March</v>
      </c>
      <c r="C457" s="10" t="str">
        <f>IF(A457&gt;$B$1,VLOOKUP(WEEKDAY($A457),DOTWMonth,3,FALSE),"")</f>
        <v>Friday</v>
      </c>
      <c r="D457" s="7">
        <f>IF('[1]Game Input'!$B457&lt;&gt;"",'[1]Game Input'!$B457,"")</f>
        <v>0.83680555555555547</v>
      </c>
      <c r="E457" s="7">
        <f>IF('[1]Game Input'!$C457&lt;&gt;"",'[1]Game Input'!$C457,"")</f>
        <v>0.79513888888888884</v>
      </c>
      <c r="F457" s="8" t="str">
        <f>IF('[1]Game Input'!$D457&lt;&gt;"",'[1]Game Input'!$D457,"")</f>
        <v>Daylight</v>
      </c>
      <c r="G457" s="8" t="str">
        <f>IF('[1]Game Input'!$G457&lt;&gt;"",'[1]Game Input'!$G457,"")</f>
        <v>WAT @ CR</v>
      </c>
      <c r="H457" s="8" t="str">
        <f>IF('[1]Game Input'!$H457&lt;&gt;"",'[1]Game Input'!$H457,"")</f>
        <v>Vs. Non-Conference</v>
      </c>
      <c r="I457" s="8" t="str">
        <f>IF('[1]Game Input'!$I457&lt;&gt;"",'[1]Game Input'!$I457,"")</f>
        <v>WATERLOO</v>
      </c>
      <c r="J457" s="9">
        <f>IF('[1]Game Input'!$AC457&lt;&gt;"",'[1]Game Input'!$AC457,"")</f>
        <v>8</v>
      </c>
      <c r="K457" s="9">
        <f>IF('[1]Game Input'!$AD457&lt;&gt;"",'[1]Game Input'!$AD457,"")</f>
        <v>4</v>
      </c>
      <c r="L457" s="9">
        <f>IF('[1]Game Input'!$AJ457&lt;&gt;"",'[1]Game Input'!$AJ457,"")</f>
        <v>0</v>
      </c>
      <c r="M457" s="9">
        <f>IF('[1]Game Input'!$AK457&lt;&gt;"",'[1]Game Input'!$AK457,"")</f>
        <v>0</v>
      </c>
      <c r="N457" s="9">
        <f>IF('[1]Game Input'!$AN457&lt;&gt;"",'[1]Game Input'!$AN457,"")</f>
        <v>4</v>
      </c>
      <c r="O457" s="9">
        <f>IF('[1]Game Input'!$AO457&lt;&gt;"",'[1]Game Input'!$AO457,"")</f>
        <v>0</v>
      </c>
      <c r="P457" s="9">
        <f>IF('[1]Game Input'!$AP457&lt;&gt;"",'[1]Game Input'!$AP457,"")</f>
        <v>0</v>
      </c>
      <c r="Q457" s="9">
        <f>IF('[1]Game Input'!$AQ457&lt;&gt;"",'[1]Game Input'!$AQ457,"")</f>
        <v>0</v>
      </c>
      <c r="R457" s="9">
        <f>IF('[1]Game Input'!$AR457&lt;&gt;"",'[1]Game Input'!$AR457,"")</f>
        <v>0</v>
      </c>
      <c r="S457" s="9">
        <f>IF('[1]Game Input'!$AS457&lt;&gt;"",'[1]Game Input'!$AS457,"")</f>
        <v>0</v>
      </c>
      <c r="T457" s="10" t="str">
        <f>IF('[1]Game Input'!$BA457&lt;&gt;"",'[1]Game Input'!$BA457,"")</f>
        <v>CEDAR RAPIDS</v>
      </c>
      <c r="U457" s="9">
        <f>IF('[1]Game Input'!$BU457&lt;&gt;"",'[1]Game Input'!$BU457,"")</f>
        <v>4</v>
      </c>
      <c r="V457" s="9">
        <f>IF('[1]Game Input'!$BV457&lt;&gt;"",'[1]Game Input'!$BV457,"")</f>
        <v>2</v>
      </c>
      <c r="W457" s="9">
        <f>IF('[1]Game Input'!$CB457&lt;&gt;"",'[1]Game Input'!$CB457,"")</f>
        <v>0</v>
      </c>
      <c r="X457" s="9">
        <f>IF('[1]Game Input'!$CC457&lt;&gt;"",'[1]Game Input'!$CC457,"")</f>
        <v>0</v>
      </c>
      <c r="Y457" s="9">
        <f>IF('[1]Game Input'!$CF457&lt;&gt;"",'[1]Game Input'!$CF457,"")</f>
        <v>2</v>
      </c>
      <c r="Z457" s="9">
        <f>IF('[1]Game Input'!$CG457&lt;&gt;"",'[1]Game Input'!$CG457,"")</f>
        <v>0</v>
      </c>
      <c r="AA457" s="9">
        <f>IF('[1]Game Input'!$CH457&lt;&gt;"",'[1]Game Input'!$CH457,"")</f>
        <v>0</v>
      </c>
      <c r="AB457" s="9">
        <f>IF('[1]Game Input'!$CI457&lt;&gt;"",'[1]Game Input'!$CI457,"")</f>
        <v>0</v>
      </c>
      <c r="AC457" s="9">
        <f>IF('[1]Game Input'!$CJ457&lt;&gt;"",'[1]Game Input'!$CJ457,"")</f>
        <v>0</v>
      </c>
      <c r="AD457" s="9">
        <f>IF('[1]Game Input'!$CK457&lt;&gt;"",'[1]Game Input'!$CK457,"")</f>
        <v>0</v>
      </c>
      <c r="AE457" s="8" t="s">
        <v>92</v>
      </c>
      <c r="AF457" s="8"/>
      <c r="AG457" s="8" t="s">
        <v>116</v>
      </c>
      <c r="AH457" s="8" t="s">
        <v>113</v>
      </c>
    </row>
    <row r="458" spans="1:34" x14ac:dyDescent="0.2">
      <c r="A458" s="6">
        <f>IF('[1]Game Input'!$A458&lt;&gt;"",'[1]Game Input'!$A458,"")</f>
        <v>43546</v>
      </c>
      <c r="B458" s="6" t="str">
        <f>IF(A458&gt;$B$1,VLOOKUP(MONTH($A458),DOTWMonth,2,FALSE),"")</f>
        <v>March</v>
      </c>
      <c r="C458" s="10" t="str">
        <f>IF(A458&gt;$B$1,VLOOKUP(WEEKDAY($A458),DOTWMonth,3,FALSE),"")</f>
        <v>Friday</v>
      </c>
      <c r="D458" s="7">
        <f>IF('[1]Game Input'!$B458&lt;&gt;"",'[1]Game Input'!$B458,"")</f>
        <v>0.83680555555555547</v>
      </c>
      <c r="E458" s="7">
        <f>IF('[1]Game Input'!$C458&lt;&gt;"",'[1]Game Input'!$C458,"")</f>
        <v>0.79513888888888884</v>
      </c>
      <c r="F458" s="8" t="str">
        <f>IF('[1]Game Input'!$D458&lt;&gt;"",'[1]Game Input'!$D458,"")</f>
        <v>Daylight</v>
      </c>
      <c r="G458" s="8" t="str">
        <f>IF('[1]Game Input'!$G458&lt;&gt;"",'[1]Game Input'!$G458,"")</f>
        <v>TC @ DUB</v>
      </c>
      <c r="H458" s="8" t="str">
        <f>IF('[1]Game Input'!$H458&lt;&gt;"",'[1]Game Input'!$H458,"")</f>
        <v>Vs. Non-Conference</v>
      </c>
      <c r="I458" s="8" t="str">
        <f>IF('[1]Game Input'!$I458&lt;&gt;"",'[1]Game Input'!$I458,"")</f>
        <v>TRI-CITY</v>
      </c>
      <c r="J458" s="9">
        <f>IF('[1]Game Input'!$AC458&lt;&gt;"",'[1]Game Input'!$AC458,"")</f>
        <v>8</v>
      </c>
      <c r="K458" s="9">
        <f>IF('[1]Game Input'!$AD458&lt;&gt;"",'[1]Game Input'!$AD458,"")</f>
        <v>4</v>
      </c>
      <c r="L458" s="9">
        <f>IF('[1]Game Input'!$AJ458&lt;&gt;"",'[1]Game Input'!$AJ458,"")</f>
        <v>0</v>
      </c>
      <c r="M458" s="9">
        <f>IF('[1]Game Input'!$AK458&lt;&gt;"",'[1]Game Input'!$AK458,"")</f>
        <v>0</v>
      </c>
      <c r="N458" s="9">
        <f>IF('[1]Game Input'!$AN458&lt;&gt;"",'[1]Game Input'!$AN458,"")</f>
        <v>4</v>
      </c>
      <c r="O458" s="9">
        <f>IF('[1]Game Input'!$AO458&lt;&gt;"",'[1]Game Input'!$AO458,"")</f>
        <v>0</v>
      </c>
      <c r="P458" s="9">
        <f>IF('[1]Game Input'!$AP458&lt;&gt;"",'[1]Game Input'!$AP458,"")</f>
        <v>0</v>
      </c>
      <c r="Q458" s="9">
        <f>IF('[1]Game Input'!$AQ458&lt;&gt;"",'[1]Game Input'!$AQ458,"")</f>
        <v>0</v>
      </c>
      <c r="R458" s="9">
        <f>IF('[1]Game Input'!$AR458&lt;&gt;"",'[1]Game Input'!$AR458,"")</f>
        <v>0</v>
      </c>
      <c r="S458" s="9">
        <f>IF('[1]Game Input'!$AS458&lt;&gt;"",'[1]Game Input'!$AS458,"")</f>
        <v>0</v>
      </c>
      <c r="T458" s="10" t="str">
        <f>IF('[1]Game Input'!$BA458&lt;&gt;"",'[1]Game Input'!$BA458,"")</f>
        <v>DUBUQUE</v>
      </c>
      <c r="U458" s="9">
        <f>IF('[1]Game Input'!$BU458&lt;&gt;"",'[1]Game Input'!$BU458,"")</f>
        <v>13</v>
      </c>
      <c r="V458" s="9">
        <f>IF('[1]Game Input'!$BV458&lt;&gt;"",'[1]Game Input'!$BV458,"")</f>
        <v>5</v>
      </c>
      <c r="W458" s="9">
        <f>IF('[1]Game Input'!$CB458&lt;&gt;"",'[1]Game Input'!$CB458,"")</f>
        <v>0</v>
      </c>
      <c r="X458" s="9">
        <f>IF('[1]Game Input'!$CC458&lt;&gt;"",'[1]Game Input'!$CC458,"")</f>
        <v>0</v>
      </c>
      <c r="Y458" s="9">
        <f>IF('[1]Game Input'!$CF458&lt;&gt;"",'[1]Game Input'!$CF458,"")</f>
        <v>4</v>
      </c>
      <c r="Z458" s="9">
        <f>IF('[1]Game Input'!$CG458&lt;&gt;"",'[1]Game Input'!$CG458,"")</f>
        <v>1</v>
      </c>
      <c r="AA458" s="9">
        <f>IF('[1]Game Input'!$CH458&lt;&gt;"",'[1]Game Input'!$CH458,"")</f>
        <v>0</v>
      </c>
      <c r="AB458" s="9">
        <f>IF('[1]Game Input'!$CI458&lt;&gt;"",'[1]Game Input'!$CI458,"")</f>
        <v>0</v>
      </c>
      <c r="AC458" s="9">
        <f>IF('[1]Game Input'!$CJ458&lt;&gt;"",'[1]Game Input'!$CJ458,"")</f>
        <v>0</v>
      </c>
      <c r="AD458" s="9">
        <f>IF('[1]Game Input'!$CK458&lt;&gt;"",'[1]Game Input'!$CK458,"")</f>
        <v>0</v>
      </c>
      <c r="AE458" s="8"/>
      <c r="AF458" s="8"/>
      <c r="AG458" s="8"/>
      <c r="AH458" s="8"/>
    </row>
    <row r="459" spans="1:34" x14ac:dyDescent="0.2">
      <c r="A459" s="6">
        <f>IF('[1]Game Input'!$A459&lt;&gt;"",'[1]Game Input'!$A459,"")</f>
        <v>43546</v>
      </c>
      <c r="B459" s="6" t="str">
        <f>IF(A459&gt;$B$1,VLOOKUP(MONTH($A459),DOTWMonth,2,FALSE),"")</f>
        <v>March</v>
      </c>
      <c r="C459" s="10" t="str">
        <f>IF(A459&gt;$B$1,VLOOKUP(WEEKDAY($A459),DOTWMonth,3,FALSE),"")</f>
        <v>Friday</v>
      </c>
      <c r="D459" s="7">
        <f>IF('[1]Game Input'!$B459&lt;&gt;"",'[1]Game Input'!$B459,"")</f>
        <v>0.83680555555555547</v>
      </c>
      <c r="E459" s="7">
        <f>IF('[1]Game Input'!$C459&lt;&gt;"",'[1]Game Input'!$C459,"")</f>
        <v>0.79513888888888884</v>
      </c>
      <c r="F459" s="8" t="str">
        <f>IF('[1]Game Input'!$D459&lt;&gt;"",'[1]Game Input'!$D459,"")</f>
        <v>Daylight</v>
      </c>
      <c r="G459" s="8" t="str">
        <f>IF('[1]Game Input'!$G459&lt;&gt;"",'[1]Game Input'!$G459,"")</f>
        <v>CIL @ FGO</v>
      </c>
      <c r="H459" s="8" t="str">
        <f>IF('[1]Game Input'!$H459&lt;&gt;"",'[1]Game Input'!$H459,"")</f>
        <v>Vs. Non-Conference</v>
      </c>
      <c r="I459" s="8" t="str">
        <f>IF('[1]Game Input'!$I459&lt;&gt;"",'[1]Game Input'!$I459,"")</f>
        <v>CENTRAL ILLINOIS</v>
      </c>
      <c r="J459" s="9">
        <f>IF('[1]Game Input'!$AC459&lt;&gt;"",'[1]Game Input'!$AC459,"")</f>
        <v>23</v>
      </c>
      <c r="K459" s="9">
        <f>IF('[1]Game Input'!$AD459&lt;&gt;"",'[1]Game Input'!$AD459,"")</f>
        <v>6</v>
      </c>
      <c r="L459" s="9">
        <f>IF('[1]Game Input'!$AJ459&lt;&gt;"",'[1]Game Input'!$AJ459,"")</f>
        <v>0</v>
      </c>
      <c r="M459" s="9">
        <f>IF('[1]Game Input'!$AK459&lt;&gt;"",'[1]Game Input'!$AK459,"")</f>
        <v>0</v>
      </c>
      <c r="N459" s="9">
        <f>IF('[1]Game Input'!$AN459&lt;&gt;"",'[1]Game Input'!$AN459,"")</f>
        <v>4</v>
      </c>
      <c r="O459" s="9">
        <f>IF('[1]Game Input'!$AO459&lt;&gt;"",'[1]Game Input'!$AO459,"")</f>
        <v>1</v>
      </c>
      <c r="P459" s="9">
        <f>IF('[1]Game Input'!$AP459&lt;&gt;"",'[1]Game Input'!$AP459,"")</f>
        <v>0</v>
      </c>
      <c r="Q459" s="9">
        <f>IF('[1]Game Input'!$AQ459&lt;&gt;"",'[1]Game Input'!$AQ459,"")</f>
        <v>1</v>
      </c>
      <c r="R459" s="9">
        <f>IF('[1]Game Input'!$AR459&lt;&gt;"",'[1]Game Input'!$AR459,"")</f>
        <v>0</v>
      </c>
      <c r="S459" s="9">
        <f>IF('[1]Game Input'!$AS459&lt;&gt;"",'[1]Game Input'!$AS459,"")</f>
        <v>0</v>
      </c>
      <c r="T459" s="10" t="str">
        <f>IF('[1]Game Input'!$BA459&lt;&gt;"",'[1]Game Input'!$BA459,"")</f>
        <v>FARGO</v>
      </c>
      <c r="U459" s="9">
        <f>IF('[1]Game Input'!$BU459&lt;&gt;"",'[1]Game Input'!$BU459,"")</f>
        <v>10</v>
      </c>
      <c r="V459" s="9">
        <f>IF('[1]Game Input'!$BV459&lt;&gt;"",'[1]Game Input'!$BV459,"")</f>
        <v>5</v>
      </c>
      <c r="W459" s="9">
        <f>IF('[1]Game Input'!$CB459&lt;&gt;"",'[1]Game Input'!$CB459,"")</f>
        <v>0</v>
      </c>
      <c r="X459" s="9">
        <f>IF('[1]Game Input'!$CC459&lt;&gt;"",'[1]Game Input'!$CC459,"")</f>
        <v>0</v>
      </c>
      <c r="Y459" s="9">
        <f>IF('[1]Game Input'!$CF459&lt;&gt;"",'[1]Game Input'!$CF459,"")</f>
        <v>5</v>
      </c>
      <c r="Z459" s="9">
        <f>IF('[1]Game Input'!$CG459&lt;&gt;"",'[1]Game Input'!$CG459,"")</f>
        <v>0</v>
      </c>
      <c r="AA459" s="9">
        <f>IF('[1]Game Input'!$CH459&lt;&gt;"",'[1]Game Input'!$CH459,"")</f>
        <v>0</v>
      </c>
      <c r="AB459" s="9">
        <f>IF('[1]Game Input'!$CI459&lt;&gt;"",'[1]Game Input'!$CI459,"")</f>
        <v>0</v>
      </c>
      <c r="AC459" s="9">
        <f>IF('[1]Game Input'!$CJ459&lt;&gt;"",'[1]Game Input'!$CJ459,"")</f>
        <v>0</v>
      </c>
      <c r="AD459" s="9">
        <f>IF('[1]Game Input'!$CK459&lt;&gt;"",'[1]Game Input'!$CK459,"")</f>
        <v>0</v>
      </c>
      <c r="AE459" s="8" t="s">
        <v>95</v>
      </c>
      <c r="AF459" s="8" t="s">
        <v>168</v>
      </c>
      <c r="AG459" s="8" t="s">
        <v>128</v>
      </c>
      <c r="AH459" s="8" t="s">
        <v>169</v>
      </c>
    </row>
    <row r="460" spans="1:34" x14ac:dyDescent="0.2">
      <c r="A460" s="6">
        <f>IF('[1]Game Input'!$A460&lt;&gt;"",'[1]Game Input'!$A460,"")</f>
        <v>43546</v>
      </c>
      <c r="B460" s="6" t="str">
        <f>IF(A460&gt;$B$1,VLOOKUP(MONTH($A460),DOTWMonth,2,FALSE),"")</f>
        <v>March</v>
      </c>
      <c r="C460" s="10" t="str">
        <f>IF(A460&gt;$B$1,VLOOKUP(WEEKDAY($A460),DOTWMonth,3,FALSE),"")</f>
        <v>Friday</v>
      </c>
      <c r="D460" s="7">
        <f>IF('[1]Game Input'!$B460&lt;&gt;"",'[1]Game Input'!$B460,"")</f>
        <v>0.85763888888888884</v>
      </c>
      <c r="E460" s="7">
        <f>IF('[1]Game Input'!$C460&lt;&gt;"",'[1]Game Input'!$C460,"")</f>
        <v>0.81597222222222221</v>
      </c>
      <c r="F460" s="8" t="str">
        <f>IF('[1]Game Input'!$D460&lt;&gt;"",'[1]Game Input'!$D460,"")</f>
        <v>Daylight</v>
      </c>
      <c r="G460" s="8" t="str">
        <f>IF('[1]Game Input'!$G460&lt;&gt;"",'[1]Game Input'!$G460,"")</f>
        <v>SC @ OMA</v>
      </c>
      <c r="H460" s="8" t="str">
        <f>IF('[1]Game Input'!$H460&lt;&gt;"",'[1]Game Input'!$H460,"")</f>
        <v>Vs. Conference</v>
      </c>
      <c r="I460" s="8" t="str">
        <f>IF('[1]Game Input'!$I460&lt;&gt;"",'[1]Game Input'!$I460,"")</f>
        <v>SIOUX CITY</v>
      </c>
      <c r="J460" s="9">
        <f>IF('[1]Game Input'!$AC460&lt;&gt;"",'[1]Game Input'!$AC460,"")</f>
        <v>8</v>
      </c>
      <c r="K460" s="9">
        <f>IF('[1]Game Input'!$AD460&lt;&gt;"",'[1]Game Input'!$AD460,"")</f>
        <v>4</v>
      </c>
      <c r="L460" s="9">
        <f>IF('[1]Game Input'!$AJ460&lt;&gt;"",'[1]Game Input'!$AJ460,"")</f>
        <v>0</v>
      </c>
      <c r="M460" s="9">
        <f>IF('[1]Game Input'!$AK460&lt;&gt;"",'[1]Game Input'!$AK460,"")</f>
        <v>0</v>
      </c>
      <c r="N460" s="9">
        <f>IF('[1]Game Input'!$AN460&lt;&gt;"",'[1]Game Input'!$AN460,"")</f>
        <v>4</v>
      </c>
      <c r="O460" s="9">
        <f>IF('[1]Game Input'!$AO460&lt;&gt;"",'[1]Game Input'!$AO460,"")</f>
        <v>0</v>
      </c>
      <c r="P460" s="9">
        <f>IF('[1]Game Input'!$AP460&lt;&gt;"",'[1]Game Input'!$AP460,"")</f>
        <v>0</v>
      </c>
      <c r="Q460" s="9">
        <f>IF('[1]Game Input'!$AQ460&lt;&gt;"",'[1]Game Input'!$AQ460,"")</f>
        <v>0</v>
      </c>
      <c r="R460" s="9">
        <f>IF('[1]Game Input'!$AR460&lt;&gt;"",'[1]Game Input'!$AR460,"")</f>
        <v>0</v>
      </c>
      <c r="S460" s="9">
        <f>IF('[1]Game Input'!$AS460&lt;&gt;"",'[1]Game Input'!$AS460,"")</f>
        <v>0</v>
      </c>
      <c r="T460" s="10" t="str">
        <f>IF('[1]Game Input'!$BA460&lt;&gt;"",'[1]Game Input'!$BA460,"")</f>
        <v>OMAHA</v>
      </c>
      <c r="U460" s="9">
        <f>IF('[1]Game Input'!$BU460&lt;&gt;"",'[1]Game Input'!$BU460,"")</f>
        <v>12</v>
      </c>
      <c r="V460" s="9">
        <f>IF('[1]Game Input'!$BV460&lt;&gt;"",'[1]Game Input'!$BV460,"")</f>
        <v>6</v>
      </c>
      <c r="W460" s="9">
        <f>IF('[1]Game Input'!$CB460&lt;&gt;"",'[1]Game Input'!$CB460,"")</f>
        <v>0</v>
      </c>
      <c r="X460" s="9">
        <f>IF('[1]Game Input'!$CC460&lt;&gt;"",'[1]Game Input'!$CC460,"")</f>
        <v>0</v>
      </c>
      <c r="Y460" s="9">
        <f>IF('[1]Game Input'!$CF460&lt;&gt;"",'[1]Game Input'!$CF460,"")</f>
        <v>6</v>
      </c>
      <c r="Z460" s="9">
        <f>IF('[1]Game Input'!$CG460&lt;&gt;"",'[1]Game Input'!$CG460,"")</f>
        <v>0</v>
      </c>
      <c r="AA460" s="9">
        <f>IF('[1]Game Input'!$CH460&lt;&gt;"",'[1]Game Input'!$CH460,"")</f>
        <v>0</v>
      </c>
      <c r="AB460" s="9">
        <f>IF('[1]Game Input'!$CI460&lt;&gt;"",'[1]Game Input'!$CI460,"")</f>
        <v>0</v>
      </c>
      <c r="AC460" s="9">
        <f>IF('[1]Game Input'!$CJ460&lt;&gt;"",'[1]Game Input'!$CJ460,"")</f>
        <v>0</v>
      </c>
      <c r="AD460" s="9">
        <f>IF('[1]Game Input'!$CK460&lt;&gt;"",'[1]Game Input'!$CK460,"")</f>
        <v>0</v>
      </c>
      <c r="AE460" s="8"/>
      <c r="AF460" s="8"/>
      <c r="AG460" s="8"/>
      <c r="AH460" s="8"/>
    </row>
    <row r="461" spans="1:34" x14ac:dyDescent="0.2">
      <c r="A461" s="6">
        <f>IF('[1]Game Input'!$A461&lt;&gt;"",'[1]Game Input'!$A461,"")</f>
        <v>43547</v>
      </c>
      <c r="B461" s="6" t="str">
        <f>IF(A461&gt;$B$1,VLOOKUP(MONTH($A461),DOTWMonth,2,FALSE),"")</f>
        <v>March</v>
      </c>
      <c r="C461" s="10" t="str">
        <f>IF(A461&gt;$B$1,VLOOKUP(WEEKDAY($A461),DOTWMonth,3,FALSE),"")</f>
        <v>Saturday</v>
      </c>
      <c r="D461" s="7">
        <f>IF('[1]Game Input'!$B461&lt;&gt;"",'[1]Game Input'!$B461,"")</f>
        <v>0.79166666666666663</v>
      </c>
      <c r="E461" s="7">
        <f>IF('[1]Game Input'!$C461&lt;&gt;"",'[1]Game Input'!$C461,"")</f>
        <v>0.75</v>
      </c>
      <c r="F461" s="8" t="str">
        <f>IF('[1]Game Input'!$D461&lt;&gt;"",'[1]Game Input'!$D461,"")</f>
        <v>Daylight</v>
      </c>
      <c r="G461" s="8" t="str">
        <f>IF('[1]Game Input'!$G461&lt;&gt;"",'[1]Game Input'!$G461,"")</f>
        <v>DM @ USA</v>
      </c>
      <c r="H461" s="8" t="str">
        <f>IF('[1]Game Input'!$H461&lt;&gt;"",'[1]Game Input'!$H461,"")</f>
        <v>Vs. Non-Conference</v>
      </c>
      <c r="I461" s="8" t="str">
        <f>IF('[1]Game Input'!$I461&lt;&gt;"",'[1]Game Input'!$I461,"")</f>
        <v>DES MOINES</v>
      </c>
      <c r="J461" s="9">
        <f>IF('[1]Game Input'!$AC461&lt;&gt;"",'[1]Game Input'!$AC461,"")</f>
        <v>12</v>
      </c>
      <c r="K461" s="9">
        <f>IF('[1]Game Input'!$AD461&lt;&gt;"",'[1]Game Input'!$AD461,"")</f>
        <v>6</v>
      </c>
      <c r="L461" s="9">
        <f>IF('[1]Game Input'!$AJ461&lt;&gt;"",'[1]Game Input'!$AJ461,"")</f>
        <v>0</v>
      </c>
      <c r="M461" s="9">
        <f>IF('[1]Game Input'!$AK461&lt;&gt;"",'[1]Game Input'!$AK461,"")</f>
        <v>0</v>
      </c>
      <c r="N461" s="9">
        <f>IF('[1]Game Input'!$AN461&lt;&gt;"",'[1]Game Input'!$AN461,"")</f>
        <v>6</v>
      </c>
      <c r="O461" s="9">
        <f>IF('[1]Game Input'!$AO461&lt;&gt;"",'[1]Game Input'!$AO461,"")</f>
        <v>0</v>
      </c>
      <c r="P461" s="9">
        <f>IF('[1]Game Input'!$AP461&lt;&gt;"",'[1]Game Input'!$AP461,"")</f>
        <v>0</v>
      </c>
      <c r="Q461" s="9">
        <f>IF('[1]Game Input'!$AQ461&lt;&gt;"",'[1]Game Input'!$AQ461,"")</f>
        <v>0</v>
      </c>
      <c r="R461" s="9">
        <f>IF('[1]Game Input'!$AR461&lt;&gt;"",'[1]Game Input'!$AR461,"")</f>
        <v>0</v>
      </c>
      <c r="S461" s="9">
        <f>IF('[1]Game Input'!$AS461&lt;&gt;"",'[1]Game Input'!$AS461,"")</f>
        <v>0</v>
      </c>
      <c r="T461" s="10" t="str">
        <f>IF('[1]Game Input'!$BA461&lt;&gt;"",'[1]Game Input'!$BA461,"")</f>
        <v>TEAM USA</v>
      </c>
      <c r="U461" s="9">
        <f>IF('[1]Game Input'!$BU461&lt;&gt;"",'[1]Game Input'!$BU461,"")</f>
        <v>16</v>
      </c>
      <c r="V461" s="9">
        <f>IF('[1]Game Input'!$BV461&lt;&gt;"",'[1]Game Input'!$BV461,"")</f>
        <v>8</v>
      </c>
      <c r="W461" s="9">
        <f>IF('[1]Game Input'!$CB461&lt;&gt;"",'[1]Game Input'!$CB461,"")</f>
        <v>0</v>
      </c>
      <c r="X461" s="9">
        <f>IF('[1]Game Input'!$CC461&lt;&gt;"",'[1]Game Input'!$CC461,"")</f>
        <v>0</v>
      </c>
      <c r="Y461" s="9">
        <f>IF('[1]Game Input'!$CF461&lt;&gt;"",'[1]Game Input'!$CF461,"")</f>
        <v>8</v>
      </c>
      <c r="Z461" s="9">
        <f>IF('[1]Game Input'!$CG461&lt;&gt;"",'[1]Game Input'!$CG461,"")</f>
        <v>0</v>
      </c>
      <c r="AA461" s="9">
        <f>IF('[1]Game Input'!$CH461&lt;&gt;"",'[1]Game Input'!$CH461,"")</f>
        <v>0</v>
      </c>
      <c r="AB461" s="9">
        <f>IF('[1]Game Input'!$CI461&lt;&gt;"",'[1]Game Input'!$CI461,"")</f>
        <v>0</v>
      </c>
      <c r="AC461" s="9">
        <f>IF('[1]Game Input'!$CJ461&lt;&gt;"",'[1]Game Input'!$CJ461,"")</f>
        <v>0</v>
      </c>
      <c r="AD461" s="9">
        <f>IF('[1]Game Input'!$CK461&lt;&gt;"",'[1]Game Input'!$CK461,"")</f>
        <v>0</v>
      </c>
      <c r="AE461" s="8" t="s">
        <v>97</v>
      </c>
      <c r="AF461" s="8" t="s">
        <v>144</v>
      </c>
      <c r="AG461" s="8" t="s">
        <v>126</v>
      </c>
      <c r="AH461" s="8" t="s">
        <v>108</v>
      </c>
    </row>
    <row r="462" spans="1:34" x14ac:dyDescent="0.2">
      <c r="A462" s="6">
        <f>IF('[1]Game Input'!$A462&lt;&gt;"",'[1]Game Input'!$A462,"")</f>
        <v>43547</v>
      </c>
      <c r="B462" s="6" t="str">
        <f>IF(A462&gt;$B$1,VLOOKUP(MONTH($A462),DOTWMonth,2,FALSE),"")</f>
        <v>March</v>
      </c>
      <c r="C462" s="10" t="str">
        <f>IF(A462&gt;$B$1,VLOOKUP(WEEKDAY($A462),DOTWMonth,3,FALSE),"")</f>
        <v>Saturday</v>
      </c>
      <c r="D462" s="7">
        <f>IF('[1]Game Input'!$B462&lt;&gt;"",'[1]Game Input'!$B462,"")</f>
        <v>0.80208333333333337</v>
      </c>
      <c r="E462" s="7">
        <f>IF('[1]Game Input'!$C462&lt;&gt;"",'[1]Game Input'!$C462,"")</f>
        <v>0.76041666666666674</v>
      </c>
      <c r="F462" s="8" t="str">
        <f>IF('[1]Game Input'!$D462&lt;&gt;"",'[1]Game Input'!$D462,"")</f>
        <v>Daylight</v>
      </c>
      <c r="G462" s="8" t="str">
        <f>IF('[1]Game Input'!$G462&lt;&gt;"",'[1]Game Input'!$G462,"")</f>
        <v>LIN @ MUS</v>
      </c>
      <c r="H462" s="8" t="str">
        <f>IF('[1]Game Input'!$H462&lt;&gt;"",'[1]Game Input'!$H462,"")</f>
        <v>Vs. Non-Conference</v>
      </c>
      <c r="I462" s="8" t="str">
        <f>IF('[1]Game Input'!$I462&lt;&gt;"",'[1]Game Input'!$I462,"")</f>
        <v>LINCOLN</v>
      </c>
      <c r="J462" s="9">
        <f>IF('[1]Game Input'!$AC462&lt;&gt;"",'[1]Game Input'!$AC462,"")</f>
        <v>6</v>
      </c>
      <c r="K462" s="9">
        <f>IF('[1]Game Input'!$AD462&lt;&gt;"",'[1]Game Input'!$AD462,"")</f>
        <v>3</v>
      </c>
      <c r="L462" s="9">
        <f>IF('[1]Game Input'!$AJ462&lt;&gt;"",'[1]Game Input'!$AJ462,"")</f>
        <v>0</v>
      </c>
      <c r="M462" s="9">
        <f>IF('[1]Game Input'!$AK462&lt;&gt;"",'[1]Game Input'!$AK462,"")</f>
        <v>0</v>
      </c>
      <c r="N462" s="9">
        <f>IF('[1]Game Input'!$AN462&lt;&gt;"",'[1]Game Input'!$AN462,"")</f>
        <v>3</v>
      </c>
      <c r="O462" s="9">
        <f>IF('[1]Game Input'!$AO462&lt;&gt;"",'[1]Game Input'!$AO462,"")</f>
        <v>0</v>
      </c>
      <c r="P462" s="9">
        <f>IF('[1]Game Input'!$AP462&lt;&gt;"",'[1]Game Input'!$AP462,"")</f>
        <v>0</v>
      </c>
      <c r="Q462" s="9">
        <f>IF('[1]Game Input'!$AQ462&lt;&gt;"",'[1]Game Input'!$AQ462,"")</f>
        <v>0</v>
      </c>
      <c r="R462" s="9">
        <f>IF('[1]Game Input'!$AR462&lt;&gt;"",'[1]Game Input'!$AR462,"")</f>
        <v>0</v>
      </c>
      <c r="S462" s="9">
        <f>IF('[1]Game Input'!$AS462&lt;&gt;"",'[1]Game Input'!$AS462,"")</f>
        <v>0</v>
      </c>
      <c r="T462" s="10" t="str">
        <f>IF('[1]Game Input'!$BA462&lt;&gt;"",'[1]Game Input'!$BA462,"")</f>
        <v>MUSKEGON</v>
      </c>
      <c r="U462" s="9">
        <f>IF('[1]Game Input'!$BU462&lt;&gt;"",'[1]Game Input'!$BU462,"")</f>
        <v>8</v>
      </c>
      <c r="V462" s="9">
        <f>IF('[1]Game Input'!$BV462&lt;&gt;"",'[1]Game Input'!$BV462,"")</f>
        <v>4</v>
      </c>
      <c r="W462" s="9">
        <f>IF('[1]Game Input'!$CB462&lt;&gt;"",'[1]Game Input'!$CB462,"")</f>
        <v>0</v>
      </c>
      <c r="X462" s="9">
        <f>IF('[1]Game Input'!$CC462&lt;&gt;"",'[1]Game Input'!$CC462,"")</f>
        <v>0</v>
      </c>
      <c r="Y462" s="9">
        <f>IF('[1]Game Input'!$CF462&lt;&gt;"",'[1]Game Input'!$CF462,"")</f>
        <v>4</v>
      </c>
      <c r="Z462" s="9">
        <f>IF('[1]Game Input'!$CG462&lt;&gt;"",'[1]Game Input'!$CG462,"")</f>
        <v>0</v>
      </c>
      <c r="AA462" s="9">
        <f>IF('[1]Game Input'!$CH462&lt;&gt;"",'[1]Game Input'!$CH462,"")</f>
        <v>0</v>
      </c>
      <c r="AB462" s="9">
        <f>IF('[1]Game Input'!$CI462&lt;&gt;"",'[1]Game Input'!$CI462,"")</f>
        <v>0</v>
      </c>
      <c r="AC462" s="9">
        <f>IF('[1]Game Input'!$CJ462&lt;&gt;"",'[1]Game Input'!$CJ462,"")</f>
        <v>0</v>
      </c>
      <c r="AD462" s="9">
        <f>IF('[1]Game Input'!$CK462&lt;&gt;"",'[1]Game Input'!$CK462,"")</f>
        <v>0</v>
      </c>
      <c r="AE462" s="8"/>
      <c r="AF462" s="8"/>
      <c r="AG462" s="8"/>
      <c r="AH462" s="8"/>
    </row>
    <row r="463" spans="1:34" x14ac:dyDescent="0.2">
      <c r="A463" s="6">
        <f>IF('[1]Game Input'!$A463&lt;&gt;"",'[1]Game Input'!$A463,"")</f>
        <v>43547</v>
      </c>
      <c r="B463" s="6" t="str">
        <f>IF(A463&gt;$B$1,VLOOKUP(MONTH($A463),DOTWMonth,2,FALSE),"")</f>
        <v>March</v>
      </c>
      <c r="C463" s="10" t="str">
        <f>IF(A463&gt;$B$1,VLOOKUP(WEEKDAY($A463),DOTWMonth,3,FALSE),"")</f>
        <v>Saturday</v>
      </c>
      <c r="D463" s="7">
        <f>IF('[1]Game Input'!$B463&lt;&gt;"",'[1]Game Input'!$B463,"")</f>
        <v>0.83680555555555547</v>
      </c>
      <c r="E463" s="7">
        <f>IF('[1]Game Input'!$C463&lt;&gt;"",'[1]Game Input'!$C463,"")</f>
        <v>0.79513888888888884</v>
      </c>
      <c r="F463" s="8" t="str">
        <f>IF('[1]Game Input'!$D463&lt;&gt;"",'[1]Game Input'!$D463,"")</f>
        <v>Daylight</v>
      </c>
      <c r="G463" s="8" t="str">
        <f>IF('[1]Game Input'!$G463&lt;&gt;"",'[1]Game Input'!$G463,"")</f>
        <v>MAD @ GB</v>
      </c>
      <c r="H463" s="8" t="str">
        <f>IF('[1]Game Input'!$H463&lt;&gt;"",'[1]Game Input'!$H463,"")</f>
        <v>Vs. Conference</v>
      </c>
      <c r="I463" s="8" t="str">
        <f>IF('[1]Game Input'!$I463&lt;&gt;"",'[1]Game Input'!$I463,"")</f>
        <v>MADISON</v>
      </c>
      <c r="J463" s="9">
        <f>IF('[1]Game Input'!$AC463&lt;&gt;"",'[1]Game Input'!$AC463,"")</f>
        <v>4</v>
      </c>
      <c r="K463" s="9">
        <f>IF('[1]Game Input'!$AD463&lt;&gt;"",'[1]Game Input'!$AD463,"")</f>
        <v>2</v>
      </c>
      <c r="L463" s="9">
        <f>IF('[1]Game Input'!$AJ463&lt;&gt;"",'[1]Game Input'!$AJ463,"")</f>
        <v>0</v>
      </c>
      <c r="M463" s="9">
        <f>IF('[1]Game Input'!$AK463&lt;&gt;"",'[1]Game Input'!$AK463,"")</f>
        <v>0</v>
      </c>
      <c r="N463" s="9">
        <f>IF('[1]Game Input'!$AN463&lt;&gt;"",'[1]Game Input'!$AN463,"")</f>
        <v>2</v>
      </c>
      <c r="O463" s="9">
        <f>IF('[1]Game Input'!$AO463&lt;&gt;"",'[1]Game Input'!$AO463,"")</f>
        <v>0</v>
      </c>
      <c r="P463" s="9">
        <f>IF('[1]Game Input'!$AP463&lt;&gt;"",'[1]Game Input'!$AP463,"")</f>
        <v>0</v>
      </c>
      <c r="Q463" s="9">
        <f>IF('[1]Game Input'!$AQ463&lt;&gt;"",'[1]Game Input'!$AQ463,"")</f>
        <v>0</v>
      </c>
      <c r="R463" s="9">
        <f>IF('[1]Game Input'!$AR463&lt;&gt;"",'[1]Game Input'!$AR463,"")</f>
        <v>0</v>
      </c>
      <c r="S463" s="9">
        <f>IF('[1]Game Input'!$AS463&lt;&gt;"",'[1]Game Input'!$AS463,"")</f>
        <v>0</v>
      </c>
      <c r="T463" s="10" t="str">
        <f>IF('[1]Game Input'!$BA463&lt;&gt;"",'[1]Game Input'!$BA463,"")</f>
        <v>GREEN BAY</v>
      </c>
      <c r="U463" s="9">
        <f>IF('[1]Game Input'!$BU463&lt;&gt;"",'[1]Game Input'!$BU463,"")</f>
        <v>6</v>
      </c>
      <c r="V463" s="9">
        <f>IF('[1]Game Input'!$BV463&lt;&gt;"",'[1]Game Input'!$BV463,"")</f>
        <v>3</v>
      </c>
      <c r="W463" s="9">
        <f>IF('[1]Game Input'!$CB463&lt;&gt;"",'[1]Game Input'!$CB463,"")</f>
        <v>0</v>
      </c>
      <c r="X463" s="9">
        <f>IF('[1]Game Input'!$CC463&lt;&gt;"",'[1]Game Input'!$CC463,"")</f>
        <v>0</v>
      </c>
      <c r="Y463" s="9">
        <f>IF('[1]Game Input'!$CF463&lt;&gt;"",'[1]Game Input'!$CF463,"")</f>
        <v>3</v>
      </c>
      <c r="Z463" s="9">
        <f>IF('[1]Game Input'!$CG463&lt;&gt;"",'[1]Game Input'!$CG463,"")</f>
        <v>0</v>
      </c>
      <c r="AA463" s="9">
        <f>IF('[1]Game Input'!$CH463&lt;&gt;"",'[1]Game Input'!$CH463,"")</f>
        <v>0</v>
      </c>
      <c r="AB463" s="9">
        <f>IF('[1]Game Input'!$CI463&lt;&gt;"",'[1]Game Input'!$CI463,"")</f>
        <v>0</v>
      </c>
      <c r="AC463" s="9">
        <f>IF('[1]Game Input'!$CJ463&lt;&gt;"",'[1]Game Input'!$CJ463,"")</f>
        <v>0</v>
      </c>
      <c r="AD463" s="9">
        <f>IF('[1]Game Input'!$CK463&lt;&gt;"",'[1]Game Input'!$CK463,"")</f>
        <v>0</v>
      </c>
      <c r="AE463" s="8"/>
      <c r="AF463" s="8"/>
      <c r="AG463" s="8"/>
      <c r="AH463" s="8"/>
    </row>
    <row r="464" spans="1:34" x14ac:dyDescent="0.2">
      <c r="A464" s="6">
        <f>IF('[1]Game Input'!$A464&lt;&gt;"",'[1]Game Input'!$A464,"")</f>
        <v>43547</v>
      </c>
      <c r="B464" s="6" t="str">
        <f>IF(A464&gt;$B$1,VLOOKUP(MONTH($A464),DOTWMonth,2,FALSE),"")</f>
        <v>March</v>
      </c>
      <c r="C464" s="10" t="str">
        <f>IF(A464&gt;$B$1,VLOOKUP(WEEKDAY($A464),DOTWMonth,3,FALSE),"")</f>
        <v>Saturday</v>
      </c>
      <c r="D464" s="7">
        <f>IF('[1]Game Input'!$B464&lt;&gt;"",'[1]Game Input'!$B464,"")</f>
        <v>0.83680555555555547</v>
      </c>
      <c r="E464" s="7">
        <f>IF('[1]Game Input'!$C464&lt;&gt;"",'[1]Game Input'!$C464,"")</f>
        <v>0.79513888888888884</v>
      </c>
      <c r="F464" s="8" t="str">
        <f>IF('[1]Game Input'!$D464&lt;&gt;"",'[1]Game Input'!$D464,"")</f>
        <v>Daylight</v>
      </c>
      <c r="G464" s="8" t="str">
        <f>IF('[1]Game Input'!$G464&lt;&gt;"",'[1]Game Input'!$G464,"")</f>
        <v>SC @ SF</v>
      </c>
      <c r="H464" s="8" t="str">
        <f>IF('[1]Game Input'!$H464&lt;&gt;"",'[1]Game Input'!$H464,"")</f>
        <v>Vs. Conference</v>
      </c>
      <c r="I464" s="8" t="str">
        <f>IF('[1]Game Input'!$I464&lt;&gt;"",'[1]Game Input'!$I464,"")</f>
        <v>SIOUX CITY</v>
      </c>
      <c r="J464" s="9">
        <f>IF('[1]Game Input'!$AC464&lt;&gt;"",'[1]Game Input'!$AC464,"")</f>
        <v>14</v>
      </c>
      <c r="K464" s="9">
        <f>IF('[1]Game Input'!$AD464&lt;&gt;"",'[1]Game Input'!$AD464,"")</f>
        <v>7</v>
      </c>
      <c r="L464" s="9">
        <f>IF('[1]Game Input'!$AJ464&lt;&gt;"",'[1]Game Input'!$AJ464,"")</f>
        <v>0</v>
      </c>
      <c r="M464" s="9">
        <f>IF('[1]Game Input'!$AK464&lt;&gt;"",'[1]Game Input'!$AK464,"")</f>
        <v>0</v>
      </c>
      <c r="N464" s="9">
        <f>IF('[1]Game Input'!$AN464&lt;&gt;"",'[1]Game Input'!$AN464,"")</f>
        <v>7</v>
      </c>
      <c r="O464" s="9">
        <f>IF('[1]Game Input'!$AO464&lt;&gt;"",'[1]Game Input'!$AO464,"")</f>
        <v>0</v>
      </c>
      <c r="P464" s="9">
        <f>IF('[1]Game Input'!$AP464&lt;&gt;"",'[1]Game Input'!$AP464,"")</f>
        <v>0</v>
      </c>
      <c r="Q464" s="9">
        <f>IF('[1]Game Input'!$AQ464&lt;&gt;"",'[1]Game Input'!$AQ464,"")</f>
        <v>0</v>
      </c>
      <c r="R464" s="9">
        <f>IF('[1]Game Input'!$AR464&lt;&gt;"",'[1]Game Input'!$AR464,"")</f>
        <v>0</v>
      </c>
      <c r="S464" s="9">
        <f>IF('[1]Game Input'!$AS464&lt;&gt;"",'[1]Game Input'!$AS464,"")</f>
        <v>0</v>
      </c>
      <c r="T464" s="10" t="str">
        <f>IF('[1]Game Input'!$BA464&lt;&gt;"",'[1]Game Input'!$BA464,"")</f>
        <v>SIOUX FALLS</v>
      </c>
      <c r="U464" s="9">
        <f>IF('[1]Game Input'!$BU464&lt;&gt;"",'[1]Game Input'!$BU464,"")</f>
        <v>8</v>
      </c>
      <c r="V464" s="9">
        <f>IF('[1]Game Input'!$BV464&lt;&gt;"",'[1]Game Input'!$BV464,"")</f>
        <v>4</v>
      </c>
      <c r="W464" s="9">
        <f>IF('[1]Game Input'!$CB464&lt;&gt;"",'[1]Game Input'!$CB464,"")</f>
        <v>0</v>
      </c>
      <c r="X464" s="9">
        <f>IF('[1]Game Input'!$CC464&lt;&gt;"",'[1]Game Input'!$CC464,"")</f>
        <v>0</v>
      </c>
      <c r="Y464" s="9">
        <f>IF('[1]Game Input'!$CF464&lt;&gt;"",'[1]Game Input'!$CF464,"")</f>
        <v>4</v>
      </c>
      <c r="Z464" s="9">
        <f>IF('[1]Game Input'!$CG464&lt;&gt;"",'[1]Game Input'!$CG464,"")</f>
        <v>0</v>
      </c>
      <c r="AA464" s="9">
        <f>IF('[1]Game Input'!$CH464&lt;&gt;"",'[1]Game Input'!$CH464,"")</f>
        <v>0</v>
      </c>
      <c r="AB464" s="9">
        <f>IF('[1]Game Input'!$CI464&lt;&gt;"",'[1]Game Input'!$CI464,"")</f>
        <v>0</v>
      </c>
      <c r="AC464" s="9">
        <f>IF('[1]Game Input'!$CJ464&lt;&gt;"",'[1]Game Input'!$CJ464,"")</f>
        <v>0</v>
      </c>
      <c r="AD464" s="9">
        <f>IF('[1]Game Input'!$CK464&lt;&gt;"",'[1]Game Input'!$CK464,"")</f>
        <v>0</v>
      </c>
      <c r="AE464" s="8"/>
      <c r="AF464" s="8"/>
      <c r="AG464" s="8"/>
      <c r="AH464" s="8"/>
    </row>
    <row r="465" spans="1:34" x14ac:dyDescent="0.2">
      <c r="A465" s="6">
        <f>IF('[1]Game Input'!$A465&lt;&gt;"",'[1]Game Input'!$A465,"")</f>
        <v>43547</v>
      </c>
      <c r="B465" s="6" t="str">
        <f>IF(A465&gt;$B$1,VLOOKUP(MONTH($A465),DOTWMonth,2,FALSE),"")</f>
        <v>March</v>
      </c>
      <c r="C465" s="10" t="str">
        <f>IF(A465&gt;$B$1,VLOOKUP(WEEKDAY($A465),DOTWMonth,3,FALSE),"")</f>
        <v>Saturday</v>
      </c>
      <c r="D465" s="7">
        <f>IF('[1]Game Input'!$B465&lt;&gt;"",'[1]Game Input'!$B465,"")</f>
        <v>0.83680555555555547</v>
      </c>
      <c r="E465" s="7">
        <f>IF('[1]Game Input'!$C465&lt;&gt;"",'[1]Game Input'!$C465,"")</f>
        <v>0.79513888888888884</v>
      </c>
      <c r="F465" s="8" t="str">
        <f>IF('[1]Game Input'!$D465&lt;&gt;"",'[1]Game Input'!$D465,"")</f>
        <v>Daylight</v>
      </c>
      <c r="G465" s="8" t="str">
        <f>IF('[1]Game Input'!$G465&lt;&gt;"",'[1]Game Input'!$G465,"")</f>
        <v>TC @ DUB</v>
      </c>
      <c r="H465" s="8" t="str">
        <f>IF('[1]Game Input'!$H465&lt;&gt;"",'[1]Game Input'!$H465,"")</f>
        <v>Vs. Non-Conference</v>
      </c>
      <c r="I465" s="8" t="str">
        <f>IF('[1]Game Input'!$I465&lt;&gt;"",'[1]Game Input'!$I465,"")</f>
        <v>TRI-CITY</v>
      </c>
      <c r="J465" s="9">
        <f>IF('[1]Game Input'!$AC465&lt;&gt;"",'[1]Game Input'!$AC465,"")</f>
        <v>6</v>
      </c>
      <c r="K465" s="9">
        <f>IF('[1]Game Input'!$AD465&lt;&gt;"",'[1]Game Input'!$AD465,"")</f>
        <v>3</v>
      </c>
      <c r="L465" s="9">
        <f>IF('[1]Game Input'!$AJ465&lt;&gt;"",'[1]Game Input'!$AJ465,"")</f>
        <v>0</v>
      </c>
      <c r="M465" s="9">
        <f>IF('[1]Game Input'!$AK465&lt;&gt;"",'[1]Game Input'!$AK465,"")</f>
        <v>0</v>
      </c>
      <c r="N465" s="9">
        <f>IF('[1]Game Input'!$AN465&lt;&gt;"",'[1]Game Input'!$AN465,"")</f>
        <v>3</v>
      </c>
      <c r="O465" s="9">
        <f>IF('[1]Game Input'!$AO465&lt;&gt;"",'[1]Game Input'!$AO465,"")</f>
        <v>0</v>
      </c>
      <c r="P465" s="9">
        <f>IF('[1]Game Input'!$AP465&lt;&gt;"",'[1]Game Input'!$AP465,"")</f>
        <v>0</v>
      </c>
      <c r="Q465" s="9">
        <f>IF('[1]Game Input'!$AQ465&lt;&gt;"",'[1]Game Input'!$AQ465,"")</f>
        <v>0</v>
      </c>
      <c r="R465" s="9">
        <f>IF('[1]Game Input'!$AR465&lt;&gt;"",'[1]Game Input'!$AR465,"")</f>
        <v>0</v>
      </c>
      <c r="S465" s="9">
        <f>IF('[1]Game Input'!$AS465&lt;&gt;"",'[1]Game Input'!$AS465,"")</f>
        <v>0</v>
      </c>
      <c r="T465" s="10" t="str">
        <f>IF('[1]Game Input'!$BA465&lt;&gt;"",'[1]Game Input'!$BA465,"")</f>
        <v>DUBUQUE</v>
      </c>
      <c r="U465" s="9">
        <f>IF('[1]Game Input'!$BU465&lt;&gt;"",'[1]Game Input'!$BU465,"")</f>
        <v>10</v>
      </c>
      <c r="V465" s="9">
        <f>IF('[1]Game Input'!$BV465&lt;&gt;"",'[1]Game Input'!$BV465,"")</f>
        <v>5</v>
      </c>
      <c r="W465" s="9">
        <f>IF('[1]Game Input'!$CB465&lt;&gt;"",'[1]Game Input'!$CB465,"")</f>
        <v>0</v>
      </c>
      <c r="X465" s="9">
        <f>IF('[1]Game Input'!$CC465&lt;&gt;"",'[1]Game Input'!$CC465,"")</f>
        <v>0</v>
      </c>
      <c r="Y465" s="9">
        <f>IF('[1]Game Input'!$CF465&lt;&gt;"",'[1]Game Input'!$CF465,"")</f>
        <v>5</v>
      </c>
      <c r="Z465" s="9">
        <f>IF('[1]Game Input'!$CG465&lt;&gt;"",'[1]Game Input'!$CG465,"")</f>
        <v>0</v>
      </c>
      <c r="AA465" s="9">
        <f>IF('[1]Game Input'!$CH465&lt;&gt;"",'[1]Game Input'!$CH465,"")</f>
        <v>0</v>
      </c>
      <c r="AB465" s="9">
        <f>IF('[1]Game Input'!$CI465&lt;&gt;"",'[1]Game Input'!$CI465,"")</f>
        <v>0</v>
      </c>
      <c r="AC465" s="9">
        <f>IF('[1]Game Input'!$CJ465&lt;&gt;"",'[1]Game Input'!$CJ465,"")</f>
        <v>0</v>
      </c>
      <c r="AD465" s="9">
        <f>IF('[1]Game Input'!$CK465&lt;&gt;"",'[1]Game Input'!$CK465,"")</f>
        <v>0</v>
      </c>
      <c r="AE465" s="8"/>
      <c r="AF465" s="8"/>
      <c r="AG465" s="8"/>
      <c r="AH465" s="8"/>
    </row>
    <row r="466" spans="1:34" x14ac:dyDescent="0.2">
      <c r="A466" s="6">
        <f>IF('[1]Game Input'!$A466&lt;&gt;"",'[1]Game Input'!$A466,"")</f>
        <v>43547</v>
      </c>
      <c r="B466" s="6" t="str">
        <f>IF(A466&gt;$B$1,VLOOKUP(MONTH($A466),DOTWMonth,2,FALSE),"")</f>
        <v>March</v>
      </c>
      <c r="C466" s="10" t="str">
        <f>IF(A466&gt;$B$1,VLOOKUP(WEEKDAY($A466),DOTWMonth,3,FALSE),"")</f>
        <v>Saturday</v>
      </c>
      <c r="D466" s="7">
        <f>IF('[1]Game Input'!$B466&lt;&gt;"",'[1]Game Input'!$B466,"")</f>
        <v>0.83680555555555547</v>
      </c>
      <c r="E466" s="7">
        <f>IF('[1]Game Input'!$C466&lt;&gt;"",'[1]Game Input'!$C466,"")</f>
        <v>0.79513888888888884</v>
      </c>
      <c r="F466" s="8" t="str">
        <f>IF('[1]Game Input'!$D466&lt;&gt;"",'[1]Game Input'!$D466,"")</f>
        <v>Daylight</v>
      </c>
      <c r="G466" s="8" t="str">
        <f>IF('[1]Game Input'!$G466&lt;&gt;"",'[1]Game Input'!$G466,"")</f>
        <v>CIL @ FGO</v>
      </c>
      <c r="H466" s="8" t="str">
        <f>IF('[1]Game Input'!$H466&lt;&gt;"",'[1]Game Input'!$H466,"")</f>
        <v>Vs. Non-Conference</v>
      </c>
      <c r="I466" s="8" t="str">
        <f>IF('[1]Game Input'!$I466&lt;&gt;"",'[1]Game Input'!$I466,"")</f>
        <v>CENTRAL ILLINOIS</v>
      </c>
      <c r="J466" s="9">
        <f>IF('[1]Game Input'!$AC466&lt;&gt;"",'[1]Game Input'!$AC466,"")</f>
        <v>34</v>
      </c>
      <c r="K466" s="9">
        <f>IF('[1]Game Input'!$AD466&lt;&gt;"",'[1]Game Input'!$AD466,"")</f>
        <v>9</v>
      </c>
      <c r="L466" s="9">
        <f>IF('[1]Game Input'!$AJ466&lt;&gt;"",'[1]Game Input'!$AJ466,"")</f>
        <v>0</v>
      </c>
      <c r="M466" s="9">
        <f>IF('[1]Game Input'!$AK466&lt;&gt;"",'[1]Game Input'!$AK466,"")</f>
        <v>1</v>
      </c>
      <c r="N466" s="9">
        <f>IF('[1]Game Input'!$AN466&lt;&gt;"",'[1]Game Input'!$AN466,"")</f>
        <v>7</v>
      </c>
      <c r="O466" s="9">
        <f>IF('[1]Game Input'!$AO466&lt;&gt;"",'[1]Game Input'!$AO466,"")</f>
        <v>0</v>
      </c>
      <c r="P466" s="9">
        <f>IF('[1]Game Input'!$AP466&lt;&gt;"",'[1]Game Input'!$AP466,"")</f>
        <v>1</v>
      </c>
      <c r="Q466" s="9">
        <f>IF('[1]Game Input'!$AQ466&lt;&gt;"",'[1]Game Input'!$AQ466,"")</f>
        <v>1</v>
      </c>
      <c r="R466" s="9">
        <f>IF('[1]Game Input'!$AR466&lt;&gt;"",'[1]Game Input'!$AR466,"")</f>
        <v>0</v>
      </c>
      <c r="S466" s="9">
        <f>IF('[1]Game Input'!$AS466&lt;&gt;"",'[1]Game Input'!$AS466,"")</f>
        <v>1</v>
      </c>
      <c r="T466" s="10" t="str">
        <f>IF('[1]Game Input'!$BA466&lt;&gt;"",'[1]Game Input'!$BA466,"")</f>
        <v>FARGO</v>
      </c>
      <c r="U466" s="9">
        <f>IF('[1]Game Input'!$BU466&lt;&gt;"",'[1]Game Input'!$BU466,"")</f>
        <v>10</v>
      </c>
      <c r="V466" s="9">
        <f>IF('[1]Game Input'!$BV466&lt;&gt;"",'[1]Game Input'!$BV466,"")</f>
        <v>6</v>
      </c>
      <c r="W466" s="9">
        <f>IF('[1]Game Input'!$CB466&lt;&gt;"",'[1]Game Input'!$CB466,"")</f>
        <v>0</v>
      </c>
      <c r="X466" s="9">
        <f>IF('[1]Game Input'!$CC466&lt;&gt;"",'[1]Game Input'!$CC466,"")</f>
        <v>0</v>
      </c>
      <c r="Y466" s="9">
        <f>IF('[1]Game Input'!$CF466&lt;&gt;"",'[1]Game Input'!$CF466,"")</f>
        <v>5</v>
      </c>
      <c r="Z466" s="9">
        <f>IF('[1]Game Input'!$CG466&lt;&gt;"",'[1]Game Input'!$CG466,"")</f>
        <v>0</v>
      </c>
      <c r="AA466" s="9">
        <f>IF('[1]Game Input'!$CH466&lt;&gt;"",'[1]Game Input'!$CH466,"")</f>
        <v>0</v>
      </c>
      <c r="AB466" s="9">
        <f>IF('[1]Game Input'!$CI466&lt;&gt;"",'[1]Game Input'!$CI466,"")</f>
        <v>0</v>
      </c>
      <c r="AC466" s="9">
        <f>IF('[1]Game Input'!$CJ466&lt;&gt;"",'[1]Game Input'!$CJ466,"")</f>
        <v>0</v>
      </c>
      <c r="AD466" s="9">
        <f>IF('[1]Game Input'!$CK466&lt;&gt;"",'[1]Game Input'!$CK466,"")</f>
        <v>0</v>
      </c>
      <c r="AE466" s="8" t="s">
        <v>95</v>
      </c>
      <c r="AF466" s="8"/>
      <c r="AG466" s="8" t="s">
        <v>128</v>
      </c>
      <c r="AH466" s="8"/>
    </row>
    <row r="467" spans="1:34" x14ac:dyDescent="0.2">
      <c r="A467" s="6">
        <f>IF('[1]Game Input'!$A467&lt;&gt;"",'[1]Game Input'!$A467,"")</f>
        <v>43547</v>
      </c>
      <c r="B467" s="6" t="str">
        <f>IF(A467&gt;$B$1,VLOOKUP(MONTH($A467),DOTWMonth,2,FALSE),"")</f>
        <v>March</v>
      </c>
      <c r="C467" s="10" t="str">
        <f>IF(A467&gt;$B$1,VLOOKUP(WEEKDAY($A467),DOTWMonth,3,FALSE),"")</f>
        <v>Saturday</v>
      </c>
      <c r="D467" s="7">
        <f>IF('[1]Game Input'!$B467&lt;&gt;"",'[1]Game Input'!$B467,"")</f>
        <v>0.83680555555555547</v>
      </c>
      <c r="E467" s="7">
        <f>IF('[1]Game Input'!$C467&lt;&gt;"",'[1]Game Input'!$C467,"")</f>
        <v>0.79513888888888884</v>
      </c>
      <c r="F467" s="8" t="str">
        <f>IF('[1]Game Input'!$D467&lt;&gt;"",'[1]Game Input'!$D467,"")</f>
        <v>Daylight</v>
      </c>
      <c r="G467" s="8" t="str">
        <f>IF('[1]Game Input'!$G467&lt;&gt;"",'[1]Game Input'!$G467,"")</f>
        <v>CR @ WAT</v>
      </c>
      <c r="H467" s="8" t="str">
        <f>IF('[1]Game Input'!$H467&lt;&gt;"",'[1]Game Input'!$H467,"")</f>
        <v>Vs. Non-Conference</v>
      </c>
      <c r="I467" s="8" t="str">
        <f>IF('[1]Game Input'!$I467&lt;&gt;"",'[1]Game Input'!$I467,"")</f>
        <v>CEDAR RAPIDS</v>
      </c>
      <c r="J467" s="9">
        <f>IF('[1]Game Input'!$AC467&lt;&gt;"",'[1]Game Input'!$AC467,"")</f>
        <v>39</v>
      </c>
      <c r="K467" s="9">
        <f>IF('[1]Game Input'!$AD467&lt;&gt;"",'[1]Game Input'!$AD467,"")</f>
        <v>10</v>
      </c>
      <c r="L467" s="9">
        <f>IF('[1]Game Input'!$AJ467&lt;&gt;"",'[1]Game Input'!$AJ467,"")</f>
        <v>0</v>
      </c>
      <c r="M467" s="9">
        <f>IF('[1]Game Input'!$AK467&lt;&gt;"",'[1]Game Input'!$AK467,"")</f>
        <v>0</v>
      </c>
      <c r="N467" s="9">
        <f>IF('[1]Game Input'!$AN467&lt;&gt;"",'[1]Game Input'!$AN467,"")</f>
        <v>7</v>
      </c>
      <c r="O467" s="9">
        <f>IF('[1]Game Input'!$AO467&lt;&gt;"",'[1]Game Input'!$AO467,"")</f>
        <v>1</v>
      </c>
      <c r="P467" s="9">
        <f>IF('[1]Game Input'!$AP467&lt;&gt;"",'[1]Game Input'!$AP467,"")</f>
        <v>2</v>
      </c>
      <c r="Q467" s="9">
        <f>IF('[1]Game Input'!$AQ467&lt;&gt;"",'[1]Game Input'!$AQ467,"")</f>
        <v>0</v>
      </c>
      <c r="R467" s="9">
        <f>IF('[1]Game Input'!$AR467&lt;&gt;"",'[1]Game Input'!$AR467,"")</f>
        <v>0</v>
      </c>
      <c r="S467" s="9">
        <f>IF('[1]Game Input'!$AS467&lt;&gt;"",'[1]Game Input'!$AS467,"")</f>
        <v>0</v>
      </c>
      <c r="T467" s="10" t="str">
        <f>IF('[1]Game Input'!$BA467&lt;&gt;"",'[1]Game Input'!$BA467,"")</f>
        <v>WATERLOO</v>
      </c>
      <c r="U467" s="9">
        <f>IF('[1]Game Input'!$BU467&lt;&gt;"",'[1]Game Input'!$BU467,"")</f>
        <v>63</v>
      </c>
      <c r="V467" s="9">
        <f>IF('[1]Game Input'!$BV467&lt;&gt;"",'[1]Game Input'!$BV467,"")</f>
        <v>14</v>
      </c>
      <c r="W467" s="9">
        <f>IF('[1]Game Input'!$CB467&lt;&gt;"",'[1]Game Input'!$CB467,"")</f>
        <v>0</v>
      </c>
      <c r="X467" s="9">
        <f>IF('[1]Game Input'!$CC467&lt;&gt;"",'[1]Game Input'!$CC467,"")</f>
        <v>0</v>
      </c>
      <c r="Y467" s="9">
        <f>IF('[1]Game Input'!$CF467&lt;&gt;"",'[1]Game Input'!$CF467,"")</f>
        <v>9</v>
      </c>
      <c r="Z467" s="9">
        <f>IF('[1]Game Input'!$CG467&lt;&gt;"",'[1]Game Input'!$CG467,"")</f>
        <v>1</v>
      </c>
      <c r="AA467" s="9">
        <f>IF('[1]Game Input'!$CH467&lt;&gt;"",'[1]Game Input'!$CH467,"")</f>
        <v>3</v>
      </c>
      <c r="AB467" s="9">
        <f>IF('[1]Game Input'!$CI467&lt;&gt;"",'[1]Game Input'!$CI467,"")</f>
        <v>1</v>
      </c>
      <c r="AC467" s="9">
        <f>IF('[1]Game Input'!$CJ467&lt;&gt;"",'[1]Game Input'!$CJ467,"")</f>
        <v>0</v>
      </c>
      <c r="AD467" s="9">
        <f>IF('[1]Game Input'!$CK467&lt;&gt;"",'[1]Game Input'!$CK467,"")</f>
        <v>0</v>
      </c>
      <c r="AE467" s="8" t="s">
        <v>104</v>
      </c>
      <c r="AF467" s="8"/>
      <c r="AG467" s="8" t="s">
        <v>129</v>
      </c>
      <c r="AH467" s="8" t="s">
        <v>114</v>
      </c>
    </row>
    <row r="468" spans="1:34" x14ac:dyDescent="0.2">
      <c r="A468" s="6">
        <f>IF('[1]Game Input'!$A468&lt;&gt;"",'[1]Game Input'!$A468,"")</f>
        <v>43548</v>
      </c>
      <c r="B468" s="6" t="str">
        <f>IF(A468&gt;$B$1,VLOOKUP(MONTH($A468),DOTWMonth,2,FALSE),"")</f>
        <v>March</v>
      </c>
      <c r="C468" s="10" t="str">
        <f>IF(A468&gt;$B$1,VLOOKUP(WEEKDAY($A468),DOTWMonth,3,FALSE),"")</f>
        <v>Sunday</v>
      </c>
      <c r="D468" s="7">
        <f>IF('[1]Game Input'!$B468&lt;&gt;"",'[1]Game Input'!$B468,"")</f>
        <v>0.67013888888888884</v>
      </c>
      <c r="E468" s="7">
        <f>IF('[1]Game Input'!$C468&lt;&gt;"",'[1]Game Input'!$C468,"")</f>
        <v>0.62847222222222221</v>
      </c>
      <c r="F468" s="8" t="str">
        <f>IF('[1]Game Input'!$D468&lt;&gt;"",'[1]Game Input'!$D468,"")</f>
        <v>Daylight</v>
      </c>
      <c r="G468" s="8" t="str">
        <f>IF('[1]Game Input'!$G468&lt;&gt;"",'[1]Game Input'!$G468,"")</f>
        <v>MAD @ GB</v>
      </c>
      <c r="H468" s="8" t="str">
        <f>IF('[1]Game Input'!$H468&lt;&gt;"",'[1]Game Input'!$H468,"")</f>
        <v>Vs. Conference</v>
      </c>
      <c r="I468" s="8" t="str">
        <f>IF('[1]Game Input'!$I468&lt;&gt;"",'[1]Game Input'!$I468,"")</f>
        <v>MADISON</v>
      </c>
      <c r="J468" s="9">
        <f>IF('[1]Game Input'!$AC468&lt;&gt;"",'[1]Game Input'!$AC468,"")</f>
        <v>4</v>
      </c>
      <c r="K468" s="9">
        <f>IF('[1]Game Input'!$AD468&lt;&gt;"",'[1]Game Input'!$AD468,"")</f>
        <v>2</v>
      </c>
      <c r="L468" s="9">
        <f>IF('[1]Game Input'!$AJ468&lt;&gt;"",'[1]Game Input'!$AJ468,"")</f>
        <v>0</v>
      </c>
      <c r="M468" s="9">
        <f>IF('[1]Game Input'!$AK468&lt;&gt;"",'[1]Game Input'!$AK468,"")</f>
        <v>0</v>
      </c>
      <c r="N468" s="9">
        <f>IF('[1]Game Input'!$AN468&lt;&gt;"",'[1]Game Input'!$AN468,"")</f>
        <v>2</v>
      </c>
      <c r="O468" s="9">
        <f>IF('[1]Game Input'!$AO468&lt;&gt;"",'[1]Game Input'!$AO468,"")</f>
        <v>0</v>
      </c>
      <c r="P468" s="9">
        <f>IF('[1]Game Input'!$AP468&lt;&gt;"",'[1]Game Input'!$AP468,"")</f>
        <v>0</v>
      </c>
      <c r="Q468" s="9">
        <f>IF('[1]Game Input'!$AQ468&lt;&gt;"",'[1]Game Input'!$AQ468,"")</f>
        <v>0</v>
      </c>
      <c r="R468" s="9">
        <f>IF('[1]Game Input'!$AR468&lt;&gt;"",'[1]Game Input'!$AR468,"")</f>
        <v>0</v>
      </c>
      <c r="S468" s="9">
        <f>IF('[1]Game Input'!$AS468&lt;&gt;"",'[1]Game Input'!$AS468,"")</f>
        <v>0</v>
      </c>
      <c r="T468" s="10" t="str">
        <f>IF('[1]Game Input'!$BA468&lt;&gt;"",'[1]Game Input'!$BA468,"")</f>
        <v>GREEN BAY</v>
      </c>
      <c r="U468" s="9">
        <f>IF('[1]Game Input'!$BU468&lt;&gt;"",'[1]Game Input'!$BU468,"")</f>
        <v>0</v>
      </c>
      <c r="V468" s="9">
        <f>IF('[1]Game Input'!$BV468&lt;&gt;"",'[1]Game Input'!$BV468,"")</f>
        <v>0</v>
      </c>
      <c r="W468" s="9">
        <f>IF('[1]Game Input'!$CB468&lt;&gt;"",'[1]Game Input'!$CB468,"")</f>
        <v>0</v>
      </c>
      <c r="X468" s="9">
        <f>IF('[1]Game Input'!$CC468&lt;&gt;"",'[1]Game Input'!$CC468,"")</f>
        <v>0</v>
      </c>
      <c r="Y468" s="9">
        <f>IF('[1]Game Input'!$CF468&lt;&gt;"",'[1]Game Input'!$CF468,"")</f>
        <v>0</v>
      </c>
      <c r="Z468" s="9">
        <f>IF('[1]Game Input'!$CG468&lt;&gt;"",'[1]Game Input'!$CG468,"")</f>
        <v>0</v>
      </c>
      <c r="AA468" s="9">
        <f>IF('[1]Game Input'!$CH468&lt;&gt;"",'[1]Game Input'!$CH468,"")</f>
        <v>0</v>
      </c>
      <c r="AB468" s="9">
        <f>IF('[1]Game Input'!$CI468&lt;&gt;"",'[1]Game Input'!$CI468,"")</f>
        <v>0</v>
      </c>
      <c r="AC468" s="9">
        <f>IF('[1]Game Input'!$CJ468&lt;&gt;"",'[1]Game Input'!$CJ468,"")</f>
        <v>0</v>
      </c>
      <c r="AD468" s="9">
        <f>IF('[1]Game Input'!$CK468&lt;&gt;"",'[1]Game Input'!$CK468,"")</f>
        <v>0</v>
      </c>
      <c r="AE468" s="8"/>
      <c r="AF468" s="8"/>
      <c r="AG468" s="8"/>
      <c r="AH468" s="8"/>
    </row>
    <row r="469" spans="1:34" x14ac:dyDescent="0.2">
      <c r="A469" s="6">
        <f>IF('[1]Game Input'!$A469&lt;&gt;"",'[1]Game Input'!$A469,"")</f>
        <v>43548</v>
      </c>
      <c r="B469" s="6" t="str">
        <f>IF(A469&gt;$B$1,VLOOKUP(MONTH($A469),DOTWMonth,2,FALSE),"")</f>
        <v>March</v>
      </c>
      <c r="C469" s="10" t="str">
        <f>IF(A469&gt;$B$1,VLOOKUP(WEEKDAY($A469),DOTWMonth,3,FALSE),"")</f>
        <v>Sunday</v>
      </c>
      <c r="D469" s="7">
        <f>IF('[1]Game Input'!$B469&lt;&gt;"",'[1]Game Input'!$B469,"")</f>
        <v>0.67013888888888884</v>
      </c>
      <c r="E469" s="7">
        <f>IF('[1]Game Input'!$C469&lt;&gt;"",'[1]Game Input'!$C469,"")</f>
        <v>0.62847222222222221</v>
      </c>
      <c r="F469" s="8" t="str">
        <f>IF('[1]Game Input'!$D469&lt;&gt;"",'[1]Game Input'!$D469,"")</f>
        <v>Daylight</v>
      </c>
      <c r="G469" s="8" t="str">
        <f>IF('[1]Game Input'!$G469&lt;&gt;"",'[1]Game Input'!$G469,"")</f>
        <v>LIN @ CHI</v>
      </c>
      <c r="H469" s="8" t="str">
        <f>IF('[1]Game Input'!$H469&lt;&gt;"",'[1]Game Input'!$H469,"")</f>
        <v>Vs. Non-Conference</v>
      </c>
      <c r="I469" s="8" t="str">
        <f>IF('[1]Game Input'!$I469&lt;&gt;"",'[1]Game Input'!$I469,"")</f>
        <v>LINCOLN</v>
      </c>
      <c r="J469" s="9">
        <f>IF('[1]Game Input'!$AC469&lt;&gt;"",'[1]Game Input'!$AC469,"")</f>
        <v>8</v>
      </c>
      <c r="K469" s="9">
        <f>IF('[1]Game Input'!$AD469&lt;&gt;"",'[1]Game Input'!$AD469,"")</f>
        <v>4</v>
      </c>
      <c r="L469" s="9">
        <f>IF('[1]Game Input'!$AJ469&lt;&gt;"",'[1]Game Input'!$AJ469,"")</f>
        <v>0</v>
      </c>
      <c r="M469" s="9">
        <f>IF('[1]Game Input'!$AK469&lt;&gt;"",'[1]Game Input'!$AK469,"")</f>
        <v>0</v>
      </c>
      <c r="N469" s="9">
        <f>IF('[1]Game Input'!$AN469&lt;&gt;"",'[1]Game Input'!$AN469,"")</f>
        <v>4</v>
      </c>
      <c r="O469" s="9">
        <f>IF('[1]Game Input'!$AO469&lt;&gt;"",'[1]Game Input'!$AO469,"")</f>
        <v>0</v>
      </c>
      <c r="P469" s="9">
        <f>IF('[1]Game Input'!$AP469&lt;&gt;"",'[1]Game Input'!$AP469,"")</f>
        <v>0</v>
      </c>
      <c r="Q469" s="9">
        <f>IF('[1]Game Input'!$AQ469&lt;&gt;"",'[1]Game Input'!$AQ469,"")</f>
        <v>0</v>
      </c>
      <c r="R469" s="9">
        <f>IF('[1]Game Input'!$AR469&lt;&gt;"",'[1]Game Input'!$AR469,"")</f>
        <v>0</v>
      </c>
      <c r="S469" s="9">
        <f>IF('[1]Game Input'!$AS469&lt;&gt;"",'[1]Game Input'!$AS469,"")</f>
        <v>0</v>
      </c>
      <c r="T469" s="10" t="str">
        <f>IF('[1]Game Input'!$BA469&lt;&gt;"",'[1]Game Input'!$BA469,"")</f>
        <v>CHICAGO</v>
      </c>
      <c r="U469" s="9">
        <f>IF('[1]Game Input'!$BU469&lt;&gt;"",'[1]Game Input'!$BU469,"")</f>
        <v>4</v>
      </c>
      <c r="V469" s="9">
        <f>IF('[1]Game Input'!$BV469&lt;&gt;"",'[1]Game Input'!$BV469,"")</f>
        <v>2</v>
      </c>
      <c r="W469" s="9">
        <f>IF('[1]Game Input'!$CB469&lt;&gt;"",'[1]Game Input'!$CB469,"")</f>
        <v>0</v>
      </c>
      <c r="X469" s="9">
        <f>IF('[1]Game Input'!$CC469&lt;&gt;"",'[1]Game Input'!$CC469,"")</f>
        <v>0</v>
      </c>
      <c r="Y469" s="9">
        <f>IF('[1]Game Input'!$CF469&lt;&gt;"",'[1]Game Input'!$CF469,"")</f>
        <v>2</v>
      </c>
      <c r="Z469" s="9">
        <f>IF('[1]Game Input'!$CG469&lt;&gt;"",'[1]Game Input'!$CG469,"")</f>
        <v>0</v>
      </c>
      <c r="AA469" s="9">
        <f>IF('[1]Game Input'!$CH469&lt;&gt;"",'[1]Game Input'!$CH469,"")</f>
        <v>0</v>
      </c>
      <c r="AB469" s="9">
        <f>IF('[1]Game Input'!$CI469&lt;&gt;"",'[1]Game Input'!$CI469,"")</f>
        <v>0</v>
      </c>
      <c r="AC469" s="9">
        <f>IF('[1]Game Input'!$CJ469&lt;&gt;"",'[1]Game Input'!$CJ469,"")</f>
        <v>0</v>
      </c>
      <c r="AD469" s="9">
        <f>IF('[1]Game Input'!$CK469&lt;&gt;"",'[1]Game Input'!$CK469,"")</f>
        <v>0</v>
      </c>
      <c r="AE469" s="8"/>
      <c r="AF469" s="8"/>
      <c r="AG469" s="8"/>
      <c r="AH469" s="8"/>
    </row>
    <row r="470" spans="1:34" x14ac:dyDescent="0.2">
      <c r="A470" s="6">
        <f>IF('[1]Game Input'!$A470&lt;&gt;"",'[1]Game Input'!$A470,"")</f>
        <v>43548</v>
      </c>
      <c r="B470" s="6" t="str">
        <f>IF(A470&gt;$B$1,VLOOKUP(MONTH($A470),DOTWMonth,2,FALSE),"")</f>
        <v>March</v>
      </c>
      <c r="C470" s="10" t="str">
        <f>IF(A470&gt;$B$1,VLOOKUP(WEEKDAY($A470),DOTWMonth,3,FALSE),"")</f>
        <v>Sunday</v>
      </c>
      <c r="D470" s="7">
        <f>IF('[1]Game Input'!$B470&lt;&gt;"",'[1]Game Input'!$B470,"")</f>
        <v>0.71180555555555547</v>
      </c>
      <c r="E470" s="7">
        <f>IF('[1]Game Input'!$C470&lt;&gt;"",'[1]Game Input'!$C470,"")</f>
        <v>0.67013888888888884</v>
      </c>
      <c r="F470" s="8" t="str">
        <f>IF('[1]Game Input'!$D470&lt;&gt;"",'[1]Game Input'!$D470,"")</f>
        <v>Daylight</v>
      </c>
      <c r="G470" s="8" t="str">
        <f>IF('[1]Game Input'!$G470&lt;&gt;"",'[1]Game Input'!$G470,"")</f>
        <v>SF @ OMA</v>
      </c>
      <c r="H470" s="8" t="str">
        <f>IF('[1]Game Input'!$H470&lt;&gt;"",'[1]Game Input'!$H470,"")</f>
        <v>Vs. Conference</v>
      </c>
      <c r="I470" s="8" t="str">
        <f>IF('[1]Game Input'!$I470&lt;&gt;"",'[1]Game Input'!$I470,"")</f>
        <v>SIOUX FALLS</v>
      </c>
      <c r="J470" s="9">
        <f>IF('[1]Game Input'!$AC470&lt;&gt;"",'[1]Game Input'!$AC470,"")</f>
        <v>8</v>
      </c>
      <c r="K470" s="9">
        <f>IF('[1]Game Input'!$AD470&lt;&gt;"",'[1]Game Input'!$AD470,"")</f>
        <v>4</v>
      </c>
      <c r="L470" s="9">
        <f>IF('[1]Game Input'!$AJ470&lt;&gt;"",'[1]Game Input'!$AJ470,"")</f>
        <v>0</v>
      </c>
      <c r="M470" s="9">
        <f>IF('[1]Game Input'!$AK470&lt;&gt;"",'[1]Game Input'!$AK470,"")</f>
        <v>0</v>
      </c>
      <c r="N470" s="9">
        <f>IF('[1]Game Input'!$AN470&lt;&gt;"",'[1]Game Input'!$AN470,"")</f>
        <v>4</v>
      </c>
      <c r="O470" s="9">
        <f>IF('[1]Game Input'!$AO470&lt;&gt;"",'[1]Game Input'!$AO470,"")</f>
        <v>0</v>
      </c>
      <c r="P470" s="9">
        <f>IF('[1]Game Input'!$AP470&lt;&gt;"",'[1]Game Input'!$AP470,"")</f>
        <v>0</v>
      </c>
      <c r="Q470" s="9">
        <f>IF('[1]Game Input'!$AQ470&lt;&gt;"",'[1]Game Input'!$AQ470,"")</f>
        <v>0</v>
      </c>
      <c r="R470" s="9">
        <f>IF('[1]Game Input'!$AR470&lt;&gt;"",'[1]Game Input'!$AR470,"")</f>
        <v>0</v>
      </c>
      <c r="S470" s="9">
        <f>IF('[1]Game Input'!$AS470&lt;&gt;"",'[1]Game Input'!$AS470,"")</f>
        <v>0</v>
      </c>
      <c r="T470" s="10" t="str">
        <f>IF('[1]Game Input'!$BA470&lt;&gt;"",'[1]Game Input'!$BA470,"")</f>
        <v>OMAHA</v>
      </c>
      <c r="U470" s="9">
        <f>IF('[1]Game Input'!$BU470&lt;&gt;"",'[1]Game Input'!$BU470,"")</f>
        <v>8</v>
      </c>
      <c r="V470" s="9">
        <f>IF('[1]Game Input'!$BV470&lt;&gt;"",'[1]Game Input'!$BV470,"")</f>
        <v>4</v>
      </c>
      <c r="W470" s="9">
        <f>IF('[1]Game Input'!$CB470&lt;&gt;"",'[1]Game Input'!$CB470,"")</f>
        <v>0</v>
      </c>
      <c r="X470" s="9">
        <f>IF('[1]Game Input'!$CC470&lt;&gt;"",'[1]Game Input'!$CC470,"")</f>
        <v>0</v>
      </c>
      <c r="Y470" s="9">
        <f>IF('[1]Game Input'!$CF470&lt;&gt;"",'[1]Game Input'!$CF470,"")</f>
        <v>4</v>
      </c>
      <c r="Z470" s="9">
        <f>IF('[1]Game Input'!$CG470&lt;&gt;"",'[1]Game Input'!$CG470,"")</f>
        <v>0</v>
      </c>
      <c r="AA470" s="9">
        <f>IF('[1]Game Input'!$CH470&lt;&gt;"",'[1]Game Input'!$CH470,"")</f>
        <v>0</v>
      </c>
      <c r="AB470" s="9">
        <f>IF('[1]Game Input'!$CI470&lt;&gt;"",'[1]Game Input'!$CI470,"")</f>
        <v>0</v>
      </c>
      <c r="AC470" s="9">
        <f>IF('[1]Game Input'!$CJ470&lt;&gt;"",'[1]Game Input'!$CJ470,"")</f>
        <v>0</v>
      </c>
      <c r="AD470" s="9">
        <f>IF('[1]Game Input'!$CK470&lt;&gt;"",'[1]Game Input'!$CK470,"")</f>
        <v>0</v>
      </c>
      <c r="AE470" s="8"/>
      <c r="AF470" s="8"/>
      <c r="AG470" s="8"/>
      <c r="AH470" s="8"/>
    </row>
    <row r="471" spans="1:34" x14ac:dyDescent="0.2">
      <c r="A471" s="6">
        <f>IF('[1]Game Input'!$A471&lt;&gt;"",'[1]Game Input'!$A471,"")</f>
        <v>43548</v>
      </c>
      <c r="B471" s="6" t="str">
        <f>IF(A471&gt;$B$1,VLOOKUP(MONTH($A471),DOTWMonth,2,FALSE),"")</f>
        <v>March</v>
      </c>
      <c r="C471" s="10" t="str">
        <f>IF(A471&gt;$B$1,VLOOKUP(WEEKDAY($A471),DOTWMonth,3,FALSE),"")</f>
        <v>Sunday</v>
      </c>
      <c r="D471" s="7">
        <f>IF('[1]Game Input'!$B471&lt;&gt;"",'[1]Game Input'!$B471,"")</f>
        <v>0.7534722222222221</v>
      </c>
      <c r="E471" s="7">
        <f>IF('[1]Game Input'!$C471&lt;&gt;"",'[1]Game Input'!$C471,"")</f>
        <v>0.71180555555555547</v>
      </c>
      <c r="F471" s="8" t="str">
        <f>IF('[1]Game Input'!$D471&lt;&gt;"",'[1]Game Input'!$D471,"")</f>
        <v>Daylight</v>
      </c>
      <c r="G471" s="8" t="str">
        <f>IF('[1]Game Input'!$G471&lt;&gt;"",'[1]Game Input'!$G471,"")</f>
        <v>FGO @ SC</v>
      </c>
      <c r="H471" s="8" t="str">
        <f>IF('[1]Game Input'!$H471&lt;&gt;"",'[1]Game Input'!$H471,"")</f>
        <v>Vs. Conference</v>
      </c>
      <c r="I471" s="8" t="str">
        <f>IF('[1]Game Input'!$I471&lt;&gt;"",'[1]Game Input'!$I471,"")</f>
        <v>FARGO</v>
      </c>
      <c r="J471" s="9">
        <f>IF('[1]Game Input'!$AC471&lt;&gt;"",'[1]Game Input'!$AC471,"")</f>
        <v>10</v>
      </c>
      <c r="K471" s="9">
        <f>IF('[1]Game Input'!$AD471&lt;&gt;"",'[1]Game Input'!$AD471,"")</f>
        <v>5</v>
      </c>
      <c r="L471" s="9">
        <f>IF('[1]Game Input'!$AJ471&lt;&gt;"",'[1]Game Input'!$AJ471,"")</f>
        <v>0</v>
      </c>
      <c r="M471" s="9">
        <f>IF('[1]Game Input'!$AK471&lt;&gt;"",'[1]Game Input'!$AK471,"")</f>
        <v>0</v>
      </c>
      <c r="N471" s="9">
        <f>IF('[1]Game Input'!$AN471&lt;&gt;"",'[1]Game Input'!$AN471,"")</f>
        <v>5</v>
      </c>
      <c r="O471" s="9">
        <f>IF('[1]Game Input'!$AO471&lt;&gt;"",'[1]Game Input'!$AO471,"")</f>
        <v>0</v>
      </c>
      <c r="P471" s="9">
        <f>IF('[1]Game Input'!$AP471&lt;&gt;"",'[1]Game Input'!$AP471,"")</f>
        <v>0</v>
      </c>
      <c r="Q471" s="9">
        <f>IF('[1]Game Input'!$AQ471&lt;&gt;"",'[1]Game Input'!$AQ471,"")</f>
        <v>0</v>
      </c>
      <c r="R471" s="9">
        <f>IF('[1]Game Input'!$AR471&lt;&gt;"",'[1]Game Input'!$AR471,"")</f>
        <v>0</v>
      </c>
      <c r="S471" s="9">
        <f>IF('[1]Game Input'!$AS471&lt;&gt;"",'[1]Game Input'!$AS471,"")</f>
        <v>0</v>
      </c>
      <c r="T471" s="10" t="str">
        <f>IF('[1]Game Input'!$BA471&lt;&gt;"",'[1]Game Input'!$BA471,"")</f>
        <v>SIOUX CITY</v>
      </c>
      <c r="U471" s="9">
        <f>IF('[1]Game Input'!$BU471&lt;&gt;"",'[1]Game Input'!$BU471,"")</f>
        <v>16</v>
      </c>
      <c r="V471" s="9">
        <f>IF('[1]Game Input'!$BV471&lt;&gt;"",'[1]Game Input'!$BV471,"")</f>
        <v>8</v>
      </c>
      <c r="W471" s="9">
        <f>IF('[1]Game Input'!$CB471&lt;&gt;"",'[1]Game Input'!$CB471,"")</f>
        <v>0</v>
      </c>
      <c r="X471" s="9">
        <f>IF('[1]Game Input'!$CC471&lt;&gt;"",'[1]Game Input'!$CC471,"")</f>
        <v>0</v>
      </c>
      <c r="Y471" s="9">
        <f>IF('[1]Game Input'!$CF471&lt;&gt;"",'[1]Game Input'!$CF471,"")</f>
        <v>8</v>
      </c>
      <c r="Z471" s="9">
        <f>IF('[1]Game Input'!$CG471&lt;&gt;"",'[1]Game Input'!$CG471,"")</f>
        <v>0</v>
      </c>
      <c r="AA471" s="9">
        <f>IF('[1]Game Input'!$CH471&lt;&gt;"",'[1]Game Input'!$CH471,"")</f>
        <v>0</v>
      </c>
      <c r="AB471" s="9">
        <f>IF('[1]Game Input'!$CI471&lt;&gt;"",'[1]Game Input'!$CI471,"")</f>
        <v>0</v>
      </c>
      <c r="AC471" s="9">
        <f>IF('[1]Game Input'!$CJ471&lt;&gt;"",'[1]Game Input'!$CJ471,"")</f>
        <v>0</v>
      </c>
      <c r="AD471" s="9">
        <f>IF('[1]Game Input'!$CK471&lt;&gt;"",'[1]Game Input'!$CK471,"")</f>
        <v>0</v>
      </c>
      <c r="AE471" s="8"/>
      <c r="AF471" s="8"/>
      <c r="AG471" s="8"/>
      <c r="AH471" s="8"/>
    </row>
    <row r="472" spans="1:34" x14ac:dyDescent="0.2">
      <c r="A472" s="6">
        <f>IF('[1]Game Input'!$A472&lt;&gt;"",'[1]Game Input'!$A472,"")</f>
        <v>43550</v>
      </c>
      <c r="B472" s="6" t="str">
        <f>IF(A472&gt;$B$1,VLOOKUP(MONTH($A472),DOTWMonth,2,FALSE),"")</f>
        <v>March</v>
      </c>
      <c r="C472" s="10" t="str">
        <f>IF(A472&gt;$B$1,VLOOKUP(WEEKDAY($A472),DOTWMonth,3,FALSE),"")</f>
        <v>Tuesday</v>
      </c>
      <c r="D472" s="7">
        <f>IF('[1]Game Input'!$B472&lt;&gt;"",'[1]Game Input'!$B472,"")</f>
        <v>0.83680555555555547</v>
      </c>
      <c r="E472" s="7">
        <f>IF('[1]Game Input'!$C472&lt;&gt;"",'[1]Game Input'!$C472,"")</f>
        <v>0.79513888888888884</v>
      </c>
      <c r="F472" s="8" t="str">
        <f>IF('[1]Game Input'!$D472&lt;&gt;"",'[1]Game Input'!$D472,"")</f>
        <v>Daylight</v>
      </c>
      <c r="G472" s="8" t="str">
        <f>IF('[1]Game Input'!$G472&lt;&gt;"",'[1]Game Input'!$G472,"")</f>
        <v>SF @ WAT</v>
      </c>
      <c r="H472" s="8" t="str">
        <f>IF('[1]Game Input'!$H472&lt;&gt;"",'[1]Game Input'!$H472,"")</f>
        <v>Vs. Conference</v>
      </c>
      <c r="I472" s="8" t="str">
        <f>IF('[1]Game Input'!$I472&lt;&gt;"",'[1]Game Input'!$I472,"")</f>
        <v>SIOUX FALLS</v>
      </c>
      <c r="J472" s="9">
        <f>IF('[1]Game Input'!$AC472&lt;&gt;"",'[1]Game Input'!$AC472,"")</f>
        <v>10</v>
      </c>
      <c r="K472" s="9">
        <f>IF('[1]Game Input'!$AD472&lt;&gt;"",'[1]Game Input'!$AD472,"")</f>
        <v>5</v>
      </c>
      <c r="L472" s="9">
        <f>IF('[1]Game Input'!$AJ472&lt;&gt;"",'[1]Game Input'!$AJ472,"")</f>
        <v>0</v>
      </c>
      <c r="M472" s="9">
        <f>IF('[1]Game Input'!$AK472&lt;&gt;"",'[1]Game Input'!$AK472,"")</f>
        <v>0</v>
      </c>
      <c r="N472" s="9">
        <f>IF('[1]Game Input'!$AN472&lt;&gt;"",'[1]Game Input'!$AN472,"")</f>
        <v>5</v>
      </c>
      <c r="O472" s="9">
        <f>IF('[1]Game Input'!$AO472&lt;&gt;"",'[1]Game Input'!$AO472,"")</f>
        <v>0</v>
      </c>
      <c r="P472" s="9">
        <f>IF('[1]Game Input'!$AP472&lt;&gt;"",'[1]Game Input'!$AP472,"")</f>
        <v>0</v>
      </c>
      <c r="Q472" s="9">
        <f>IF('[1]Game Input'!$AQ472&lt;&gt;"",'[1]Game Input'!$AQ472,"")</f>
        <v>0</v>
      </c>
      <c r="R472" s="9">
        <f>IF('[1]Game Input'!$AR472&lt;&gt;"",'[1]Game Input'!$AR472,"")</f>
        <v>0</v>
      </c>
      <c r="S472" s="9">
        <f>IF('[1]Game Input'!$AS472&lt;&gt;"",'[1]Game Input'!$AS472,"")</f>
        <v>0</v>
      </c>
      <c r="T472" s="10" t="str">
        <f>IF('[1]Game Input'!$BA472&lt;&gt;"",'[1]Game Input'!$BA472,"")</f>
        <v>WATERLOO</v>
      </c>
      <c r="U472" s="9">
        <f>IF('[1]Game Input'!$BU472&lt;&gt;"",'[1]Game Input'!$BU472,"")</f>
        <v>14</v>
      </c>
      <c r="V472" s="9">
        <f>IF('[1]Game Input'!$BV472&lt;&gt;"",'[1]Game Input'!$BV472,"")</f>
        <v>7</v>
      </c>
      <c r="W472" s="9">
        <f>IF('[1]Game Input'!$CB472&lt;&gt;"",'[1]Game Input'!$CB472,"")</f>
        <v>0</v>
      </c>
      <c r="X472" s="9">
        <f>IF('[1]Game Input'!$CC472&lt;&gt;"",'[1]Game Input'!$CC472,"")</f>
        <v>0</v>
      </c>
      <c r="Y472" s="9">
        <f>IF('[1]Game Input'!$CF472&lt;&gt;"",'[1]Game Input'!$CF472,"")</f>
        <v>7</v>
      </c>
      <c r="Z472" s="9">
        <f>IF('[1]Game Input'!$CG472&lt;&gt;"",'[1]Game Input'!$CG472,"")</f>
        <v>0</v>
      </c>
      <c r="AA472" s="9">
        <f>IF('[1]Game Input'!$CH472&lt;&gt;"",'[1]Game Input'!$CH472,"")</f>
        <v>0</v>
      </c>
      <c r="AB472" s="9">
        <f>IF('[1]Game Input'!$CI472&lt;&gt;"",'[1]Game Input'!$CI472,"")</f>
        <v>0</v>
      </c>
      <c r="AC472" s="9">
        <f>IF('[1]Game Input'!$CJ472&lt;&gt;"",'[1]Game Input'!$CJ472,"")</f>
        <v>0</v>
      </c>
      <c r="AD472" s="9">
        <f>IF('[1]Game Input'!$CK472&lt;&gt;"",'[1]Game Input'!$CK472,"")</f>
        <v>0</v>
      </c>
      <c r="AE472" s="8"/>
      <c r="AF472" s="8"/>
      <c r="AG472" s="8"/>
      <c r="AH472" s="8"/>
    </row>
    <row r="473" spans="1:34" x14ac:dyDescent="0.2">
      <c r="A473" s="6">
        <f>IF('[1]Game Input'!$A473&lt;&gt;"",'[1]Game Input'!$A473,"")</f>
        <v>43551</v>
      </c>
      <c r="B473" s="6" t="str">
        <f>IF(A473&gt;$B$1,VLOOKUP(MONTH($A473),DOTWMonth,2,FALSE),"")</f>
        <v>March</v>
      </c>
      <c r="C473" s="10" t="str">
        <f>IF(A473&gt;$B$1,VLOOKUP(WEEKDAY($A473),DOTWMonth,3,FALSE),"")</f>
        <v>Wednesday</v>
      </c>
      <c r="D473" s="7">
        <f>IF('[1]Game Input'!$B473&lt;&gt;"",'[1]Game Input'!$B473,"")</f>
        <v>0.41666666666666669</v>
      </c>
      <c r="E473" s="7">
        <f>IF('[1]Game Input'!$C473&lt;&gt;"",'[1]Game Input'!$C473,"")</f>
        <v>0.37500000000000006</v>
      </c>
      <c r="F473" s="8" t="str">
        <f>IF('[1]Game Input'!$D473&lt;&gt;"",'[1]Game Input'!$D473,"")</f>
        <v>Daylight</v>
      </c>
      <c r="G473" s="8" t="str">
        <f>IF('[1]Game Input'!$G473&lt;&gt;"",'[1]Game Input'!$G473,"")</f>
        <v>USA @ YNG</v>
      </c>
      <c r="H473" s="8" t="str">
        <f>IF('[1]Game Input'!$H473&lt;&gt;"",'[1]Game Input'!$H473,"")</f>
        <v>Vs. Conference</v>
      </c>
      <c r="I473" s="8" t="str">
        <f>IF('[1]Game Input'!$I473&lt;&gt;"",'[1]Game Input'!$I473,"")</f>
        <v>TEAM USA</v>
      </c>
      <c r="J473" s="9">
        <f>IF('[1]Game Input'!$AC473&lt;&gt;"",'[1]Game Input'!$AC473,"")</f>
        <v>10</v>
      </c>
      <c r="K473" s="9">
        <f>IF('[1]Game Input'!$AD473&lt;&gt;"",'[1]Game Input'!$AD473,"")</f>
        <v>5</v>
      </c>
      <c r="L473" s="9">
        <f>IF('[1]Game Input'!$AJ473&lt;&gt;"",'[1]Game Input'!$AJ473,"")</f>
        <v>0</v>
      </c>
      <c r="M473" s="9">
        <f>IF('[1]Game Input'!$AK473&lt;&gt;"",'[1]Game Input'!$AK473,"")</f>
        <v>0</v>
      </c>
      <c r="N473" s="9">
        <f>IF('[1]Game Input'!$AN473&lt;&gt;"",'[1]Game Input'!$AN473,"")</f>
        <v>5</v>
      </c>
      <c r="O473" s="9">
        <f>IF('[1]Game Input'!$AO473&lt;&gt;"",'[1]Game Input'!$AO473,"")</f>
        <v>0</v>
      </c>
      <c r="P473" s="9">
        <f>IF('[1]Game Input'!$AP473&lt;&gt;"",'[1]Game Input'!$AP473,"")</f>
        <v>0</v>
      </c>
      <c r="Q473" s="9">
        <f>IF('[1]Game Input'!$AQ473&lt;&gt;"",'[1]Game Input'!$AQ473,"")</f>
        <v>0</v>
      </c>
      <c r="R473" s="9">
        <f>IF('[1]Game Input'!$AR473&lt;&gt;"",'[1]Game Input'!$AR473,"")</f>
        <v>0</v>
      </c>
      <c r="S473" s="9">
        <f>IF('[1]Game Input'!$AS473&lt;&gt;"",'[1]Game Input'!$AS473,"")</f>
        <v>0</v>
      </c>
      <c r="T473" s="10" t="str">
        <f>IF('[1]Game Input'!$BA473&lt;&gt;"",'[1]Game Input'!$BA473,"")</f>
        <v>YOUNGSTOWN</v>
      </c>
      <c r="U473" s="9">
        <f>IF('[1]Game Input'!$BU473&lt;&gt;"",'[1]Game Input'!$BU473,"")</f>
        <v>8</v>
      </c>
      <c r="V473" s="9">
        <f>IF('[1]Game Input'!$BV473&lt;&gt;"",'[1]Game Input'!$BV473,"")</f>
        <v>4</v>
      </c>
      <c r="W473" s="9">
        <f>IF('[1]Game Input'!$CB473&lt;&gt;"",'[1]Game Input'!$CB473,"")</f>
        <v>0</v>
      </c>
      <c r="X473" s="9">
        <f>IF('[1]Game Input'!$CC473&lt;&gt;"",'[1]Game Input'!$CC473,"")</f>
        <v>0</v>
      </c>
      <c r="Y473" s="9">
        <f>IF('[1]Game Input'!$CF473&lt;&gt;"",'[1]Game Input'!$CF473,"")</f>
        <v>4</v>
      </c>
      <c r="Z473" s="9">
        <f>IF('[1]Game Input'!$CG473&lt;&gt;"",'[1]Game Input'!$CG473,"")</f>
        <v>0</v>
      </c>
      <c r="AA473" s="9">
        <f>IF('[1]Game Input'!$CH473&lt;&gt;"",'[1]Game Input'!$CH473,"")</f>
        <v>0</v>
      </c>
      <c r="AB473" s="9">
        <f>IF('[1]Game Input'!$CI473&lt;&gt;"",'[1]Game Input'!$CI473,"")</f>
        <v>0</v>
      </c>
      <c r="AC473" s="9">
        <f>IF('[1]Game Input'!$CJ473&lt;&gt;"",'[1]Game Input'!$CJ473,"")</f>
        <v>0</v>
      </c>
      <c r="AD473" s="9">
        <f>IF('[1]Game Input'!$CK473&lt;&gt;"",'[1]Game Input'!$CK473,"")</f>
        <v>0</v>
      </c>
      <c r="AE473" s="8"/>
      <c r="AF473" s="8"/>
      <c r="AG473" s="8"/>
      <c r="AH473" s="8"/>
    </row>
    <row r="474" spans="1:34" x14ac:dyDescent="0.2">
      <c r="A474" s="6">
        <f>IF('[1]Game Input'!$A474&lt;&gt;"",'[1]Game Input'!$A474,"")</f>
        <v>43551</v>
      </c>
      <c r="B474" s="6" t="str">
        <f>IF(A474&gt;$B$1,VLOOKUP(MONTH($A474),DOTWMonth,2,FALSE),"")</f>
        <v>March</v>
      </c>
      <c r="C474" s="10" t="str">
        <f>IF(A474&gt;$B$1,VLOOKUP(WEEKDAY($A474),DOTWMonth,3,FALSE),"")</f>
        <v>Wednesday</v>
      </c>
      <c r="D474" s="7">
        <f>IF('[1]Game Input'!$B474&lt;&gt;"",'[1]Game Input'!$B474,"")</f>
        <v>0.83680555555555547</v>
      </c>
      <c r="E474" s="7">
        <f>IF('[1]Game Input'!$C474&lt;&gt;"",'[1]Game Input'!$C474,"")</f>
        <v>0.79513888888888884</v>
      </c>
      <c r="F474" s="8" t="str">
        <f>IF('[1]Game Input'!$D474&lt;&gt;"",'[1]Game Input'!$D474,"")</f>
        <v>Daylight</v>
      </c>
      <c r="G474" s="8" t="str">
        <f>IF('[1]Game Input'!$G474&lt;&gt;"",'[1]Game Input'!$G474,"")</f>
        <v>CHI @ CR</v>
      </c>
      <c r="H474" s="8" t="str">
        <f>IF('[1]Game Input'!$H474&lt;&gt;"",'[1]Game Input'!$H474,"")</f>
        <v>Vs. Conference</v>
      </c>
      <c r="I474" s="8" t="str">
        <f>IF('[1]Game Input'!$I474&lt;&gt;"",'[1]Game Input'!$I474,"")</f>
        <v>CHICAGO</v>
      </c>
      <c r="J474" s="9">
        <f>IF('[1]Game Input'!$AC474&lt;&gt;"",'[1]Game Input'!$AC474,"")</f>
        <v>2</v>
      </c>
      <c r="K474" s="9">
        <f>IF('[1]Game Input'!$AD474&lt;&gt;"",'[1]Game Input'!$AD474,"")</f>
        <v>1</v>
      </c>
      <c r="L474" s="9">
        <f>IF('[1]Game Input'!$AJ474&lt;&gt;"",'[1]Game Input'!$AJ474,"")</f>
        <v>0</v>
      </c>
      <c r="M474" s="9">
        <f>IF('[1]Game Input'!$AK474&lt;&gt;"",'[1]Game Input'!$AK474,"")</f>
        <v>0</v>
      </c>
      <c r="N474" s="9">
        <f>IF('[1]Game Input'!$AN474&lt;&gt;"",'[1]Game Input'!$AN474,"")</f>
        <v>1</v>
      </c>
      <c r="O474" s="9">
        <f>IF('[1]Game Input'!$AO474&lt;&gt;"",'[1]Game Input'!$AO474,"")</f>
        <v>0</v>
      </c>
      <c r="P474" s="9">
        <f>IF('[1]Game Input'!$AP474&lt;&gt;"",'[1]Game Input'!$AP474,"")</f>
        <v>0</v>
      </c>
      <c r="Q474" s="9">
        <f>IF('[1]Game Input'!$AQ474&lt;&gt;"",'[1]Game Input'!$AQ474,"")</f>
        <v>0</v>
      </c>
      <c r="R474" s="9">
        <f>IF('[1]Game Input'!$AR474&lt;&gt;"",'[1]Game Input'!$AR474,"")</f>
        <v>0</v>
      </c>
      <c r="S474" s="9">
        <f>IF('[1]Game Input'!$AS474&lt;&gt;"",'[1]Game Input'!$AS474,"")</f>
        <v>0</v>
      </c>
      <c r="T474" s="10" t="str">
        <f>IF('[1]Game Input'!$BA474&lt;&gt;"",'[1]Game Input'!$BA474,"")</f>
        <v>CEDAR RAPIDS</v>
      </c>
      <c r="U474" s="9">
        <f>IF('[1]Game Input'!$BU474&lt;&gt;"",'[1]Game Input'!$BU474,"")</f>
        <v>0</v>
      </c>
      <c r="V474" s="9">
        <f>IF('[1]Game Input'!$BV474&lt;&gt;"",'[1]Game Input'!$BV474,"")</f>
        <v>0</v>
      </c>
      <c r="W474" s="9">
        <f>IF('[1]Game Input'!$CB474&lt;&gt;"",'[1]Game Input'!$CB474,"")</f>
        <v>0</v>
      </c>
      <c r="X474" s="9">
        <f>IF('[1]Game Input'!$CC474&lt;&gt;"",'[1]Game Input'!$CC474,"")</f>
        <v>0</v>
      </c>
      <c r="Y474" s="9">
        <f>IF('[1]Game Input'!$CF474&lt;&gt;"",'[1]Game Input'!$CF474,"")</f>
        <v>0</v>
      </c>
      <c r="Z474" s="9">
        <f>IF('[1]Game Input'!$CG474&lt;&gt;"",'[1]Game Input'!$CG474,"")</f>
        <v>0</v>
      </c>
      <c r="AA474" s="9">
        <f>IF('[1]Game Input'!$CH474&lt;&gt;"",'[1]Game Input'!$CH474,"")</f>
        <v>0</v>
      </c>
      <c r="AB474" s="9">
        <f>IF('[1]Game Input'!$CI474&lt;&gt;"",'[1]Game Input'!$CI474,"")</f>
        <v>0</v>
      </c>
      <c r="AC474" s="9">
        <f>IF('[1]Game Input'!$CJ474&lt;&gt;"",'[1]Game Input'!$CJ474,"")</f>
        <v>0</v>
      </c>
      <c r="AD474" s="9">
        <f>IF('[1]Game Input'!$CK474&lt;&gt;"",'[1]Game Input'!$CK474,"")</f>
        <v>0</v>
      </c>
      <c r="AE474" s="8" t="s">
        <v>97</v>
      </c>
      <c r="AF474" s="8" t="s">
        <v>99</v>
      </c>
      <c r="AG474" s="8" t="s">
        <v>111</v>
      </c>
      <c r="AH474" s="8" t="s">
        <v>115</v>
      </c>
    </row>
    <row r="475" spans="1:34" x14ac:dyDescent="0.2">
      <c r="A475" s="6">
        <f>IF('[1]Game Input'!$A475&lt;&gt;"",'[1]Game Input'!$A475,"")</f>
        <v>43553</v>
      </c>
      <c r="B475" s="6" t="str">
        <f>IF(A475&gt;$B$1,VLOOKUP(MONTH($A475),DOTWMonth,2,FALSE),"")</f>
        <v>March</v>
      </c>
      <c r="C475" s="10" t="str">
        <f>IF(A475&gt;$B$1,VLOOKUP(WEEKDAY($A475),DOTWMonth,3,FALSE),"")</f>
        <v>Friday</v>
      </c>
      <c r="D475" s="7">
        <f>IF('[1]Game Input'!$B475&lt;&gt;"",'[1]Game Input'!$B475,"")</f>
        <v>0.79166666666666663</v>
      </c>
      <c r="E475" s="7">
        <f>IF('[1]Game Input'!$C475&lt;&gt;"",'[1]Game Input'!$C475,"")</f>
        <v>0.75</v>
      </c>
      <c r="F475" s="8" t="str">
        <f>IF('[1]Game Input'!$D475&lt;&gt;"",'[1]Game Input'!$D475,"")</f>
        <v>Daylight</v>
      </c>
      <c r="G475" s="8" t="str">
        <f>IF('[1]Game Input'!$G475&lt;&gt;"",'[1]Game Input'!$G475,"")</f>
        <v>YNG @ USA</v>
      </c>
      <c r="H475" s="8" t="str">
        <f>IF('[1]Game Input'!$H475&lt;&gt;"",'[1]Game Input'!$H475,"")</f>
        <v>Vs. Conference</v>
      </c>
      <c r="I475" s="8" t="str">
        <f>IF('[1]Game Input'!$I475&lt;&gt;"",'[1]Game Input'!$I475,"")</f>
        <v>YOUNGSTOWN</v>
      </c>
      <c r="J475" s="9">
        <f>IF('[1]Game Input'!$AC475&lt;&gt;"",'[1]Game Input'!$AC475,"")</f>
        <v>4</v>
      </c>
      <c r="K475" s="9">
        <f>IF('[1]Game Input'!$AD475&lt;&gt;"",'[1]Game Input'!$AD475,"")</f>
        <v>2</v>
      </c>
      <c r="L475" s="9">
        <f>IF('[1]Game Input'!$AJ475&lt;&gt;"",'[1]Game Input'!$AJ475,"")</f>
        <v>0</v>
      </c>
      <c r="M475" s="9">
        <f>IF('[1]Game Input'!$AK475&lt;&gt;"",'[1]Game Input'!$AK475,"")</f>
        <v>0</v>
      </c>
      <c r="N475" s="9">
        <f>IF('[1]Game Input'!$AN475&lt;&gt;"",'[1]Game Input'!$AN475,"")</f>
        <v>2</v>
      </c>
      <c r="O475" s="9">
        <f>IF('[1]Game Input'!$AO475&lt;&gt;"",'[1]Game Input'!$AO475,"")</f>
        <v>0</v>
      </c>
      <c r="P475" s="9">
        <f>IF('[1]Game Input'!$AP475&lt;&gt;"",'[1]Game Input'!$AP475,"")</f>
        <v>0</v>
      </c>
      <c r="Q475" s="9">
        <f>IF('[1]Game Input'!$AQ475&lt;&gt;"",'[1]Game Input'!$AQ475,"")</f>
        <v>0</v>
      </c>
      <c r="R475" s="9">
        <f>IF('[1]Game Input'!$AR475&lt;&gt;"",'[1]Game Input'!$AR475,"")</f>
        <v>0</v>
      </c>
      <c r="S475" s="9">
        <f>IF('[1]Game Input'!$AS475&lt;&gt;"",'[1]Game Input'!$AS475,"")</f>
        <v>0</v>
      </c>
      <c r="T475" s="10" t="str">
        <f>IF('[1]Game Input'!$BA475&lt;&gt;"",'[1]Game Input'!$BA475,"")</f>
        <v>TEAM USA</v>
      </c>
      <c r="U475" s="9">
        <f>IF('[1]Game Input'!$BU475&lt;&gt;"",'[1]Game Input'!$BU475,"")</f>
        <v>10</v>
      </c>
      <c r="V475" s="9">
        <f>IF('[1]Game Input'!$BV475&lt;&gt;"",'[1]Game Input'!$BV475,"")</f>
        <v>5</v>
      </c>
      <c r="W475" s="9">
        <f>IF('[1]Game Input'!$CB475&lt;&gt;"",'[1]Game Input'!$CB475,"")</f>
        <v>0</v>
      </c>
      <c r="X475" s="9">
        <f>IF('[1]Game Input'!$CC475&lt;&gt;"",'[1]Game Input'!$CC475,"")</f>
        <v>0</v>
      </c>
      <c r="Y475" s="9">
        <f>IF('[1]Game Input'!$CF475&lt;&gt;"",'[1]Game Input'!$CF475,"")</f>
        <v>5</v>
      </c>
      <c r="Z475" s="9">
        <f>IF('[1]Game Input'!$CG475&lt;&gt;"",'[1]Game Input'!$CG475,"")</f>
        <v>0</v>
      </c>
      <c r="AA475" s="9">
        <f>IF('[1]Game Input'!$CH475&lt;&gt;"",'[1]Game Input'!$CH475,"")</f>
        <v>0</v>
      </c>
      <c r="AB475" s="9">
        <f>IF('[1]Game Input'!$CI475&lt;&gt;"",'[1]Game Input'!$CI475,"")</f>
        <v>0</v>
      </c>
      <c r="AC475" s="9">
        <f>IF('[1]Game Input'!$CJ475&lt;&gt;"",'[1]Game Input'!$CJ475,"")</f>
        <v>0</v>
      </c>
      <c r="AD475" s="9">
        <f>IF('[1]Game Input'!$CK475&lt;&gt;"",'[1]Game Input'!$CK475,"")</f>
        <v>0</v>
      </c>
      <c r="AE475" s="8"/>
      <c r="AF475" s="8"/>
      <c r="AG475" s="8"/>
      <c r="AH475" s="8"/>
    </row>
    <row r="476" spans="1:34" x14ac:dyDescent="0.2">
      <c r="A476" s="6">
        <f>IF('[1]Game Input'!$A476&lt;&gt;"",'[1]Game Input'!$A476,"")</f>
        <v>43553</v>
      </c>
      <c r="B476" s="6" t="str">
        <f>IF(A476&gt;$B$1,VLOOKUP(MONTH($A476),DOTWMonth,2,FALSE),"")</f>
        <v>March</v>
      </c>
      <c r="C476" s="10" t="str">
        <f>IF(A476&gt;$B$1,VLOOKUP(WEEKDAY($A476),DOTWMonth,3,FALSE),"")</f>
        <v>Friday</v>
      </c>
      <c r="D476" s="7">
        <f>IF('[1]Game Input'!$B476&lt;&gt;"",'[1]Game Input'!$B476,"")</f>
        <v>0.80208333333333337</v>
      </c>
      <c r="E476" s="7">
        <f>IF('[1]Game Input'!$C476&lt;&gt;"",'[1]Game Input'!$C476,"")</f>
        <v>0.76041666666666674</v>
      </c>
      <c r="F476" s="8" t="str">
        <f>IF('[1]Game Input'!$D476&lt;&gt;"",'[1]Game Input'!$D476,"")</f>
        <v>Daylight</v>
      </c>
      <c r="G476" s="8" t="str">
        <f>IF('[1]Game Input'!$G476&lt;&gt;"",'[1]Game Input'!$G476,"")</f>
        <v>WAT @ MUS</v>
      </c>
      <c r="H476" s="8" t="str">
        <f>IF('[1]Game Input'!$H476&lt;&gt;"",'[1]Game Input'!$H476,"")</f>
        <v>Vs. Non-Conference</v>
      </c>
      <c r="I476" s="8" t="str">
        <f>IF('[1]Game Input'!$I476&lt;&gt;"",'[1]Game Input'!$I476,"")</f>
        <v>WATERLOO</v>
      </c>
      <c r="J476" s="9">
        <f>IF('[1]Game Input'!$AC476&lt;&gt;"",'[1]Game Input'!$AC476,"")</f>
        <v>16</v>
      </c>
      <c r="K476" s="9">
        <f>IF('[1]Game Input'!$AD476&lt;&gt;"",'[1]Game Input'!$AD476,"")</f>
        <v>8</v>
      </c>
      <c r="L476" s="9">
        <f>IF('[1]Game Input'!$AJ476&lt;&gt;"",'[1]Game Input'!$AJ476,"")</f>
        <v>0</v>
      </c>
      <c r="M476" s="9">
        <f>IF('[1]Game Input'!$AK476&lt;&gt;"",'[1]Game Input'!$AK476,"")</f>
        <v>0</v>
      </c>
      <c r="N476" s="9">
        <f>IF('[1]Game Input'!$AN476&lt;&gt;"",'[1]Game Input'!$AN476,"")</f>
        <v>8</v>
      </c>
      <c r="O476" s="9">
        <f>IF('[1]Game Input'!$AO476&lt;&gt;"",'[1]Game Input'!$AO476,"")</f>
        <v>0</v>
      </c>
      <c r="P476" s="9">
        <f>IF('[1]Game Input'!$AP476&lt;&gt;"",'[1]Game Input'!$AP476,"")</f>
        <v>0</v>
      </c>
      <c r="Q476" s="9">
        <f>IF('[1]Game Input'!$AQ476&lt;&gt;"",'[1]Game Input'!$AQ476,"")</f>
        <v>0</v>
      </c>
      <c r="R476" s="9">
        <f>IF('[1]Game Input'!$AR476&lt;&gt;"",'[1]Game Input'!$AR476,"")</f>
        <v>0</v>
      </c>
      <c r="S476" s="9">
        <f>IF('[1]Game Input'!$AS476&lt;&gt;"",'[1]Game Input'!$AS476,"")</f>
        <v>0</v>
      </c>
      <c r="T476" s="10" t="str">
        <f>IF('[1]Game Input'!$BA476&lt;&gt;"",'[1]Game Input'!$BA476,"")</f>
        <v>MUSKEGON</v>
      </c>
      <c r="U476" s="9">
        <f>IF('[1]Game Input'!$BU476&lt;&gt;"",'[1]Game Input'!$BU476,"")</f>
        <v>29</v>
      </c>
      <c r="V476" s="9">
        <f>IF('[1]Game Input'!$BV476&lt;&gt;"",'[1]Game Input'!$BV476,"")</f>
        <v>9</v>
      </c>
      <c r="W476" s="9">
        <f>IF('[1]Game Input'!$CB476&lt;&gt;"",'[1]Game Input'!$CB476,"")</f>
        <v>0</v>
      </c>
      <c r="X476" s="9">
        <f>IF('[1]Game Input'!$CC476&lt;&gt;"",'[1]Game Input'!$CC476,"")</f>
        <v>0</v>
      </c>
      <c r="Y476" s="9">
        <f>IF('[1]Game Input'!$CF476&lt;&gt;"",'[1]Game Input'!$CF476,"")</f>
        <v>7</v>
      </c>
      <c r="Z476" s="9">
        <f>IF('[1]Game Input'!$CG476&lt;&gt;"",'[1]Game Input'!$CG476,"")</f>
        <v>1</v>
      </c>
      <c r="AA476" s="9">
        <f>IF('[1]Game Input'!$CH476&lt;&gt;"",'[1]Game Input'!$CH476,"")</f>
        <v>0</v>
      </c>
      <c r="AB476" s="9">
        <f>IF('[1]Game Input'!$CI476&lt;&gt;"",'[1]Game Input'!$CI476,"")</f>
        <v>1</v>
      </c>
      <c r="AC476" s="9">
        <f>IF('[1]Game Input'!$CJ476&lt;&gt;"",'[1]Game Input'!$CJ476,"")</f>
        <v>0</v>
      </c>
      <c r="AD476" s="9">
        <f>IF('[1]Game Input'!$CK476&lt;&gt;"",'[1]Game Input'!$CK476,"")</f>
        <v>0</v>
      </c>
      <c r="AE476" s="8"/>
      <c r="AF476" s="8"/>
      <c r="AG476" s="8"/>
      <c r="AH476" s="8"/>
    </row>
    <row r="477" spans="1:34" x14ac:dyDescent="0.2">
      <c r="A477" s="6">
        <f>IF('[1]Game Input'!$A477&lt;&gt;"",'[1]Game Input'!$A477,"")</f>
        <v>43553</v>
      </c>
      <c r="B477" s="6" t="str">
        <f>IF(A477&gt;$B$1,VLOOKUP(MONTH($A477),DOTWMonth,2,FALSE),"")</f>
        <v>March</v>
      </c>
      <c r="C477" s="10" t="str">
        <f>IF(A477&gt;$B$1,VLOOKUP(WEEKDAY($A477),DOTWMonth,3,FALSE),"")</f>
        <v>Friday</v>
      </c>
      <c r="D477" s="7">
        <f>IF('[1]Game Input'!$B477&lt;&gt;"",'[1]Game Input'!$B477,"")</f>
        <v>0.83680555555555547</v>
      </c>
      <c r="E477" s="7">
        <f>IF('[1]Game Input'!$C477&lt;&gt;"",'[1]Game Input'!$C477,"")</f>
        <v>0.79513888888888884</v>
      </c>
      <c r="F477" s="8" t="str">
        <f>IF('[1]Game Input'!$D477&lt;&gt;"",'[1]Game Input'!$D477,"")</f>
        <v>Daylight</v>
      </c>
      <c r="G477" s="8" t="str">
        <f>IF('[1]Game Input'!$G477&lt;&gt;"",'[1]Game Input'!$G477,"")</f>
        <v>DUB @ CR</v>
      </c>
      <c r="H477" s="8" t="str">
        <f>IF('[1]Game Input'!$H477&lt;&gt;"",'[1]Game Input'!$H477,"")</f>
        <v>Vs. Conference</v>
      </c>
      <c r="I477" s="8" t="str">
        <f>IF('[1]Game Input'!$I477&lt;&gt;"",'[1]Game Input'!$I477,"")</f>
        <v>DUBUQUE</v>
      </c>
      <c r="J477" s="9">
        <f>IF('[1]Game Input'!$AC477&lt;&gt;"",'[1]Game Input'!$AC477,"")</f>
        <v>2</v>
      </c>
      <c r="K477" s="9">
        <f>IF('[1]Game Input'!$AD477&lt;&gt;"",'[1]Game Input'!$AD477,"")</f>
        <v>1</v>
      </c>
      <c r="L477" s="9">
        <f>IF('[1]Game Input'!$AJ477&lt;&gt;"",'[1]Game Input'!$AJ477,"")</f>
        <v>0</v>
      </c>
      <c r="M477" s="9">
        <f>IF('[1]Game Input'!$AK477&lt;&gt;"",'[1]Game Input'!$AK477,"")</f>
        <v>0</v>
      </c>
      <c r="N477" s="9">
        <f>IF('[1]Game Input'!$AN477&lt;&gt;"",'[1]Game Input'!$AN477,"")</f>
        <v>1</v>
      </c>
      <c r="O477" s="9">
        <f>IF('[1]Game Input'!$AO477&lt;&gt;"",'[1]Game Input'!$AO477,"")</f>
        <v>0</v>
      </c>
      <c r="P477" s="9">
        <f>IF('[1]Game Input'!$AP477&lt;&gt;"",'[1]Game Input'!$AP477,"")</f>
        <v>0</v>
      </c>
      <c r="Q477" s="9">
        <f>IF('[1]Game Input'!$AQ477&lt;&gt;"",'[1]Game Input'!$AQ477,"")</f>
        <v>0</v>
      </c>
      <c r="R477" s="9">
        <f>IF('[1]Game Input'!$AR477&lt;&gt;"",'[1]Game Input'!$AR477,"")</f>
        <v>0</v>
      </c>
      <c r="S477" s="9">
        <f>IF('[1]Game Input'!$AS477&lt;&gt;"",'[1]Game Input'!$AS477,"")</f>
        <v>0</v>
      </c>
      <c r="T477" s="10" t="str">
        <f>IF('[1]Game Input'!$BA477&lt;&gt;"",'[1]Game Input'!$BA477,"")</f>
        <v>CEDAR RAPIDS</v>
      </c>
      <c r="U477" s="9">
        <f>IF('[1]Game Input'!$BU477&lt;&gt;"",'[1]Game Input'!$BU477,"")</f>
        <v>4</v>
      </c>
      <c r="V477" s="9">
        <f>IF('[1]Game Input'!$BV477&lt;&gt;"",'[1]Game Input'!$BV477,"")</f>
        <v>2</v>
      </c>
      <c r="W477" s="9">
        <f>IF('[1]Game Input'!$CB477&lt;&gt;"",'[1]Game Input'!$CB477,"")</f>
        <v>0</v>
      </c>
      <c r="X477" s="9">
        <f>IF('[1]Game Input'!$CC477&lt;&gt;"",'[1]Game Input'!$CC477,"")</f>
        <v>0</v>
      </c>
      <c r="Y477" s="9">
        <f>IF('[1]Game Input'!$CF477&lt;&gt;"",'[1]Game Input'!$CF477,"")</f>
        <v>2</v>
      </c>
      <c r="Z477" s="9">
        <f>IF('[1]Game Input'!$CG477&lt;&gt;"",'[1]Game Input'!$CG477,"")</f>
        <v>0</v>
      </c>
      <c r="AA477" s="9">
        <f>IF('[1]Game Input'!$CH477&lt;&gt;"",'[1]Game Input'!$CH477,"")</f>
        <v>0</v>
      </c>
      <c r="AB477" s="9">
        <f>IF('[1]Game Input'!$CI477&lt;&gt;"",'[1]Game Input'!$CI477,"")</f>
        <v>0</v>
      </c>
      <c r="AC477" s="9">
        <f>IF('[1]Game Input'!$CJ477&lt;&gt;"",'[1]Game Input'!$CJ477,"")</f>
        <v>0</v>
      </c>
      <c r="AD477" s="9">
        <f>IF('[1]Game Input'!$CK477&lt;&gt;"",'[1]Game Input'!$CK477,"")</f>
        <v>0</v>
      </c>
      <c r="AE477" s="8" t="s">
        <v>94</v>
      </c>
      <c r="AF477" s="8"/>
      <c r="AG477" s="8" t="s">
        <v>120</v>
      </c>
      <c r="AH477" s="8" t="s">
        <v>113</v>
      </c>
    </row>
    <row r="478" spans="1:34" x14ac:dyDescent="0.2">
      <c r="A478" s="6">
        <f>IF('[1]Game Input'!$A478&lt;&gt;"",'[1]Game Input'!$A478,"")</f>
        <v>43553</v>
      </c>
      <c r="B478" s="6" t="str">
        <f>IF(A478&gt;$B$1,VLOOKUP(MONTH($A478),DOTWMonth,2,FALSE),"")</f>
        <v>March</v>
      </c>
      <c r="C478" s="10" t="str">
        <f>IF(A478&gt;$B$1,VLOOKUP(WEEKDAY($A478),DOTWMonth,3,FALSE),"")</f>
        <v>Friday</v>
      </c>
      <c r="D478" s="7">
        <f>IF('[1]Game Input'!$B478&lt;&gt;"",'[1]Game Input'!$B478,"")</f>
        <v>0.83680555555555547</v>
      </c>
      <c r="E478" s="7">
        <f>IF('[1]Game Input'!$C478&lt;&gt;"",'[1]Game Input'!$C478,"")</f>
        <v>0.79513888888888884</v>
      </c>
      <c r="F478" s="8" t="str">
        <f>IF('[1]Game Input'!$D478&lt;&gt;"",'[1]Game Input'!$D478,"")</f>
        <v>Daylight</v>
      </c>
      <c r="G478" s="8" t="str">
        <f>IF('[1]Game Input'!$G478&lt;&gt;"",'[1]Game Input'!$G478,"")</f>
        <v>MAD @ CHI</v>
      </c>
      <c r="H478" s="8" t="str">
        <f>IF('[1]Game Input'!$H478&lt;&gt;"",'[1]Game Input'!$H478,"")</f>
        <v>Vs. Conference</v>
      </c>
      <c r="I478" s="8" t="str">
        <f>IF('[1]Game Input'!$I478&lt;&gt;"",'[1]Game Input'!$I478,"")</f>
        <v>MADISON</v>
      </c>
      <c r="J478" s="9">
        <f>IF('[1]Game Input'!$AC478&lt;&gt;"",'[1]Game Input'!$AC478,"")</f>
        <v>8</v>
      </c>
      <c r="K478" s="9">
        <f>IF('[1]Game Input'!$AD478&lt;&gt;"",'[1]Game Input'!$AD478,"")</f>
        <v>4</v>
      </c>
      <c r="L478" s="9">
        <f>IF('[1]Game Input'!$AJ478&lt;&gt;"",'[1]Game Input'!$AJ478,"")</f>
        <v>0</v>
      </c>
      <c r="M478" s="9">
        <f>IF('[1]Game Input'!$AK478&lt;&gt;"",'[1]Game Input'!$AK478,"")</f>
        <v>0</v>
      </c>
      <c r="N478" s="9">
        <f>IF('[1]Game Input'!$AN478&lt;&gt;"",'[1]Game Input'!$AN478,"")</f>
        <v>4</v>
      </c>
      <c r="O478" s="9">
        <f>IF('[1]Game Input'!$AO478&lt;&gt;"",'[1]Game Input'!$AO478,"")</f>
        <v>0</v>
      </c>
      <c r="P478" s="9">
        <f>IF('[1]Game Input'!$AP478&lt;&gt;"",'[1]Game Input'!$AP478,"")</f>
        <v>0</v>
      </c>
      <c r="Q478" s="9">
        <f>IF('[1]Game Input'!$AQ478&lt;&gt;"",'[1]Game Input'!$AQ478,"")</f>
        <v>0</v>
      </c>
      <c r="R478" s="9">
        <f>IF('[1]Game Input'!$AR478&lt;&gt;"",'[1]Game Input'!$AR478,"")</f>
        <v>0</v>
      </c>
      <c r="S478" s="9">
        <f>IF('[1]Game Input'!$AS478&lt;&gt;"",'[1]Game Input'!$AS478,"")</f>
        <v>0</v>
      </c>
      <c r="T478" s="10" t="str">
        <f>IF('[1]Game Input'!$BA478&lt;&gt;"",'[1]Game Input'!$BA478,"")</f>
        <v>CHICAGO</v>
      </c>
      <c r="U478" s="9">
        <f>IF('[1]Game Input'!$BU478&lt;&gt;"",'[1]Game Input'!$BU478,"")</f>
        <v>8</v>
      </c>
      <c r="V478" s="9">
        <f>IF('[1]Game Input'!$BV478&lt;&gt;"",'[1]Game Input'!$BV478,"")</f>
        <v>4</v>
      </c>
      <c r="W478" s="9">
        <f>IF('[1]Game Input'!$CB478&lt;&gt;"",'[1]Game Input'!$CB478,"")</f>
        <v>0</v>
      </c>
      <c r="X478" s="9">
        <f>IF('[1]Game Input'!$CC478&lt;&gt;"",'[1]Game Input'!$CC478,"")</f>
        <v>0</v>
      </c>
      <c r="Y478" s="9">
        <f>IF('[1]Game Input'!$CF478&lt;&gt;"",'[1]Game Input'!$CF478,"")</f>
        <v>4</v>
      </c>
      <c r="Z478" s="9">
        <f>IF('[1]Game Input'!$CG478&lt;&gt;"",'[1]Game Input'!$CG478,"")</f>
        <v>0</v>
      </c>
      <c r="AA478" s="9">
        <f>IF('[1]Game Input'!$CH478&lt;&gt;"",'[1]Game Input'!$CH478,"")</f>
        <v>0</v>
      </c>
      <c r="AB478" s="9">
        <f>IF('[1]Game Input'!$CI478&lt;&gt;"",'[1]Game Input'!$CI478,"")</f>
        <v>0</v>
      </c>
      <c r="AC478" s="9">
        <f>IF('[1]Game Input'!$CJ478&lt;&gt;"",'[1]Game Input'!$CJ478,"")</f>
        <v>0</v>
      </c>
      <c r="AD478" s="9">
        <f>IF('[1]Game Input'!$CK478&lt;&gt;"",'[1]Game Input'!$CK478,"")</f>
        <v>0</v>
      </c>
      <c r="AE478" s="8"/>
      <c r="AF478" s="8"/>
      <c r="AG478" s="8"/>
      <c r="AH478" s="8"/>
    </row>
    <row r="479" spans="1:34" x14ac:dyDescent="0.2">
      <c r="A479" s="6">
        <f>IF('[1]Game Input'!$A479&lt;&gt;"",'[1]Game Input'!$A479,"")</f>
        <v>43553</v>
      </c>
      <c r="B479" s="6" t="str">
        <f>IF(A479&gt;$B$1,VLOOKUP(MONTH($A479),DOTWMonth,2,FALSE),"")</f>
        <v>March</v>
      </c>
      <c r="C479" s="10" t="str">
        <f>IF(A479&gt;$B$1,VLOOKUP(WEEKDAY($A479),DOTWMonth,3,FALSE),"")</f>
        <v>Friday</v>
      </c>
      <c r="D479" s="7">
        <f>IF('[1]Game Input'!$B479&lt;&gt;"",'[1]Game Input'!$B479,"")</f>
        <v>0.83680555555555547</v>
      </c>
      <c r="E479" s="7">
        <f>IF('[1]Game Input'!$C479&lt;&gt;"",'[1]Game Input'!$C479,"")</f>
        <v>0.79513888888888884</v>
      </c>
      <c r="F479" s="8" t="str">
        <f>IF('[1]Game Input'!$D479&lt;&gt;"",'[1]Game Input'!$D479,"")</f>
        <v>Daylight</v>
      </c>
      <c r="G479" s="8" t="str">
        <f>IF('[1]Game Input'!$G479&lt;&gt;"",'[1]Game Input'!$G479,"")</f>
        <v>LIN @ DM</v>
      </c>
      <c r="H479" s="8" t="str">
        <f>IF('[1]Game Input'!$H479&lt;&gt;"",'[1]Game Input'!$H479,"")</f>
        <v>Vs. Conference</v>
      </c>
      <c r="I479" s="8" t="str">
        <f>IF('[1]Game Input'!$I479&lt;&gt;"",'[1]Game Input'!$I479,"")</f>
        <v>LINCOLN</v>
      </c>
      <c r="J479" s="9">
        <f>IF('[1]Game Input'!$AC479&lt;&gt;"",'[1]Game Input'!$AC479,"")</f>
        <v>8</v>
      </c>
      <c r="K479" s="9">
        <f>IF('[1]Game Input'!$AD479&lt;&gt;"",'[1]Game Input'!$AD479,"")</f>
        <v>4</v>
      </c>
      <c r="L479" s="9">
        <f>IF('[1]Game Input'!$AJ479&lt;&gt;"",'[1]Game Input'!$AJ479,"")</f>
        <v>0</v>
      </c>
      <c r="M479" s="9">
        <f>IF('[1]Game Input'!$AK479&lt;&gt;"",'[1]Game Input'!$AK479,"")</f>
        <v>0</v>
      </c>
      <c r="N479" s="9">
        <f>IF('[1]Game Input'!$AN479&lt;&gt;"",'[1]Game Input'!$AN479,"")</f>
        <v>4</v>
      </c>
      <c r="O479" s="9">
        <f>IF('[1]Game Input'!$AO479&lt;&gt;"",'[1]Game Input'!$AO479,"")</f>
        <v>0</v>
      </c>
      <c r="P479" s="9">
        <f>IF('[1]Game Input'!$AP479&lt;&gt;"",'[1]Game Input'!$AP479,"")</f>
        <v>0</v>
      </c>
      <c r="Q479" s="9">
        <f>IF('[1]Game Input'!$AQ479&lt;&gt;"",'[1]Game Input'!$AQ479,"")</f>
        <v>0</v>
      </c>
      <c r="R479" s="9">
        <f>IF('[1]Game Input'!$AR479&lt;&gt;"",'[1]Game Input'!$AR479,"")</f>
        <v>0</v>
      </c>
      <c r="S479" s="9">
        <f>IF('[1]Game Input'!$AS479&lt;&gt;"",'[1]Game Input'!$AS479,"")</f>
        <v>0</v>
      </c>
      <c r="T479" s="10" t="str">
        <f>IF('[1]Game Input'!$BA479&lt;&gt;"",'[1]Game Input'!$BA479,"")</f>
        <v>DES MOINES</v>
      </c>
      <c r="U479" s="9">
        <f>IF('[1]Game Input'!$BU479&lt;&gt;"",'[1]Game Input'!$BU479,"")</f>
        <v>10</v>
      </c>
      <c r="V479" s="9">
        <f>IF('[1]Game Input'!$BV479&lt;&gt;"",'[1]Game Input'!$BV479,"")</f>
        <v>5</v>
      </c>
      <c r="W479" s="9">
        <f>IF('[1]Game Input'!$CB479&lt;&gt;"",'[1]Game Input'!$CB479,"")</f>
        <v>0</v>
      </c>
      <c r="X479" s="9">
        <f>IF('[1]Game Input'!$CC479&lt;&gt;"",'[1]Game Input'!$CC479,"")</f>
        <v>0</v>
      </c>
      <c r="Y479" s="9">
        <f>IF('[1]Game Input'!$CF479&lt;&gt;"",'[1]Game Input'!$CF479,"")</f>
        <v>5</v>
      </c>
      <c r="Z479" s="9">
        <f>IF('[1]Game Input'!$CG479&lt;&gt;"",'[1]Game Input'!$CG479,"")</f>
        <v>0</v>
      </c>
      <c r="AA479" s="9">
        <f>IF('[1]Game Input'!$CH479&lt;&gt;"",'[1]Game Input'!$CH479,"")</f>
        <v>0</v>
      </c>
      <c r="AB479" s="9">
        <f>IF('[1]Game Input'!$CI479&lt;&gt;"",'[1]Game Input'!$CI479,"")</f>
        <v>0</v>
      </c>
      <c r="AC479" s="9">
        <f>IF('[1]Game Input'!$CJ479&lt;&gt;"",'[1]Game Input'!$CJ479,"")</f>
        <v>0</v>
      </c>
      <c r="AD479" s="9">
        <f>IF('[1]Game Input'!$CK479&lt;&gt;"",'[1]Game Input'!$CK479,"")</f>
        <v>0</v>
      </c>
      <c r="AE479" s="8" t="s">
        <v>90</v>
      </c>
      <c r="AF479" s="8"/>
      <c r="AG479" s="8" t="s">
        <v>115</v>
      </c>
      <c r="AH479" s="8" t="s">
        <v>111</v>
      </c>
    </row>
    <row r="480" spans="1:34" x14ac:dyDescent="0.2">
      <c r="A480" s="6">
        <f>IF('[1]Game Input'!$A480&lt;&gt;"",'[1]Game Input'!$A480,"")</f>
        <v>43553</v>
      </c>
      <c r="B480" s="6" t="str">
        <f>IF(A480&gt;$B$1,VLOOKUP(MONTH($A480),DOTWMonth,2,FALSE),"")</f>
        <v>March</v>
      </c>
      <c r="C480" s="10" t="str">
        <f>IF(A480&gt;$B$1,VLOOKUP(WEEKDAY($A480),DOTWMonth,3,FALSE),"")</f>
        <v>Friday</v>
      </c>
      <c r="D480" s="7">
        <f>IF('[1]Game Input'!$B480&lt;&gt;"",'[1]Game Input'!$B480,"")</f>
        <v>0.83680555555555547</v>
      </c>
      <c r="E480" s="7">
        <f>IF('[1]Game Input'!$C480&lt;&gt;"",'[1]Game Input'!$C480,"")</f>
        <v>0.79513888888888884</v>
      </c>
      <c r="F480" s="8" t="str">
        <f>IF('[1]Game Input'!$D480&lt;&gt;"",'[1]Game Input'!$D480,"")</f>
        <v>Daylight</v>
      </c>
      <c r="G480" s="8" t="str">
        <f>IF('[1]Game Input'!$G480&lt;&gt;"",'[1]Game Input'!$G480,"")</f>
        <v>TC @ SC</v>
      </c>
      <c r="H480" s="8" t="str">
        <f>IF('[1]Game Input'!$H480&lt;&gt;"",'[1]Game Input'!$H480,"")</f>
        <v>Vs. Conference</v>
      </c>
      <c r="I480" s="8" t="str">
        <f>IF('[1]Game Input'!$I480&lt;&gt;"",'[1]Game Input'!$I480,"")</f>
        <v>TRI-CITY</v>
      </c>
      <c r="J480" s="9">
        <f>IF('[1]Game Input'!$AC480&lt;&gt;"",'[1]Game Input'!$AC480,"")</f>
        <v>2</v>
      </c>
      <c r="K480" s="9">
        <f>IF('[1]Game Input'!$AD480&lt;&gt;"",'[1]Game Input'!$AD480,"")</f>
        <v>1</v>
      </c>
      <c r="L480" s="9">
        <f>IF('[1]Game Input'!$AJ480&lt;&gt;"",'[1]Game Input'!$AJ480,"")</f>
        <v>0</v>
      </c>
      <c r="M480" s="9">
        <f>IF('[1]Game Input'!$AK480&lt;&gt;"",'[1]Game Input'!$AK480,"")</f>
        <v>0</v>
      </c>
      <c r="N480" s="9">
        <f>IF('[1]Game Input'!$AN480&lt;&gt;"",'[1]Game Input'!$AN480,"")</f>
        <v>1</v>
      </c>
      <c r="O480" s="9">
        <f>IF('[1]Game Input'!$AO480&lt;&gt;"",'[1]Game Input'!$AO480,"")</f>
        <v>0</v>
      </c>
      <c r="P480" s="9">
        <f>IF('[1]Game Input'!$AP480&lt;&gt;"",'[1]Game Input'!$AP480,"")</f>
        <v>0</v>
      </c>
      <c r="Q480" s="9">
        <f>IF('[1]Game Input'!$AQ480&lt;&gt;"",'[1]Game Input'!$AQ480,"")</f>
        <v>0</v>
      </c>
      <c r="R480" s="9">
        <f>IF('[1]Game Input'!$AR480&lt;&gt;"",'[1]Game Input'!$AR480,"")</f>
        <v>0</v>
      </c>
      <c r="S480" s="9">
        <f>IF('[1]Game Input'!$AS480&lt;&gt;"",'[1]Game Input'!$AS480,"")</f>
        <v>0</v>
      </c>
      <c r="T480" s="10" t="str">
        <f>IF('[1]Game Input'!$BA480&lt;&gt;"",'[1]Game Input'!$BA480,"")</f>
        <v>SIOUX CITY</v>
      </c>
      <c r="U480" s="9">
        <f>IF('[1]Game Input'!$BU480&lt;&gt;"",'[1]Game Input'!$BU480,"")</f>
        <v>14</v>
      </c>
      <c r="V480" s="9">
        <f>IF('[1]Game Input'!$BV480&lt;&gt;"",'[1]Game Input'!$BV480,"")</f>
        <v>3</v>
      </c>
      <c r="W480" s="9">
        <f>IF('[1]Game Input'!$CB480&lt;&gt;"",'[1]Game Input'!$CB480,"")</f>
        <v>0</v>
      </c>
      <c r="X480" s="9">
        <f>IF('[1]Game Input'!$CC480&lt;&gt;"",'[1]Game Input'!$CC480,"")</f>
        <v>0</v>
      </c>
      <c r="Y480" s="9">
        <f>IF('[1]Game Input'!$CF480&lt;&gt;"",'[1]Game Input'!$CF480,"")</f>
        <v>2</v>
      </c>
      <c r="Z480" s="9">
        <f>IF('[1]Game Input'!$CG480&lt;&gt;"",'[1]Game Input'!$CG480,"")</f>
        <v>0</v>
      </c>
      <c r="AA480" s="9">
        <f>IF('[1]Game Input'!$CH480&lt;&gt;"",'[1]Game Input'!$CH480,"")</f>
        <v>1</v>
      </c>
      <c r="AB480" s="9">
        <f>IF('[1]Game Input'!$CI480&lt;&gt;"",'[1]Game Input'!$CI480,"")</f>
        <v>0</v>
      </c>
      <c r="AC480" s="9">
        <f>IF('[1]Game Input'!$CJ480&lt;&gt;"",'[1]Game Input'!$CJ480,"")</f>
        <v>0</v>
      </c>
      <c r="AD480" s="9">
        <f>IF('[1]Game Input'!$CK480&lt;&gt;"",'[1]Game Input'!$CK480,"")</f>
        <v>0</v>
      </c>
      <c r="AE480" s="8"/>
      <c r="AF480" s="8"/>
      <c r="AG480" s="8"/>
      <c r="AH480" s="8"/>
    </row>
    <row r="481" spans="1:34" x14ac:dyDescent="0.2">
      <c r="A481" s="6">
        <f>IF('[1]Game Input'!$A481&lt;&gt;"",'[1]Game Input'!$A481,"")</f>
        <v>43553</v>
      </c>
      <c r="B481" s="6" t="str">
        <f>IF(A481&gt;$B$1,VLOOKUP(MONTH($A481),DOTWMonth,2,FALSE),"")</f>
        <v>March</v>
      </c>
      <c r="C481" s="10" t="str">
        <f>IF(A481&gt;$B$1,VLOOKUP(WEEKDAY($A481),DOTWMonth,3,FALSE),"")</f>
        <v>Friday</v>
      </c>
      <c r="D481" s="7">
        <f>IF('[1]Game Input'!$B481&lt;&gt;"",'[1]Game Input'!$B481,"")</f>
        <v>0.83680555555555547</v>
      </c>
      <c r="E481" s="7">
        <f>IF('[1]Game Input'!$C481&lt;&gt;"",'[1]Game Input'!$C481,"")</f>
        <v>0.79513888888888884</v>
      </c>
      <c r="F481" s="8" t="str">
        <f>IF('[1]Game Input'!$D481&lt;&gt;"",'[1]Game Input'!$D481,"")</f>
        <v>Daylight</v>
      </c>
      <c r="G481" s="8" t="str">
        <f>IF('[1]Game Input'!$G481&lt;&gt;"",'[1]Game Input'!$G481,"")</f>
        <v>FGO @ SF</v>
      </c>
      <c r="H481" s="8" t="str">
        <f>IF('[1]Game Input'!$H481&lt;&gt;"",'[1]Game Input'!$H481,"")</f>
        <v>Vs. Conference</v>
      </c>
      <c r="I481" s="8" t="str">
        <f>IF('[1]Game Input'!$I481&lt;&gt;"",'[1]Game Input'!$I481,"")</f>
        <v>FARGO</v>
      </c>
      <c r="J481" s="9">
        <f>IF('[1]Game Input'!$AC481&lt;&gt;"",'[1]Game Input'!$AC481,"")</f>
        <v>23</v>
      </c>
      <c r="K481" s="9">
        <f>IF('[1]Game Input'!$AD481&lt;&gt;"",'[1]Game Input'!$AD481,"")</f>
        <v>6</v>
      </c>
      <c r="L481" s="9">
        <f>IF('[1]Game Input'!$AJ481&lt;&gt;"",'[1]Game Input'!$AJ481,"")</f>
        <v>0</v>
      </c>
      <c r="M481" s="9">
        <f>IF('[1]Game Input'!$AK481&lt;&gt;"",'[1]Game Input'!$AK481,"")</f>
        <v>0</v>
      </c>
      <c r="N481" s="9">
        <f>IF('[1]Game Input'!$AN481&lt;&gt;"",'[1]Game Input'!$AN481,"")</f>
        <v>4</v>
      </c>
      <c r="O481" s="9">
        <f>IF('[1]Game Input'!$AO481&lt;&gt;"",'[1]Game Input'!$AO481,"")</f>
        <v>1</v>
      </c>
      <c r="P481" s="9">
        <f>IF('[1]Game Input'!$AP481&lt;&gt;"",'[1]Game Input'!$AP481,"")</f>
        <v>1</v>
      </c>
      <c r="Q481" s="9">
        <f>IF('[1]Game Input'!$AQ481&lt;&gt;"",'[1]Game Input'!$AQ481,"")</f>
        <v>0</v>
      </c>
      <c r="R481" s="9">
        <f>IF('[1]Game Input'!$AR481&lt;&gt;"",'[1]Game Input'!$AR481,"")</f>
        <v>0</v>
      </c>
      <c r="S481" s="9">
        <f>IF('[1]Game Input'!$AS481&lt;&gt;"",'[1]Game Input'!$AS481,"")</f>
        <v>0</v>
      </c>
      <c r="T481" s="10" t="str">
        <f>IF('[1]Game Input'!$BA481&lt;&gt;"",'[1]Game Input'!$BA481,"")</f>
        <v>SIOUX FALLS</v>
      </c>
      <c r="U481" s="9">
        <f>IF('[1]Game Input'!$BU481&lt;&gt;"",'[1]Game Input'!$BU481,"")</f>
        <v>25</v>
      </c>
      <c r="V481" s="9">
        <f>IF('[1]Game Input'!$BV481&lt;&gt;"",'[1]Game Input'!$BV481,"")</f>
        <v>7</v>
      </c>
      <c r="W481" s="9">
        <f>IF('[1]Game Input'!$CB481&lt;&gt;"",'[1]Game Input'!$CB481,"")</f>
        <v>0</v>
      </c>
      <c r="X481" s="9">
        <f>IF('[1]Game Input'!$CC481&lt;&gt;"",'[1]Game Input'!$CC481,"")</f>
        <v>0</v>
      </c>
      <c r="Y481" s="9">
        <f>IF('[1]Game Input'!$CF481&lt;&gt;"",'[1]Game Input'!$CF481,"")</f>
        <v>5</v>
      </c>
      <c r="Z481" s="9">
        <f>IF('[1]Game Input'!$CG481&lt;&gt;"",'[1]Game Input'!$CG481,"")</f>
        <v>1</v>
      </c>
      <c r="AA481" s="9">
        <f>IF('[1]Game Input'!$CH481&lt;&gt;"",'[1]Game Input'!$CH481,"")</f>
        <v>1</v>
      </c>
      <c r="AB481" s="9">
        <f>IF('[1]Game Input'!$CI481&lt;&gt;"",'[1]Game Input'!$CI481,"")</f>
        <v>0</v>
      </c>
      <c r="AC481" s="9">
        <f>IF('[1]Game Input'!$CJ481&lt;&gt;"",'[1]Game Input'!$CJ481,"")</f>
        <v>0</v>
      </c>
      <c r="AD481" s="9">
        <f>IF('[1]Game Input'!$CK481&lt;&gt;"",'[1]Game Input'!$CK481,"")</f>
        <v>0</v>
      </c>
      <c r="AE481" s="8"/>
      <c r="AF481" s="8"/>
      <c r="AG481" s="8"/>
      <c r="AH481" s="8"/>
    </row>
    <row r="482" spans="1:34" x14ac:dyDescent="0.2">
      <c r="A482" s="6">
        <f>IF('[1]Game Input'!$A482&lt;&gt;"",'[1]Game Input'!$A482,"")</f>
        <v>43553</v>
      </c>
      <c r="B482" s="6" t="str">
        <f>IF(A482&gt;$B$1,VLOOKUP(MONTH($A482),DOTWMonth,2,FALSE),"")</f>
        <v>March</v>
      </c>
      <c r="C482" s="10" t="str">
        <f>IF(A482&gt;$B$1,VLOOKUP(WEEKDAY($A482),DOTWMonth,3,FALSE),"")</f>
        <v>Friday</v>
      </c>
      <c r="D482" s="7">
        <f>IF('[1]Game Input'!$B482&lt;&gt;"",'[1]Game Input'!$B482,"")</f>
        <v>0.83680555555555547</v>
      </c>
      <c r="E482" s="7">
        <f>IF('[1]Game Input'!$C482&lt;&gt;"",'[1]Game Input'!$C482,"")</f>
        <v>0.79513888888888884</v>
      </c>
      <c r="F482" s="8" t="str">
        <f>IF('[1]Game Input'!$D482&lt;&gt;"",'[1]Game Input'!$D482,"")</f>
        <v>Daylight</v>
      </c>
      <c r="G482" s="8" t="str">
        <f>IF('[1]Game Input'!$G482&lt;&gt;"",'[1]Game Input'!$G482,"")</f>
        <v>OMA @ GB</v>
      </c>
      <c r="H482" s="8" t="str">
        <f>IF('[1]Game Input'!$H482&lt;&gt;"",'[1]Game Input'!$H482,"")</f>
        <v>Vs. Non-Conference</v>
      </c>
      <c r="I482" s="8" t="str">
        <f>IF('[1]Game Input'!$I482&lt;&gt;"",'[1]Game Input'!$I482,"")</f>
        <v>OMAHA</v>
      </c>
      <c r="J482" s="9">
        <f>IF('[1]Game Input'!$AC482&lt;&gt;"",'[1]Game Input'!$AC482,"")</f>
        <v>8</v>
      </c>
      <c r="K482" s="9">
        <f>IF('[1]Game Input'!$AD482&lt;&gt;"",'[1]Game Input'!$AD482,"")</f>
        <v>4</v>
      </c>
      <c r="L482" s="9">
        <f>IF('[1]Game Input'!$AJ482&lt;&gt;"",'[1]Game Input'!$AJ482,"")</f>
        <v>0</v>
      </c>
      <c r="M482" s="9">
        <f>IF('[1]Game Input'!$AK482&lt;&gt;"",'[1]Game Input'!$AK482,"")</f>
        <v>0</v>
      </c>
      <c r="N482" s="9">
        <f>IF('[1]Game Input'!$AN482&lt;&gt;"",'[1]Game Input'!$AN482,"")</f>
        <v>4</v>
      </c>
      <c r="O482" s="9">
        <f>IF('[1]Game Input'!$AO482&lt;&gt;"",'[1]Game Input'!$AO482,"")</f>
        <v>0</v>
      </c>
      <c r="P482" s="9">
        <f>IF('[1]Game Input'!$AP482&lt;&gt;"",'[1]Game Input'!$AP482,"")</f>
        <v>0</v>
      </c>
      <c r="Q482" s="9">
        <f>IF('[1]Game Input'!$AQ482&lt;&gt;"",'[1]Game Input'!$AQ482,"")</f>
        <v>0</v>
      </c>
      <c r="R482" s="9">
        <f>IF('[1]Game Input'!$AR482&lt;&gt;"",'[1]Game Input'!$AR482,"")</f>
        <v>0</v>
      </c>
      <c r="S482" s="9">
        <f>IF('[1]Game Input'!$AS482&lt;&gt;"",'[1]Game Input'!$AS482,"")</f>
        <v>0</v>
      </c>
      <c r="T482" s="10" t="str">
        <f>IF('[1]Game Input'!$BA482&lt;&gt;"",'[1]Game Input'!$BA482,"")</f>
        <v>GREEN BAY</v>
      </c>
      <c r="U482" s="9">
        <f>IF('[1]Game Input'!$BU482&lt;&gt;"",'[1]Game Input'!$BU482,"")</f>
        <v>8</v>
      </c>
      <c r="V482" s="9">
        <f>IF('[1]Game Input'!$BV482&lt;&gt;"",'[1]Game Input'!$BV482,"")</f>
        <v>4</v>
      </c>
      <c r="W482" s="9">
        <f>IF('[1]Game Input'!$CB482&lt;&gt;"",'[1]Game Input'!$CB482,"")</f>
        <v>0</v>
      </c>
      <c r="X482" s="9">
        <f>IF('[1]Game Input'!$CC482&lt;&gt;"",'[1]Game Input'!$CC482,"")</f>
        <v>0</v>
      </c>
      <c r="Y482" s="9">
        <f>IF('[1]Game Input'!$CF482&lt;&gt;"",'[1]Game Input'!$CF482,"")</f>
        <v>4</v>
      </c>
      <c r="Z482" s="9">
        <f>IF('[1]Game Input'!$CG482&lt;&gt;"",'[1]Game Input'!$CG482,"")</f>
        <v>0</v>
      </c>
      <c r="AA482" s="9">
        <f>IF('[1]Game Input'!$CH482&lt;&gt;"",'[1]Game Input'!$CH482,"")</f>
        <v>0</v>
      </c>
      <c r="AB482" s="9">
        <f>IF('[1]Game Input'!$CI482&lt;&gt;"",'[1]Game Input'!$CI482,"")</f>
        <v>0</v>
      </c>
      <c r="AC482" s="9">
        <f>IF('[1]Game Input'!$CJ482&lt;&gt;"",'[1]Game Input'!$CJ482,"")</f>
        <v>0</v>
      </c>
      <c r="AD482" s="9">
        <f>IF('[1]Game Input'!$CK482&lt;&gt;"",'[1]Game Input'!$CK482,"")</f>
        <v>0</v>
      </c>
      <c r="AE482" s="8"/>
      <c r="AF482" s="8"/>
      <c r="AG482" s="8"/>
      <c r="AH482" s="8"/>
    </row>
    <row r="483" spans="1:34" x14ac:dyDescent="0.2">
      <c r="A483" s="6">
        <f>IF('[1]Game Input'!$A483&lt;&gt;"",'[1]Game Input'!$A483,"")</f>
        <v>43554</v>
      </c>
      <c r="B483" s="6" t="str">
        <f>IF(A483&gt;$B$1,VLOOKUP(MONTH($A483),DOTWMonth,2,FALSE),"")</f>
        <v>March</v>
      </c>
      <c r="C483" s="10" t="str">
        <f>IF(A483&gt;$B$1,VLOOKUP(WEEKDAY($A483),DOTWMonth,3,FALSE),"")</f>
        <v>Saturday</v>
      </c>
      <c r="D483" s="7">
        <f>IF('[1]Game Input'!$B483&lt;&gt;"",'[1]Game Input'!$B483,"")</f>
        <v>0.79166666666666663</v>
      </c>
      <c r="E483" s="7">
        <f>IF('[1]Game Input'!$C483&lt;&gt;"",'[1]Game Input'!$C483,"")</f>
        <v>0.75</v>
      </c>
      <c r="F483" s="8" t="str">
        <f>IF('[1]Game Input'!$D483&lt;&gt;"",'[1]Game Input'!$D483,"")</f>
        <v>Daylight</v>
      </c>
      <c r="G483" s="8" t="str">
        <f>IF('[1]Game Input'!$G483&lt;&gt;"",'[1]Game Input'!$G483,"")</f>
        <v>YNG @ USA</v>
      </c>
      <c r="H483" s="8" t="str">
        <f>IF('[1]Game Input'!$H483&lt;&gt;"",'[1]Game Input'!$H483,"")</f>
        <v>Vs. Conference</v>
      </c>
      <c r="I483" s="8" t="str">
        <f>IF('[1]Game Input'!$I483&lt;&gt;"",'[1]Game Input'!$I483,"")</f>
        <v>YOUNGSTOWN</v>
      </c>
      <c r="J483" s="9">
        <f>IF('[1]Game Input'!$AC483&lt;&gt;"",'[1]Game Input'!$AC483,"")</f>
        <v>86</v>
      </c>
      <c r="K483" s="9">
        <f>IF('[1]Game Input'!$AD483&lt;&gt;"",'[1]Game Input'!$AD483,"")</f>
        <v>19</v>
      </c>
      <c r="L483" s="9">
        <f>IF('[1]Game Input'!$AJ483&lt;&gt;"",'[1]Game Input'!$AJ483,"")</f>
        <v>0</v>
      </c>
      <c r="M483" s="9">
        <f>IF('[1]Game Input'!$AK483&lt;&gt;"",'[1]Game Input'!$AK483,"")</f>
        <v>0</v>
      </c>
      <c r="N483" s="9">
        <f>IF('[1]Game Input'!$AN483&lt;&gt;"",'[1]Game Input'!$AN483,"")</f>
        <v>13</v>
      </c>
      <c r="O483" s="9">
        <f>IF('[1]Game Input'!$AO483&lt;&gt;"",'[1]Game Input'!$AO483,"")</f>
        <v>0</v>
      </c>
      <c r="P483" s="9">
        <f>IF('[1]Game Input'!$AP483&lt;&gt;"",'[1]Game Input'!$AP483,"")</f>
        <v>3</v>
      </c>
      <c r="Q483" s="9">
        <f>IF('[1]Game Input'!$AQ483&lt;&gt;"",'[1]Game Input'!$AQ483,"")</f>
        <v>3</v>
      </c>
      <c r="R483" s="9">
        <f>IF('[1]Game Input'!$AR483&lt;&gt;"",'[1]Game Input'!$AR483,"")</f>
        <v>0</v>
      </c>
      <c r="S483" s="9">
        <f>IF('[1]Game Input'!$AS483&lt;&gt;"",'[1]Game Input'!$AS483,"")</f>
        <v>0</v>
      </c>
      <c r="T483" s="10" t="str">
        <f>IF('[1]Game Input'!$BA483&lt;&gt;"",'[1]Game Input'!$BA483,"")</f>
        <v>TEAM USA</v>
      </c>
      <c r="U483" s="9">
        <f>IF('[1]Game Input'!$BU483&lt;&gt;"",'[1]Game Input'!$BU483,"")</f>
        <v>90</v>
      </c>
      <c r="V483" s="9">
        <f>IF('[1]Game Input'!$BV483&lt;&gt;"",'[1]Game Input'!$BV483,"")</f>
        <v>18</v>
      </c>
      <c r="W483" s="9">
        <f>IF('[1]Game Input'!$CB483&lt;&gt;"",'[1]Game Input'!$CB483,"")</f>
        <v>0</v>
      </c>
      <c r="X483" s="9">
        <f>IF('[1]Game Input'!$CC483&lt;&gt;"",'[1]Game Input'!$CC483,"")</f>
        <v>0</v>
      </c>
      <c r="Y483" s="9">
        <f>IF('[1]Game Input'!$CF483&lt;&gt;"",'[1]Game Input'!$CF483,"")</f>
        <v>10</v>
      </c>
      <c r="Z483" s="9">
        <f>IF('[1]Game Input'!$CG483&lt;&gt;"",'[1]Game Input'!$CG483,"")</f>
        <v>2</v>
      </c>
      <c r="AA483" s="9">
        <f>IF('[1]Game Input'!$CH483&lt;&gt;"",'[1]Game Input'!$CH483,"")</f>
        <v>2</v>
      </c>
      <c r="AB483" s="9">
        <f>IF('[1]Game Input'!$CI483&lt;&gt;"",'[1]Game Input'!$CI483,"")</f>
        <v>4</v>
      </c>
      <c r="AC483" s="9">
        <f>IF('[1]Game Input'!$CJ483&lt;&gt;"",'[1]Game Input'!$CJ483,"")</f>
        <v>0</v>
      </c>
      <c r="AD483" s="9">
        <f>IF('[1]Game Input'!$CK483&lt;&gt;"",'[1]Game Input'!$CK483,"")</f>
        <v>0</v>
      </c>
      <c r="AE483" s="8"/>
      <c r="AF483" s="8"/>
      <c r="AG483" s="8"/>
      <c r="AH483" s="8"/>
    </row>
    <row r="484" spans="1:34" x14ac:dyDescent="0.2">
      <c r="A484" s="6">
        <f>IF('[1]Game Input'!$A484&lt;&gt;"",'[1]Game Input'!$A484,"")</f>
        <v>43554</v>
      </c>
      <c r="B484" s="6" t="str">
        <f>IF(A484&gt;$B$1,VLOOKUP(MONTH($A484),DOTWMonth,2,FALSE),"")</f>
        <v>March</v>
      </c>
      <c r="C484" s="10" t="str">
        <f>IF(A484&gt;$B$1,VLOOKUP(WEEKDAY($A484),DOTWMonth,3,FALSE),"")</f>
        <v>Saturday</v>
      </c>
      <c r="D484" s="7">
        <f>IF('[1]Game Input'!$B484&lt;&gt;"",'[1]Game Input'!$B484,"")</f>
        <v>0.83680555555555547</v>
      </c>
      <c r="E484" s="7">
        <f>IF('[1]Game Input'!$C484&lt;&gt;"",'[1]Game Input'!$C484,"")</f>
        <v>0.79513888888888884</v>
      </c>
      <c r="F484" s="8" t="str">
        <f>IF('[1]Game Input'!$D484&lt;&gt;"",'[1]Game Input'!$D484,"")</f>
        <v>Daylight</v>
      </c>
      <c r="G484" s="8" t="str">
        <f>IF('[1]Game Input'!$G484&lt;&gt;"",'[1]Game Input'!$G484,"")</f>
        <v>FGO @ LIN</v>
      </c>
      <c r="H484" s="8" t="str">
        <f>IF('[1]Game Input'!$H484&lt;&gt;"",'[1]Game Input'!$H484,"")</f>
        <v>Vs. Conference</v>
      </c>
      <c r="I484" s="8" t="str">
        <f>IF('[1]Game Input'!$I484&lt;&gt;"",'[1]Game Input'!$I484,"")</f>
        <v>FARGO</v>
      </c>
      <c r="J484" s="9">
        <f>IF('[1]Game Input'!$AC484&lt;&gt;"",'[1]Game Input'!$AC484,"")</f>
        <v>8</v>
      </c>
      <c r="K484" s="9">
        <f>IF('[1]Game Input'!$AD484&lt;&gt;"",'[1]Game Input'!$AD484,"")</f>
        <v>4</v>
      </c>
      <c r="L484" s="9">
        <f>IF('[1]Game Input'!$AJ484&lt;&gt;"",'[1]Game Input'!$AJ484,"")</f>
        <v>0</v>
      </c>
      <c r="M484" s="9">
        <f>IF('[1]Game Input'!$AK484&lt;&gt;"",'[1]Game Input'!$AK484,"")</f>
        <v>0</v>
      </c>
      <c r="N484" s="9">
        <f>IF('[1]Game Input'!$AN484&lt;&gt;"",'[1]Game Input'!$AN484,"")</f>
        <v>4</v>
      </c>
      <c r="O484" s="9">
        <f>IF('[1]Game Input'!$AO484&lt;&gt;"",'[1]Game Input'!$AO484,"")</f>
        <v>0</v>
      </c>
      <c r="P484" s="9">
        <f>IF('[1]Game Input'!$AP484&lt;&gt;"",'[1]Game Input'!$AP484,"")</f>
        <v>0</v>
      </c>
      <c r="Q484" s="9">
        <f>IF('[1]Game Input'!$AQ484&lt;&gt;"",'[1]Game Input'!$AQ484,"")</f>
        <v>0</v>
      </c>
      <c r="R484" s="9">
        <f>IF('[1]Game Input'!$AR484&lt;&gt;"",'[1]Game Input'!$AR484,"")</f>
        <v>0</v>
      </c>
      <c r="S484" s="9">
        <f>IF('[1]Game Input'!$AS484&lt;&gt;"",'[1]Game Input'!$AS484,"")</f>
        <v>0</v>
      </c>
      <c r="T484" s="10" t="str">
        <f>IF('[1]Game Input'!$BA484&lt;&gt;"",'[1]Game Input'!$BA484,"")</f>
        <v>LINCOLN</v>
      </c>
      <c r="U484" s="9">
        <f>IF('[1]Game Input'!$BU484&lt;&gt;"",'[1]Game Input'!$BU484,"")</f>
        <v>10</v>
      </c>
      <c r="V484" s="9">
        <f>IF('[1]Game Input'!$BV484&lt;&gt;"",'[1]Game Input'!$BV484,"")</f>
        <v>5</v>
      </c>
      <c r="W484" s="9">
        <f>IF('[1]Game Input'!$CB484&lt;&gt;"",'[1]Game Input'!$CB484,"")</f>
        <v>0</v>
      </c>
      <c r="X484" s="9">
        <f>IF('[1]Game Input'!$CC484&lt;&gt;"",'[1]Game Input'!$CC484,"")</f>
        <v>0</v>
      </c>
      <c r="Y484" s="9">
        <f>IF('[1]Game Input'!$CF484&lt;&gt;"",'[1]Game Input'!$CF484,"")</f>
        <v>5</v>
      </c>
      <c r="Z484" s="9">
        <f>IF('[1]Game Input'!$CG484&lt;&gt;"",'[1]Game Input'!$CG484,"")</f>
        <v>0</v>
      </c>
      <c r="AA484" s="9">
        <f>IF('[1]Game Input'!$CH484&lt;&gt;"",'[1]Game Input'!$CH484,"")</f>
        <v>0</v>
      </c>
      <c r="AB484" s="9">
        <f>IF('[1]Game Input'!$CI484&lt;&gt;"",'[1]Game Input'!$CI484,"")</f>
        <v>0</v>
      </c>
      <c r="AC484" s="9">
        <f>IF('[1]Game Input'!$CJ484&lt;&gt;"",'[1]Game Input'!$CJ484,"")</f>
        <v>0</v>
      </c>
      <c r="AD484" s="9">
        <f>IF('[1]Game Input'!$CK484&lt;&gt;"",'[1]Game Input'!$CK484,"")</f>
        <v>0</v>
      </c>
      <c r="AE484" s="8"/>
      <c r="AF484" s="8"/>
      <c r="AG484" s="8"/>
      <c r="AH484" s="8"/>
    </row>
    <row r="485" spans="1:34" x14ac:dyDescent="0.2">
      <c r="A485" s="6">
        <f>IF('[1]Game Input'!$A485&lt;&gt;"",'[1]Game Input'!$A485,"")</f>
        <v>43554</v>
      </c>
      <c r="B485" s="6" t="str">
        <f>IF(A485&gt;$B$1,VLOOKUP(MONTH($A485),DOTWMonth,2,FALSE),"")</f>
        <v>March</v>
      </c>
      <c r="C485" s="10" t="str">
        <f>IF(A485&gt;$B$1,VLOOKUP(WEEKDAY($A485),DOTWMonth,3,FALSE),"")</f>
        <v>Saturday</v>
      </c>
      <c r="D485" s="7">
        <f>IF('[1]Game Input'!$B485&lt;&gt;"",'[1]Game Input'!$B485,"")</f>
        <v>0.83680555555555547</v>
      </c>
      <c r="E485" s="7">
        <f>IF('[1]Game Input'!$C485&lt;&gt;"",'[1]Game Input'!$C485,"")</f>
        <v>0.79513888888888884</v>
      </c>
      <c r="F485" s="8" t="str">
        <f>IF('[1]Game Input'!$D485&lt;&gt;"",'[1]Game Input'!$D485,"")</f>
        <v>Daylight</v>
      </c>
      <c r="G485" s="8" t="str">
        <f>IF('[1]Game Input'!$G485&lt;&gt;"",'[1]Game Input'!$G485,"")</f>
        <v>TC @ SC</v>
      </c>
      <c r="H485" s="8" t="str">
        <f>IF('[1]Game Input'!$H485&lt;&gt;"",'[1]Game Input'!$H485,"")</f>
        <v>Vs. Conference</v>
      </c>
      <c r="I485" s="8" t="str">
        <f>IF('[1]Game Input'!$I485&lt;&gt;"",'[1]Game Input'!$I485,"")</f>
        <v>TRI-CITY</v>
      </c>
      <c r="J485" s="9">
        <f>IF('[1]Game Input'!$AC485&lt;&gt;"",'[1]Game Input'!$AC485,"")</f>
        <v>14</v>
      </c>
      <c r="K485" s="9">
        <f>IF('[1]Game Input'!$AD485&lt;&gt;"",'[1]Game Input'!$AD485,"")</f>
        <v>7</v>
      </c>
      <c r="L485" s="9">
        <f>IF('[1]Game Input'!$AJ485&lt;&gt;"",'[1]Game Input'!$AJ485,"")</f>
        <v>0</v>
      </c>
      <c r="M485" s="9">
        <f>IF('[1]Game Input'!$AK485&lt;&gt;"",'[1]Game Input'!$AK485,"")</f>
        <v>0</v>
      </c>
      <c r="N485" s="9">
        <f>IF('[1]Game Input'!$AN485&lt;&gt;"",'[1]Game Input'!$AN485,"")</f>
        <v>7</v>
      </c>
      <c r="O485" s="9">
        <f>IF('[1]Game Input'!$AO485&lt;&gt;"",'[1]Game Input'!$AO485,"")</f>
        <v>0</v>
      </c>
      <c r="P485" s="9">
        <f>IF('[1]Game Input'!$AP485&lt;&gt;"",'[1]Game Input'!$AP485,"")</f>
        <v>0</v>
      </c>
      <c r="Q485" s="9">
        <f>IF('[1]Game Input'!$AQ485&lt;&gt;"",'[1]Game Input'!$AQ485,"")</f>
        <v>0</v>
      </c>
      <c r="R485" s="9">
        <f>IF('[1]Game Input'!$AR485&lt;&gt;"",'[1]Game Input'!$AR485,"")</f>
        <v>0</v>
      </c>
      <c r="S485" s="9">
        <f>IF('[1]Game Input'!$AS485&lt;&gt;"",'[1]Game Input'!$AS485,"")</f>
        <v>0</v>
      </c>
      <c r="T485" s="10" t="str">
        <f>IF('[1]Game Input'!$BA485&lt;&gt;"",'[1]Game Input'!$BA485,"")</f>
        <v>SIOUX CITY</v>
      </c>
      <c r="U485" s="9">
        <f>IF('[1]Game Input'!$BU485&lt;&gt;"",'[1]Game Input'!$BU485,"")</f>
        <v>16</v>
      </c>
      <c r="V485" s="9">
        <f>IF('[1]Game Input'!$BV485&lt;&gt;"",'[1]Game Input'!$BV485,"")</f>
        <v>8</v>
      </c>
      <c r="W485" s="9">
        <f>IF('[1]Game Input'!$CB485&lt;&gt;"",'[1]Game Input'!$CB485,"")</f>
        <v>0</v>
      </c>
      <c r="X485" s="9">
        <f>IF('[1]Game Input'!$CC485&lt;&gt;"",'[1]Game Input'!$CC485,"")</f>
        <v>0</v>
      </c>
      <c r="Y485" s="9">
        <f>IF('[1]Game Input'!$CF485&lt;&gt;"",'[1]Game Input'!$CF485,"")</f>
        <v>8</v>
      </c>
      <c r="Z485" s="9">
        <f>IF('[1]Game Input'!$CG485&lt;&gt;"",'[1]Game Input'!$CG485,"")</f>
        <v>0</v>
      </c>
      <c r="AA485" s="9">
        <f>IF('[1]Game Input'!$CH485&lt;&gt;"",'[1]Game Input'!$CH485,"")</f>
        <v>0</v>
      </c>
      <c r="AB485" s="9">
        <f>IF('[1]Game Input'!$CI485&lt;&gt;"",'[1]Game Input'!$CI485,"")</f>
        <v>0</v>
      </c>
      <c r="AC485" s="9">
        <f>IF('[1]Game Input'!$CJ485&lt;&gt;"",'[1]Game Input'!$CJ485,"")</f>
        <v>0</v>
      </c>
      <c r="AD485" s="9">
        <f>IF('[1]Game Input'!$CK485&lt;&gt;"",'[1]Game Input'!$CK485,"")</f>
        <v>0</v>
      </c>
      <c r="AE485" s="8"/>
      <c r="AF485" s="8"/>
      <c r="AG485" s="8"/>
      <c r="AH485" s="8"/>
    </row>
    <row r="486" spans="1:34" x14ac:dyDescent="0.2">
      <c r="A486" s="6">
        <f>IF('[1]Game Input'!$A486&lt;&gt;"",'[1]Game Input'!$A486,"")</f>
        <v>43554</v>
      </c>
      <c r="B486" s="6" t="str">
        <f>IF(A486&gt;$B$1,VLOOKUP(MONTH($A486),DOTWMonth,2,FALSE),"")</f>
        <v>March</v>
      </c>
      <c r="C486" s="10" t="str">
        <f>IF(A486&gt;$B$1,VLOOKUP(WEEKDAY($A486),DOTWMonth,3,FALSE),"")</f>
        <v>Saturday</v>
      </c>
      <c r="D486" s="7">
        <f>IF('[1]Game Input'!$B486&lt;&gt;"",'[1]Game Input'!$B486,"")</f>
        <v>0.83680555555555547</v>
      </c>
      <c r="E486" s="7">
        <f>IF('[1]Game Input'!$C486&lt;&gt;"",'[1]Game Input'!$C486,"")</f>
        <v>0.79513888888888884</v>
      </c>
      <c r="F486" s="8" t="str">
        <f>IF('[1]Game Input'!$D486&lt;&gt;"",'[1]Game Input'!$D486,"")</f>
        <v>Daylight</v>
      </c>
      <c r="G486" s="8" t="str">
        <f>IF('[1]Game Input'!$G486&lt;&gt;"",'[1]Game Input'!$G486,"")</f>
        <v>WAT @ CHI</v>
      </c>
      <c r="H486" s="8" t="str">
        <f>IF('[1]Game Input'!$H486&lt;&gt;"",'[1]Game Input'!$H486,"")</f>
        <v>Vs. Non-Conference</v>
      </c>
      <c r="I486" s="8" t="str">
        <f>IF('[1]Game Input'!$I486&lt;&gt;"",'[1]Game Input'!$I486,"")</f>
        <v>WATERLOO</v>
      </c>
      <c r="J486" s="9">
        <f>IF('[1]Game Input'!$AC486&lt;&gt;"",'[1]Game Input'!$AC486,"")</f>
        <v>12</v>
      </c>
      <c r="K486" s="9">
        <f>IF('[1]Game Input'!$AD486&lt;&gt;"",'[1]Game Input'!$AD486,"")</f>
        <v>6</v>
      </c>
      <c r="L486" s="9">
        <f>IF('[1]Game Input'!$AJ486&lt;&gt;"",'[1]Game Input'!$AJ486,"")</f>
        <v>0</v>
      </c>
      <c r="M486" s="9">
        <f>IF('[1]Game Input'!$AK486&lt;&gt;"",'[1]Game Input'!$AK486,"")</f>
        <v>0</v>
      </c>
      <c r="N486" s="9">
        <f>IF('[1]Game Input'!$AN486&lt;&gt;"",'[1]Game Input'!$AN486,"")</f>
        <v>6</v>
      </c>
      <c r="O486" s="9">
        <f>IF('[1]Game Input'!$AO486&lt;&gt;"",'[1]Game Input'!$AO486,"")</f>
        <v>0</v>
      </c>
      <c r="P486" s="9">
        <f>IF('[1]Game Input'!$AP486&lt;&gt;"",'[1]Game Input'!$AP486,"")</f>
        <v>0</v>
      </c>
      <c r="Q486" s="9">
        <f>IF('[1]Game Input'!$AQ486&lt;&gt;"",'[1]Game Input'!$AQ486,"")</f>
        <v>0</v>
      </c>
      <c r="R486" s="9">
        <f>IF('[1]Game Input'!$AR486&lt;&gt;"",'[1]Game Input'!$AR486,"")</f>
        <v>0</v>
      </c>
      <c r="S486" s="9">
        <f>IF('[1]Game Input'!$AS486&lt;&gt;"",'[1]Game Input'!$AS486,"")</f>
        <v>0</v>
      </c>
      <c r="T486" s="10" t="str">
        <f>IF('[1]Game Input'!$BA486&lt;&gt;"",'[1]Game Input'!$BA486,"")</f>
        <v>CHICAGO</v>
      </c>
      <c r="U486" s="9">
        <f>IF('[1]Game Input'!$BU486&lt;&gt;"",'[1]Game Input'!$BU486,"")</f>
        <v>8</v>
      </c>
      <c r="V486" s="9">
        <f>IF('[1]Game Input'!$BV486&lt;&gt;"",'[1]Game Input'!$BV486,"")</f>
        <v>4</v>
      </c>
      <c r="W486" s="9">
        <f>IF('[1]Game Input'!$CB486&lt;&gt;"",'[1]Game Input'!$CB486,"")</f>
        <v>0</v>
      </c>
      <c r="X486" s="9">
        <f>IF('[1]Game Input'!$CC486&lt;&gt;"",'[1]Game Input'!$CC486,"")</f>
        <v>0</v>
      </c>
      <c r="Y486" s="9">
        <f>IF('[1]Game Input'!$CF486&lt;&gt;"",'[1]Game Input'!$CF486,"")</f>
        <v>4</v>
      </c>
      <c r="Z486" s="9">
        <f>IF('[1]Game Input'!$CG486&lt;&gt;"",'[1]Game Input'!$CG486,"")</f>
        <v>0</v>
      </c>
      <c r="AA486" s="9">
        <f>IF('[1]Game Input'!$CH486&lt;&gt;"",'[1]Game Input'!$CH486,"")</f>
        <v>0</v>
      </c>
      <c r="AB486" s="9">
        <f>IF('[1]Game Input'!$CI486&lt;&gt;"",'[1]Game Input'!$CI486,"")</f>
        <v>0</v>
      </c>
      <c r="AC486" s="9">
        <f>IF('[1]Game Input'!$CJ486&lt;&gt;"",'[1]Game Input'!$CJ486,"")</f>
        <v>0</v>
      </c>
      <c r="AD486" s="9">
        <f>IF('[1]Game Input'!$CK486&lt;&gt;"",'[1]Game Input'!$CK486,"")</f>
        <v>0</v>
      </c>
      <c r="AE486" s="8"/>
      <c r="AF486" s="8"/>
      <c r="AG486" s="8"/>
      <c r="AH486" s="8"/>
    </row>
    <row r="487" spans="1:34" x14ac:dyDescent="0.2">
      <c r="A487" s="6">
        <f>IF('[1]Game Input'!$A487&lt;&gt;"",'[1]Game Input'!$A487,"")</f>
        <v>43554</v>
      </c>
      <c r="B487" s="6" t="str">
        <f>IF(A487&gt;$B$1,VLOOKUP(MONTH($A487),DOTWMonth,2,FALSE),"")</f>
        <v>March</v>
      </c>
      <c r="C487" s="10" t="str">
        <f>IF(A487&gt;$B$1,VLOOKUP(WEEKDAY($A487),DOTWMonth,3,FALSE),"")</f>
        <v>Saturday</v>
      </c>
      <c r="D487" s="7">
        <f>IF('[1]Game Input'!$B487&lt;&gt;"",'[1]Game Input'!$B487,"")</f>
        <v>0.83680555555555547</v>
      </c>
      <c r="E487" s="7">
        <f>IF('[1]Game Input'!$C487&lt;&gt;"",'[1]Game Input'!$C487,"")</f>
        <v>0.79513888888888884</v>
      </c>
      <c r="F487" s="8" t="str">
        <f>IF('[1]Game Input'!$D487&lt;&gt;"",'[1]Game Input'!$D487,"")</f>
        <v>Daylight</v>
      </c>
      <c r="G487" s="8" t="str">
        <f>IF('[1]Game Input'!$G487&lt;&gt;"",'[1]Game Input'!$G487,"")</f>
        <v>DM @ DUB</v>
      </c>
      <c r="H487" s="8" t="str">
        <f>IF('[1]Game Input'!$H487&lt;&gt;"",'[1]Game Input'!$H487,"")</f>
        <v>Vs. Non-Conference</v>
      </c>
      <c r="I487" s="8" t="str">
        <f>IF('[1]Game Input'!$I487&lt;&gt;"",'[1]Game Input'!$I487,"")</f>
        <v>DES MOINES</v>
      </c>
      <c r="J487" s="9">
        <f>IF('[1]Game Input'!$AC487&lt;&gt;"",'[1]Game Input'!$AC487,"")</f>
        <v>4</v>
      </c>
      <c r="K487" s="9">
        <f>IF('[1]Game Input'!$AD487&lt;&gt;"",'[1]Game Input'!$AD487,"")</f>
        <v>2</v>
      </c>
      <c r="L487" s="9">
        <f>IF('[1]Game Input'!$AJ487&lt;&gt;"",'[1]Game Input'!$AJ487,"")</f>
        <v>0</v>
      </c>
      <c r="M487" s="9">
        <f>IF('[1]Game Input'!$AK487&lt;&gt;"",'[1]Game Input'!$AK487,"")</f>
        <v>0</v>
      </c>
      <c r="N487" s="9">
        <f>IF('[1]Game Input'!$AN487&lt;&gt;"",'[1]Game Input'!$AN487,"")</f>
        <v>2</v>
      </c>
      <c r="O487" s="9">
        <f>IF('[1]Game Input'!$AO487&lt;&gt;"",'[1]Game Input'!$AO487,"")</f>
        <v>0</v>
      </c>
      <c r="P487" s="9">
        <f>IF('[1]Game Input'!$AP487&lt;&gt;"",'[1]Game Input'!$AP487,"")</f>
        <v>0</v>
      </c>
      <c r="Q487" s="9">
        <f>IF('[1]Game Input'!$AQ487&lt;&gt;"",'[1]Game Input'!$AQ487,"")</f>
        <v>0</v>
      </c>
      <c r="R487" s="9">
        <f>IF('[1]Game Input'!$AR487&lt;&gt;"",'[1]Game Input'!$AR487,"")</f>
        <v>0</v>
      </c>
      <c r="S487" s="9">
        <f>IF('[1]Game Input'!$AS487&lt;&gt;"",'[1]Game Input'!$AS487,"")</f>
        <v>0</v>
      </c>
      <c r="T487" s="10" t="str">
        <f>IF('[1]Game Input'!$BA487&lt;&gt;"",'[1]Game Input'!$BA487,"")</f>
        <v>DUBUQUE</v>
      </c>
      <c r="U487" s="9">
        <f>IF('[1]Game Input'!$BU487&lt;&gt;"",'[1]Game Input'!$BU487,"")</f>
        <v>16</v>
      </c>
      <c r="V487" s="9">
        <f>IF('[1]Game Input'!$BV487&lt;&gt;"",'[1]Game Input'!$BV487,"")</f>
        <v>4</v>
      </c>
      <c r="W487" s="9">
        <f>IF('[1]Game Input'!$CB487&lt;&gt;"",'[1]Game Input'!$CB487,"")</f>
        <v>0</v>
      </c>
      <c r="X487" s="9">
        <f>IF('[1]Game Input'!$CC487&lt;&gt;"",'[1]Game Input'!$CC487,"")</f>
        <v>0</v>
      </c>
      <c r="Y487" s="9">
        <f>IF('[1]Game Input'!$CF487&lt;&gt;"",'[1]Game Input'!$CF487,"")</f>
        <v>3</v>
      </c>
      <c r="Z487" s="9">
        <f>IF('[1]Game Input'!$CG487&lt;&gt;"",'[1]Game Input'!$CG487,"")</f>
        <v>0</v>
      </c>
      <c r="AA487" s="9">
        <f>IF('[1]Game Input'!$CH487&lt;&gt;"",'[1]Game Input'!$CH487,"")</f>
        <v>1</v>
      </c>
      <c r="AB487" s="9">
        <f>IF('[1]Game Input'!$CI487&lt;&gt;"",'[1]Game Input'!$CI487,"")</f>
        <v>0</v>
      </c>
      <c r="AC487" s="9">
        <f>IF('[1]Game Input'!$CJ487&lt;&gt;"",'[1]Game Input'!$CJ487,"")</f>
        <v>0</v>
      </c>
      <c r="AD487" s="9">
        <f>IF('[1]Game Input'!$CK487&lt;&gt;"",'[1]Game Input'!$CK487,"")</f>
        <v>0</v>
      </c>
      <c r="AE487" s="8" t="s">
        <v>127</v>
      </c>
      <c r="AF487" s="8"/>
      <c r="AG487" s="8" t="s">
        <v>130</v>
      </c>
      <c r="AH487" s="8" t="s">
        <v>116</v>
      </c>
    </row>
    <row r="488" spans="1:34" x14ac:dyDescent="0.2">
      <c r="A488" s="6">
        <f>IF('[1]Game Input'!$A488&lt;&gt;"",'[1]Game Input'!$A488,"")</f>
        <v>43554</v>
      </c>
      <c r="B488" s="6" t="str">
        <f>IF(A488&gt;$B$1,VLOOKUP(MONTH($A488),DOTWMonth,2,FALSE),"")</f>
        <v>March</v>
      </c>
      <c r="C488" s="10" t="str">
        <f>IF(A488&gt;$B$1,VLOOKUP(WEEKDAY($A488),DOTWMonth,3,FALSE),"")</f>
        <v>Saturday</v>
      </c>
      <c r="D488" s="7">
        <f>IF('[1]Game Input'!$B488&lt;&gt;"",'[1]Game Input'!$B488,"")</f>
        <v>0.83680555555555547</v>
      </c>
      <c r="E488" s="7">
        <f>IF('[1]Game Input'!$C488&lt;&gt;"",'[1]Game Input'!$C488,"")</f>
        <v>0.79513888888888884</v>
      </c>
      <c r="F488" s="8" t="str">
        <f>IF('[1]Game Input'!$D488&lt;&gt;"",'[1]Game Input'!$D488,"")</f>
        <v>Daylight</v>
      </c>
      <c r="G488" s="8" t="str">
        <f>IF('[1]Game Input'!$G488&lt;&gt;"",'[1]Game Input'!$G488,"")</f>
        <v>OMA @ GB</v>
      </c>
      <c r="H488" s="8" t="str">
        <f>IF('[1]Game Input'!$H488&lt;&gt;"",'[1]Game Input'!$H488,"")</f>
        <v>Vs. Non-Conference</v>
      </c>
      <c r="I488" s="8" t="str">
        <f>IF('[1]Game Input'!$I488&lt;&gt;"",'[1]Game Input'!$I488,"")</f>
        <v>OMAHA</v>
      </c>
      <c r="J488" s="9">
        <f>IF('[1]Game Input'!$AC488&lt;&gt;"",'[1]Game Input'!$AC488,"")</f>
        <v>6</v>
      </c>
      <c r="K488" s="9">
        <f>IF('[1]Game Input'!$AD488&lt;&gt;"",'[1]Game Input'!$AD488,"")</f>
        <v>3</v>
      </c>
      <c r="L488" s="9">
        <f>IF('[1]Game Input'!$AJ488&lt;&gt;"",'[1]Game Input'!$AJ488,"")</f>
        <v>0</v>
      </c>
      <c r="M488" s="9">
        <f>IF('[1]Game Input'!$AK488&lt;&gt;"",'[1]Game Input'!$AK488,"")</f>
        <v>0</v>
      </c>
      <c r="N488" s="9">
        <f>IF('[1]Game Input'!$AN488&lt;&gt;"",'[1]Game Input'!$AN488,"")</f>
        <v>3</v>
      </c>
      <c r="O488" s="9">
        <f>IF('[1]Game Input'!$AO488&lt;&gt;"",'[1]Game Input'!$AO488,"")</f>
        <v>0</v>
      </c>
      <c r="P488" s="9">
        <f>IF('[1]Game Input'!$AP488&lt;&gt;"",'[1]Game Input'!$AP488,"")</f>
        <v>0</v>
      </c>
      <c r="Q488" s="9">
        <f>IF('[1]Game Input'!$AQ488&lt;&gt;"",'[1]Game Input'!$AQ488,"")</f>
        <v>0</v>
      </c>
      <c r="R488" s="9">
        <f>IF('[1]Game Input'!$AR488&lt;&gt;"",'[1]Game Input'!$AR488,"")</f>
        <v>0</v>
      </c>
      <c r="S488" s="9">
        <f>IF('[1]Game Input'!$AS488&lt;&gt;"",'[1]Game Input'!$AS488,"")</f>
        <v>0</v>
      </c>
      <c r="T488" s="10" t="str">
        <f>IF('[1]Game Input'!$BA488&lt;&gt;"",'[1]Game Input'!$BA488,"")</f>
        <v>GREEN BAY</v>
      </c>
      <c r="U488" s="9">
        <f>IF('[1]Game Input'!$BU488&lt;&gt;"",'[1]Game Input'!$BU488,"")</f>
        <v>6</v>
      </c>
      <c r="V488" s="9">
        <f>IF('[1]Game Input'!$BV488&lt;&gt;"",'[1]Game Input'!$BV488,"")</f>
        <v>3</v>
      </c>
      <c r="W488" s="9">
        <f>IF('[1]Game Input'!$CB488&lt;&gt;"",'[1]Game Input'!$CB488,"")</f>
        <v>0</v>
      </c>
      <c r="X488" s="9">
        <f>IF('[1]Game Input'!$CC488&lt;&gt;"",'[1]Game Input'!$CC488,"")</f>
        <v>0</v>
      </c>
      <c r="Y488" s="9">
        <f>IF('[1]Game Input'!$CF488&lt;&gt;"",'[1]Game Input'!$CF488,"")</f>
        <v>3</v>
      </c>
      <c r="Z488" s="9">
        <f>IF('[1]Game Input'!$CG488&lt;&gt;"",'[1]Game Input'!$CG488,"")</f>
        <v>0</v>
      </c>
      <c r="AA488" s="9">
        <f>IF('[1]Game Input'!$CH488&lt;&gt;"",'[1]Game Input'!$CH488,"")</f>
        <v>0</v>
      </c>
      <c r="AB488" s="9">
        <f>IF('[1]Game Input'!$CI488&lt;&gt;"",'[1]Game Input'!$CI488,"")</f>
        <v>0</v>
      </c>
      <c r="AC488" s="9">
        <f>IF('[1]Game Input'!$CJ488&lt;&gt;"",'[1]Game Input'!$CJ488,"")</f>
        <v>0</v>
      </c>
      <c r="AD488" s="9">
        <f>IF('[1]Game Input'!$CK488&lt;&gt;"",'[1]Game Input'!$CK488,"")</f>
        <v>0</v>
      </c>
      <c r="AE488" s="8"/>
      <c r="AF488" s="8"/>
      <c r="AG488" s="8"/>
      <c r="AH488" s="8"/>
    </row>
    <row r="489" spans="1:34" x14ac:dyDescent="0.2">
      <c r="A489" s="6">
        <f>IF('[1]Game Input'!$A489&lt;&gt;"",'[1]Game Input'!$A489,"")</f>
        <v>43554</v>
      </c>
      <c r="B489" s="6" t="str">
        <f>IF(A489&gt;$B$1,VLOOKUP(MONTH($A489),DOTWMonth,2,FALSE),"")</f>
        <v>March</v>
      </c>
      <c r="C489" s="10" t="str">
        <f>IF(A489&gt;$B$1,VLOOKUP(WEEKDAY($A489),DOTWMonth,3,FALSE),"")</f>
        <v>Saturday</v>
      </c>
      <c r="D489" s="7">
        <f>IF('[1]Game Input'!$B489&lt;&gt;"",'[1]Game Input'!$B489,"")</f>
        <v>0.83680555555555547</v>
      </c>
      <c r="E489" s="7">
        <f>IF('[1]Game Input'!$C489&lt;&gt;"",'[1]Game Input'!$C489,"")</f>
        <v>0.79513888888888884</v>
      </c>
      <c r="F489" s="8" t="str">
        <f>IF('[1]Game Input'!$D489&lt;&gt;"",'[1]Game Input'!$D489,"")</f>
        <v>Daylight</v>
      </c>
      <c r="G489" s="8" t="str">
        <f>IF('[1]Game Input'!$G489&lt;&gt;"",'[1]Game Input'!$G489,"")</f>
        <v>CR @ SF</v>
      </c>
      <c r="H489" s="8" t="str">
        <f>IF('[1]Game Input'!$H489&lt;&gt;"",'[1]Game Input'!$H489,"")</f>
        <v>Vs. Non-Conference</v>
      </c>
      <c r="I489" s="8" t="str">
        <f>IF('[1]Game Input'!$I489&lt;&gt;"",'[1]Game Input'!$I489,"")</f>
        <v>CEDAR RAPIDS</v>
      </c>
      <c r="J489" s="9">
        <f>IF('[1]Game Input'!$AC489&lt;&gt;"",'[1]Game Input'!$AC489,"")</f>
        <v>23</v>
      </c>
      <c r="K489" s="9">
        <f>IF('[1]Game Input'!$AD489&lt;&gt;"",'[1]Game Input'!$AD489,"")</f>
        <v>6</v>
      </c>
      <c r="L489" s="9">
        <f>IF('[1]Game Input'!$AJ489&lt;&gt;"",'[1]Game Input'!$AJ489,"")</f>
        <v>0</v>
      </c>
      <c r="M489" s="9">
        <f>IF('[1]Game Input'!$AK489&lt;&gt;"",'[1]Game Input'!$AK489,"")</f>
        <v>0</v>
      </c>
      <c r="N489" s="9">
        <f>IF('[1]Game Input'!$AN489&lt;&gt;"",'[1]Game Input'!$AN489,"")</f>
        <v>4</v>
      </c>
      <c r="O489" s="9">
        <f>IF('[1]Game Input'!$AO489&lt;&gt;"",'[1]Game Input'!$AO489,"")</f>
        <v>1</v>
      </c>
      <c r="P489" s="9">
        <f>IF('[1]Game Input'!$AP489&lt;&gt;"",'[1]Game Input'!$AP489,"")</f>
        <v>0</v>
      </c>
      <c r="Q489" s="9">
        <f>IF('[1]Game Input'!$AQ489&lt;&gt;"",'[1]Game Input'!$AQ489,"")</f>
        <v>1</v>
      </c>
      <c r="R489" s="9">
        <f>IF('[1]Game Input'!$AR489&lt;&gt;"",'[1]Game Input'!$AR489,"")</f>
        <v>0</v>
      </c>
      <c r="S489" s="9">
        <f>IF('[1]Game Input'!$AS489&lt;&gt;"",'[1]Game Input'!$AS489,"")</f>
        <v>0</v>
      </c>
      <c r="T489" s="10" t="str">
        <f>IF('[1]Game Input'!$BA489&lt;&gt;"",'[1]Game Input'!$BA489,"")</f>
        <v>SIOUX FALLS</v>
      </c>
      <c r="U489" s="9">
        <f>IF('[1]Game Input'!$BU489&lt;&gt;"",'[1]Game Input'!$BU489,"")</f>
        <v>10</v>
      </c>
      <c r="V489" s="9">
        <f>IF('[1]Game Input'!$BV489&lt;&gt;"",'[1]Game Input'!$BV489,"")</f>
        <v>5</v>
      </c>
      <c r="W489" s="9">
        <f>IF('[1]Game Input'!$CB489&lt;&gt;"",'[1]Game Input'!$CB489,"")</f>
        <v>0</v>
      </c>
      <c r="X489" s="9">
        <f>IF('[1]Game Input'!$CC489&lt;&gt;"",'[1]Game Input'!$CC489,"")</f>
        <v>0</v>
      </c>
      <c r="Y489" s="9">
        <f>IF('[1]Game Input'!$CF489&lt;&gt;"",'[1]Game Input'!$CF489,"")</f>
        <v>5</v>
      </c>
      <c r="Z489" s="9">
        <f>IF('[1]Game Input'!$CG489&lt;&gt;"",'[1]Game Input'!$CG489,"")</f>
        <v>0</v>
      </c>
      <c r="AA489" s="9">
        <f>IF('[1]Game Input'!$CH489&lt;&gt;"",'[1]Game Input'!$CH489,"")</f>
        <v>0</v>
      </c>
      <c r="AB489" s="9">
        <f>IF('[1]Game Input'!$CI489&lt;&gt;"",'[1]Game Input'!$CI489,"")</f>
        <v>0</v>
      </c>
      <c r="AC489" s="9">
        <f>IF('[1]Game Input'!$CJ489&lt;&gt;"",'[1]Game Input'!$CJ489,"")</f>
        <v>0</v>
      </c>
      <c r="AD489" s="9">
        <f>IF('[1]Game Input'!$CK489&lt;&gt;"",'[1]Game Input'!$CK489,"")</f>
        <v>0</v>
      </c>
      <c r="AE489" s="8" t="s">
        <v>90</v>
      </c>
      <c r="AF489" s="8"/>
      <c r="AG489" s="8" t="s">
        <v>128</v>
      </c>
      <c r="AH489" s="8" t="s">
        <v>140</v>
      </c>
    </row>
    <row r="490" spans="1:34" x14ac:dyDescent="0.2">
      <c r="A490" s="6">
        <f>IF('[1]Game Input'!$A490&lt;&gt;"",'[1]Game Input'!$A490,"")</f>
        <v>43554</v>
      </c>
      <c r="B490" s="6" t="str">
        <f>IF(A490&gt;$B$1,VLOOKUP(MONTH($A490),DOTWMonth,2,FALSE),"")</f>
        <v>March</v>
      </c>
      <c r="C490" s="10" t="str">
        <f>IF(A490&gt;$B$1,VLOOKUP(WEEKDAY($A490),DOTWMonth,3,FALSE),"")</f>
        <v>Saturday</v>
      </c>
      <c r="D490" s="7">
        <f>IF('[1]Game Input'!$B490&lt;&gt;"",'[1]Game Input'!$B490,"")</f>
        <v>0.83819444444444446</v>
      </c>
      <c r="E490" s="7">
        <f>IF('[1]Game Input'!$C490&lt;&gt;"",'[1]Game Input'!$C490,"")</f>
        <v>0.79652777777777783</v>
      </c>
      <c r="F490" s="8" t="str">
        <f>IF('[1]Game Input'!$D490&lt;&gt;"",'[1]Game Input'!$D490,"")</f>
        <v>Daylight</v>
      </c>
      <c r="G490" s="8" t="str">
        <f>IF('[1]Game Input'!$G490&lt;&gt;"",'[1]Game Input'!$G490,"")</f>
        <v>MUS @ CIL</v>
      </c>
      <c r="H490" s="8" t="str">
        <f>IF('[1]Game Input'!$H490&lt;&gt;"",'[1]Game Input'!$H490,"")</f>
        <v>Vs. Conference</v>
      </c>
      <c r="I490" s="8" t="str">
        <f>IF('[1]Game Input'!$I490&lt;&gt;"",'[1]Game Input'!$I490,"")</f>
        <v>MUSKEGON</v>
      </c>
      <c r="J490" s="9">
        <f>IF('[1]Game Input'!$AC490&lt;&gt;"",'[1]Game Input'!$AC490,"")</f>
        <v>41</v>
      </c>
      <c r="K490" s="9">
        <f>IF('[1]Game Input'!$AD490&lt;&gt;"",'[1]Game Input'!$AD490,"")</f>
        <v>11</v>
      </c>
      <c r="L490" s="9">
        <f>IF('[1]Game Input'!$AJ490&lt;&gt;"",'[1]Game Input'!$AJ490,"")</f>
        <v>0</v>
      </c>
      <c r="M490" s="9">
        <f>IF('[1]Game Input'!$AK490&lt;&gt;"",'[1]Game Input'!$AK490,"")</f>
        <v>0</v>
      </c>
      <c r="N490" s="9">
        <f>IF('[1]Game Input'!$AN490&lt;&gt;"",'[1]Game Input'!$AN490,"")</f>
        <v>8</v>
      </c>
      <c r="O490" s="9">
        <f>IF('[1]Game Input'!$AO490&lt;&gt;"",'[1]Game Input'!$AO490,"")</f>
        <v>1</v>
      </c>
      <c r="P490" s="9">
        <f>IF('[1]Game Input'!$AP490&lt;&gt;"",'[1]Game Input'!$AP490,"")</f>
        <v>1</v>
      </c>
      <c r="Q490" s="9">
        <f>IF('[1]Game Input'!$AQ490&lt;&gt;"",'[1]Game Input'!$AQ490,"")</f>
        <v>1</v>
      </c>
      <c r="R490" s="9">
        <f>IF('[1]Game Input'!$AR490&lt;&gt;"",'[1]Game Input'!$AR490,"")</f>
        <v>0</v>
      </c>
      <c r="S490" s="9">
        <f>IF('[1]Game Input'!$AS490&lt;&gt;"",'[1]Game Input'!$AS490,"")</f>
        <v>0</v>
      </c>
      <c r="T490" s="10" t="str">
        <f>IF('[1]Game Input'!$BA490&lt;&gt;"",'[1]Game Input'!$BA490,"")</f>
        <v>CENTRAL ILLINOIS</v>
      </c>
      <c r="U490" s="9">
        <f>IF('[1]Game Input'!$BU490&lt;&gt;"",'[1]Game Input'!$BU490,"")</f>
        <v>32</v>
      </c>
      <c r="V490" s="9">
        <f>IF('[1]Game Input'!$BV490&lt;&gt;"",'[1]Game Input'!$BV490,"")</f>
        <v>12</v>
      </c>
      <c r="W490" s="9">
        <f>IF('[1]Game Input'!$CB490&lt;&gt;"",'[1]Game Input'!$CB490,"")</f>
        <v>0</v>
      </c>
      <c r="X490" s="9">
        <f>IF('[1]Game Input'!$CC490&lt;&gt;"",'[1]Game Input'!$CC490,"")</f>
        <v>0</v>
      </c>
      <c r="Y490" s="9">
        <f>IF('[1]Game Input'!$CF490&lt;&gt;"",'[1]Game Input'!$CF490,"")</f>
        <v>11</v>
      </c>
      <c r="Z490" s="9">
        <f>IF('[1]Game Input'!$CG490&lt;&gt;"",'[1]Game Input'!$CG490,"")</f>
        <v>0</v>
      </c>
      <c r="AA490" s="9">
        <f>IF('[1]Game Input'!$CH490&lt;&gt;"",'[1]Game Input'!$CH490,"")</f>
        <v>1</v>
      </c>
      <c r="AB490" s="9">
        <f>IF('[1]Game Input'!$CI490&lt;&gt;"",'[1]Game Input'!$CI490,"")</f>
        <v>0</v>
      </c>
      <c r="AC490" s="9">
        <f>IF('[1]Game Input'!$CJ490&lt;&gt;"",'[1]Game Input'!$CJ490,"")</f>
        <v>0</v>
      </c>
      <c r="AD490" s="9">
        <f>IF('[1]Game Input'!$CK490&lt;&gt;"",'[1]Game Input'!$CK490,"")</f>
        <v>0</v>
      </c>
      <c r="AE490" s="8" t="s">
        <v>94</v>
      </c>
      <c r="AF490" s="8"/>
      <c r="AG490" s="8" t="s">
        <v>122</v>
      </c>
      <c r="AH490" s="8" t="s">
        <v>112</v>
      </c>
    </row>
    <row r="491" spans="1:34" x14ac:dyDescent="0.2">
      <c r="A491" s="6">
        <f>IF('[1]Game Input'!$A491&lt;&gt;"",'[1]Game Input'!$A491,"")</f>
        <v>43555</v>
      </c>
      <c r="B491" s="6" t="str">
        <f>IF(A491&gt;$B$1,VLOOKUP(MONTH($A491),DOTWMonth,2,FALSE),"")</f>
        <v>March</v>
      </c>
      <c r="C491" s="10" t="str">
        <f>IF(A491&gt;$B$1,VLOOKUP(WEEKDAY($A491),DOTWMonth,3,FALSE),"")</f>
        <v>Sunday</v>
      </c>
      <c r="D491" s="7">
        <f>IF('[1]Game Input'!$B491&lt;&gt;"",'[1]Game Input'!$B491,"")</f>
        <v>0.67013888888888884</v>
      </c>
      <c r="E491" s="7">
        <f>IF('[1]Game Input'!$C491&lt;&gt;"",'[1]Game Input'!$C491,"")</f>
        <v>0.62847222222222221</v>
      </c>
      <c r="F491" s="8" t="str">
        <f>IF('[1]Game Input'!$D491&lt;&gt;"",'[1]Game Input'!$D491,"")</f>
        <v>Daylight</v>
      </c>
      <c r="G491" s="8" t="str">
        <f>IF('[1]Game Input'!$G491&lt;&gt;"",'[1]Game Input'!$G491,"")</f>
        <v>CIL @ DUB</v>
      </c>
      <c r="H491" s="8" t="str">
        <f>IF('[1]Game Input'!$H491&lt;&gt;"",'[1]Game Input'!$H491,"")</f>
        <v>Vs. Conference</v>
      </c>
      <c r="I491" s="8" t="str">
        <f>IF('[1]Game Input'!$I491&lt;&gt;"",'[1]Game Input'!$I491,"")</f>
        <v>CENTRAL ILLINOIS</v>
      </c>
      <c r="J491" s="9">
        <f>IF('[1]Game Input'!$AC491&lt;&gt;"",'[1]Game Input'!$AC491,"")</f>
        <v>10</v>
      </c>
      <c r="K491" s="9">
        <f>IF('[1]Game Input'!$AD491&lt;&gt;"",'[1]Game Input'!$AD491,"")</f>
        <v>5</v>
      </c>
      <c r="L491" s="9">
        <f>IF('[1]Game Input'!$AJ491&lt;&gt;"",'[1]Game Input'!$AJ491,"")</f>
        <v>0</v>
      </c>
      <c r="M491" s="9">
        <f>IF('[1]Game Input'!$AK491&lt;&gt;"",'[1]Game Input'!$AK491,"")</f>
        <v>0</v>
      </c>
      <c r="N491" s="9">
        <f>IF('[1]Game Input'!$AN491&lt;&gt;"",'[1]Game Input'!$AN491,"")</f>
        <v>5</v>
      </c>
      <c r="O491" s="9">
        <f>IF('[1]Game Input'!$AO491&lt;&gt;"",'[1]Game Input'!$AO491,"")</f>
        <v>0</v>
      </c>
      <c r="P491" s="9">
        <f>IF('[1]Game Input'!$AP491&lt;&gt;"",'[1]Game Input'!$AP491,"")</f>
        <v>0</v>
      </c>
      <c r="Q491" s="9">
        <f>IF('[1]Game Input'!$AQ491&lt;&gt;"",'[1]Game Input'!$AQ491,"")</f>
        <v>0</v>
      </c>
      <c r="R491" s="9">
        <f>IF('[1]Game Input'!$AR491&lt;&gt;"",'[1]Game Input'!$AR491,"")</f>
        <v>0</v>
      </c>
      <c r="S491" s="9">
        <f>IF('[1]Game Input'!$AS491&lt;&gt;"",'[1]Game Input'!$AS491,"")</f>
        <v>0</v>
      </c>
      <c r="T491" s="10" t="str">
        <f>IF('[1]Game Input'!$BA491&lt;&gt;"",'[1]Game Input'!$BA491,"")</f>
        <v>DUBUQUE</v>
      </c>
      <c r="U491" s="9">
        <f>IF('[1]Game Input'!$BU491&lt;&gt;"",'[1]Game Input'!$BU491,"")</f>
        <v>12</v>
      </c>
      <c r="V491" s="9">
        <f>IF('[1]Game Input'!$BV491&lt;&gt;"",'[1]Game Input'!$BV491,"")</f>
        <v>6</v>
      </c>
      <c r="W491" s="9">
        <f>IF('[1]Game Input'!$CB491&lt;&gt;"",'[1]Game Input'!$CB491,"")</f>
        <v>0</v>
      </c>
      <c r="X491" s="9">
        <f>IF('[1]Game Input'!$CC491&lt;&gt;"",'[1]Game Input'!$CC491,"")</f>
        <v>0</v>
      </c>
      <c r="Y491" s="9">
        <f>IF('[1]Game Input'!$CF491&lt;&gt;"",'[1]Game Input'!$CF491,"")</f>
        <v>6</v>
      </c>
      <c r="Z491" s="9">
        <f>IF('[1]Game Input'!$CG491&lt;&gt;"",'[1]Game Input'!$CG491,"")</f>
        <v>0</v>
      </c>
      <c r="AA491" s="9">
        <f>IF('[1]Game Input'!$CH491&lt;&gt;"",'[1]Game Input'!$CH491,"")</f>
        <v>0</v>
      </c>
      <c r="AB491" s="9">
        <f>IF('[1]Game Input'!$CI491&lt;&gt;"",'[1]Game Input'!$CI491,"")</f>
        <v>0</v>
      </c>
      <c r="AC491" s="9">
        <f>IF('[1]Game Input'!$CJ491&lt;&gt;"",'[1]Game Input'!$CJ491,"")</f>
        <v>0</v>
      </c>
      <c r="AD491" s="9">
        <f>IF('[1]Game Input'!$CK491&lt;&gt;"",'[1]Game Input'!$CK491,"")</f>
        <v>0</v>
      </c>
      <c r="AE491" s="8" t="s">
        <v>104</v>
      </c>
      <c r="AF491" s="8" t="s">
        <v>103</v>
      </c>
      <c r="AG491" s="8" t="s">
        <v>124</v>
      </c>
      <c r="AH491" s="8" t="s">
        <v>114</v>
      </c>
    </row>
    <row r="492" spans="1:34" x14ac:dyDescent="0.2">
      <c r="A492" s="6">
        <f>IF('[1]Game Input'!$A492&lt;&gt;"",'[1]Game Input'!$A492,"")</f>
        <v>43555</v>
      </c>
      <c r="B492" s="6" t="str">
        <f>IF(A492&gt;$B$1,VLOOKUP(MONTH($A492),DOTWMonth,2,FALSE),"")</f>
        <v>March</v>
      </c>
      <c r="C492" s="10" t="str">
        <f>IF(A492&gt;$B$1,VLOOKUP(WEEKDAY($A492),DOTWMonth,3,FALSE),"")</f>
        <v>Sunday</v>
      </c>
      <c r="D492" s="7">
        <f>IF('[1]Game Input'!$B492&lt;&gt;"",'[1]Game Input'!$B492,"")</f>
        <v>0.67013888888888884</v>
      </c>
      <c r="E492" s="7">
        <f>IF('[1]Game Input'!$C492&lt;&gt;"",'[1]Game Input'!$C492,"")</f>
        <v>0.62847222222222221</v>
      </c>
      <c r="F492" s="8" t="str">
        <f>IF('[1]Game Input'!$D492&lt;&gt;"",'[1]Game Input'!$D492,"")</f>
        <v>Daylight</v>
      </c>
      <c r="G492" s="8" t="str">
        <f>IF('[1]Game Input'!$G492&lt;&gt;"",'[1]Game Input'!$G492,"")</f>
        <v>FGO @ SC</v>
      </c>
      <c r="H492" s="8" t="str">
        <f>IF('[1]Game Input'!$H492&lt;&gt;"",'[1]Game Input'!$H492,"")</f>
        <v>Vs. Conference</v>
      </c>
      <c r="I492" s="8" t="str">
        <f>IF('[1]Game Input'!$I492&lt;&gt;"",'[1]Game Input'!$I492,"")</f>
        <v>FARGO</v>
      </c>
      <c r="J492" s="9">
        <f>IF('[1]Game Input'!$AC492&lt;&gt;"",'[1]Game Input'!$AC492,"")</f>
        <v>14</v>
      </c>
      <c r="K492" s="9">
        <f>IF('[1]Game Input'!$AD492&lt;&gt;"",'[1]Game Input'!$AD492,"")</f>
        <v>7</v>
      </c>
      <c r="L492" s="9">
        <f>IF('[1]Game Input'!$AJ492&lt;&gt;"",'[1]Game Input'!$AJ492,"")</f>
        <v>0</v>
      </c>
      <c r="M492" s="9">
        <f>IF('[1]Game Input'!$AK492&lt;&gt;"",'[1]Game Input'!$AK492,"")</f>
        <v>0</v>
      </c>
      <c r="N492" s="9">
        <f>IF('[1]Game Input'!$AN492&lt;&gt;"",'[1]Game Input'!$AN492,"")</f>
        <v>7</v>
      </c>
      <c r="O492" s="9">
        <f>IF('[1]Game Input'!$AO492&lt;&gt;"",'[1]Game Input'!$AO492,"")</f>
        <v>0</v>
      </c>
      <c r="P492" s="9">
        <f>IF('[1]Game Input'!$AP492&lt;&gt;"",'[1]Game Input'!$AP492,"")</f>
        <v>0</v>
      </c>
      <c r="Q492" s="9">
        <f>IF('[1]Game Input'!$AQ492&lt;&gt;"",'[1]Game Input'!$AQ492,"")</f>
        <v>0</v>
      </c>
      <c r="R492" s="9">
        <f>IF('[1]Game Input'!$AR492&lt;&gt;"",'[1]Game Input'!$AR492,"")</f>
        <v>0</v>
      </c>
      <c r="S492" s="9">
        <f>IF('[1]Game Input'!$AS492&lt;&gt;"",'[1]Game Input'!$AS492,"")</f>
        <v>0</v>
      </c>
      <c r="T492" s="10" t="str">
        <f>IF('[1]Game Input'!$BA492&lt;&gt;"",'[1]Game Input'!$BA492,"")</f>
        <v>SIOUX CITY</v>
      </c>
      <c r="U492" s="9">
        <f>IF('[1]Game Input'!$BU492&lt;&gt;"",'[1]Game Input'!$BU492,"")</f>
        <v>4</v>
      </c>
      <c r="V492" s="9">
        <f>IF('[1]Game Input'!$BV492&lt;&gt;"",'[1]Game Input'!$BV492,"")</f>
        <v>2</v>
      </c>
      <c r="W492" s="9">
        <f>IF('[1]Game Input'!$CB492&lt;&gt;"",'[1]Game Input'!$CB492,"")</f>
        <v>0</v>
      </c>
      <c r="X492" s="9">
        <f>IF('[1]Game Input'!$CC492&lt;&gt;"",'[1]Game Input'!$CC492,"")</f>
        <v>0</v>
      </c>
      <c r="Y492" s="9">
        <f>IF('[1]Game Input'!$CF492&lt;&gt;"",'[1]Game Input'!$CF492,"")</f>
        <v>2</v>
      </c>
      <c r="Z492" s="9">
        <f>IF('[1]Game Input'!$CG492&lt;&gt;"",'[1]Game Input'!$CG492,"")</f>
        <v>0</v>
      </c>
      <c r="AA492" s="9">
        <f>IF('[1]Game Input'!$CH492&lt;&gt;"",'[1]Game Input'!$CH492,"")</f>
        <v>0</v>
      </c>
      <c r="AB492" s="9">
        <f>IF('[1]Game Input'!$CI492&lt;&gt;"",'[1]Game Input'!$CI492,"")</f>
        <v>0</v>
      </c>
      <c r="AC492" s="9">
        <f>IF('[1]Game Input'!$CJ492&lt;&gt;"",'[1]Game Input'!$CJ492,"")</f>
        <v>0</v>
      </c>
      <c r="AD492" s="9">
        <f>IF('[1]Game Input'!$CK492&lt;&gt;"",'[1]Game Input'!$CK492,"")</f>
        <v>0</v>
      </c>
      <c r="AE492" s="8"/>
      <c r="AF492" s="8"/>
      <c r="AG492" s="8"/>
      <c r="AH492" s="8"/>
    </row>
    <row r="493" spans="1:34" x14ac:dyDescent="0.2">
      <c r="A493" s="6">
        <f>IF('[1]Game Input'!$A493&lt;&gt;"",'[1]Game Input'!$A493,"")</f>
        <v>43555</v>
      </c>
      <c r="B493" s="6" t="str">
        <f>IF(A493&gt;$B$1,VLOOKUP(MONTH($A493),DOTWMonth,2,FALSE),"")</f>
        <v>March</v>
      </c>
      <c r="C493" s="10" t="str">
        <f>IF(A493&gt;$B$1,VLOOKUP(WEEKDAY($A493),DOTWMonth,3,FALSE),"")</f>
        <v>Sunday</v>
      </c>
      <c r="D493" s="7">
        <f>IF('[1]Game Input'!$B493&lt;&gt;"",'[1]Game Input'!$B493,"")</f>
        <v>0.70833333333333337</v>
      </c>
      <c r="E493" s="7">
        <f>IF('[1]Game Input'!$C493&lt;&gt;"",'[1]Game Input'!$C493,"")</f>
        <v>0.66666666666666674</v>
      </c>
      <c r="F493" s="8" t="str">
        <f>IF('[1]Game Input'!$D493&lt;&gt;"",'[1]Game Input'!$D493,"")</f>
        <v>Daylight</v>
      </c>
      <c r="G493" s="8" t="str">
        <f>IF('[1]Game Input'!$G493&lt;&gt;"",'[1]Game Input'!$G493,"")</f>
        <v>USA @ YNG</v>
      </c>
      <c r="H493" s="8" t="str">
        <f>IF('[1]Game Input'!$H493&lt;&gt;"",'[1]Game Input'!$H493,"")</f>
        <v>Vs. Conference</v>
      </c>
      <c r="I493" s="8" t="str">
        <f>IF('[1]Game Input'!$I493&lt;&gt;"",'[1]Game Input'!$I493,"")</f>
        <v>TEAM USA</v>
      </c>
      <c r="J493" s="9">
        <f>IF('[1]Game Input'!$AC493&lt;&gt;"",'[1]Game Input'!$AC493,"")</f>
        <v>28</v>
      </c>
      <c r="K493" s="9">
        <f>IF('[1]Game Input'!$AD493&lt;&gt;"",'[1]Game Input'!$AD493,"")</f>
        <v>10</v>
      </c>
      <c r="L493" s="9">
        <f>IF('[1]Game Input'!$AJ493&lt;&gt;"",'[1]Game Input'!$AJ493,"")</f>
        <v>0</v>
      </c>
      <c r="M493" s="9">
        <f>IF('[1]Game Input'!$AK493&lt;&gt;"",'[1]Game Input'!$AK493,"")</f>
        <v>0</v>
      </c>
      <c r="N493" s="9">
        <f>IF('[1]Game Input'!$AN493&lt;&gt;"",'[1]Game Input'!$AN493,"")</f>
        <v>9</v>
      </c>
      <c r="O493" s="9">
        <f>IF('[1]Game Input'!$AO493&lt;&gt;"",'[1]Game Input'!$AO493,"")</f>
        <v>0</v>
      </c>
      <c r="P493" s="9">
        <f>IF('[1]Game Input'!$AP493&lt;&gt;"",'[1]Game Input'!$AP493,"")</f>
        <v>1</v>
      </c>
      <c r="Q493" s="9">
        <f>IF('[1]Game Input'!$AQ493&lt;&gt;"",'[1]Game Input'!$AQ493,"")</f>
        <v>0</v>
      </c>
      <c r="R493" s="9">
        <f>IF('[1]Game Input'!$AR493&lt;&gt;"",'[1]Game Input'!$AR493,"")</f>
        <v>0</v>
      </c>
      <c r="S493" s="9">
        <f>IF('[1]Game Input'!$AS493&lt;&gt;"",'[1]Game Input'!$AS493,"")</f>
        <v>0</v>
      </c>
      <c r="T493" s="10" t="str">
        <f>IF('[1]Game Input'!$BA493&lt;&gt;"",'[1]Game Input'!$BA493,"")</f>
        <v>YOUNGSTOWN</v>
      </c>
      <c r="U493" s="9">
        <f>IF('[1]Game Input'!$BU493&lt;&gt;"",'[1]Game Input'!$BU493,"")</f>
        <v>30</v>
      </c>
      <c r="V493" s="9">
        <f>IF('[1]Game Input'!$BV493&lt;&gt;"",'[1]Game Input'!$BV493,"")</f>
        <v>11</v>
      </c>
      <c r="W493" s="9">
        <f>IF('[1]Game Input'!$CB493&lt;&gt;"",'[1]Game Input'!$CB493,"")</f>
        <v>0</v>
      </c>
      <c r="X493" s="9">
        <f>IF('[1]Game Input'!$CC493&lt;&gt;"",'[1]Game Input'!$CC493,"")</f>
        <v>0</v>
      </c>
      <c r="Y493" s="9">
        <f>IF('[1]Game Input'!$CF493&lt;&gt;"",'[1]Game Input'!$CF493,"")</f>
        <v>10</v>
      </c>
      <c r="Z493" s="9">
        <f>IF('[1]Game Input'!$CG493&lt;&gt;"",'[1]Game Input'!$CG493,"")</f>
        <v>0</v>
      </c>
      <c r="AA493" s="9">
        <f>IF('[1]Game Input'!$CH493&lt;&gt;"",'[1]Game Input'!$CH493,"")</f>
        <v>1</v>
      </c>
      <c r="AB493" s="9">
        <f>IF('[1]Game Input'!$CI493&lt;&gt;"",'[1]Game Input'!$CI493,"")</f>
        <v>0</v>
      </c>
      <c r="AC493" s="9">
        <f>IF('[1]Game Input'!$CJ493&lt;&gt;"",'[1]Game Input'!$CJ493,"")</f>
        <v>0</v>
      </c>
      <c r="AD493" s="9">
        <f>IF('[1]Game Input'!$CK493&lt;&gt;"",'[1]Game Input'!$CK493,"")</f>
        <v>0</v>
      </c>
      <c r="AE493" s="8"/>
      <c r="AF493" s="8"/>
      <c r="AG493" s="8"/>
      <c r="AH493" s="8"/>
    </row>
    <row r="494" spans="1:34" x14ac:dyDescent="0.2">
      <c r="A494" s="6">
        <f>IF('[1]Game Input'!$A494&lt;&gt;"",'[1]Game Input'!$A494,"")</f>
        <v>43555</v>
      </c>
      <c r="B494" s="6" t="str">
        <f>IF(A494&gt;$B$1,VLOOKUP(MONTH($A494),DOTWMonth,2,FALSE),"")</f>
        <v>March</v>
      </c>
      <c r="C494" s="10" t="str">
        <f>IF(A494&gt;$B$1,VLOOKUP(WEEKDAY($A494),DOTWMonth,3,FALSE),"")</f>
        <v>Sunday</v>
      </c>
      <c r="D494" s="7">
        <f>IF('[1]Game Input'!$B494&lt;&gt;"",'[1]Game Input'!$B494,"")</f>
        <v>0.83680555555555547</v>
      </c>
      <c r="E494" s="7">
        <f>IF('[1]Game Input'!$C494&lt;&gt;"",'[1]Game Input'!$C494,"")</f>
        <v>0.79513888888888884</v>
      </c>
      <c r="F494" s="8" t="str">
        <f>IF('[1]Game Input'!$D494&lt;&gt;"",'[1]Game Input'!$D494,"")</f>
        <v>Daylight</v>
      </c>
      <c r="G494" s="8" t="str">
        <f>IF('[1]Game Input'!$G494&lt;&gt;"",'[1]Game Input'!$G494,"")</f>
        <v>OMA @ MAD</v>
      </c>
      <c r="H494" s="8" t="str">
        <f>IF('[1]Game Input'!$H494&lt;&gt;"",'[1]Game Input'!$H494,"")</f>
        <v>Vs. Non-Conference</v>
      </c>
      <c r="I494" s="8" t="str">
        <f>IF('[1]Game Input'!$I494&lt;&gt;"",'[1]Game Input'!$I494,"")</f>
        <v>OMAHA</v>
      </c>
      <c r="J494" s="9">
        <f>IF('[1]Game Input'!$AC494&lt;&gt;"",'[1]Game Input'!$AC494,"")</f>
        <v>18</v>
      </c>
      <c r="K494" s="9">
        <f>IF('[1]Game Input'!$AD494&lt;&gt;"",'[1]Game Input'!$AD494,"")</f>
        <v>5</v>
      </c>
      <c r="L494" s="9">
        <f>IF('[1]Game Input'!$AJ494&lt;&gt;"",'[1]Game Input'!$AJ494,"")</f>
        <v>0</v>
      </c>
      <c r="M494" s="9">
        <f>IF('[1]Game Input'!$AK494&lt;&gt;"",'[1]Game Input'!$AK494,"")</f>
        <v>0</v>
      </c>
      <c r="N494" s="9">
        <f>IF('[1]Game Input'!$AN494&lt;&gt;"",'[1]Game Input'!$AN494,"")</f>
        <v>4</v>
      </c>
      <c r="O494" s="9">
        <f>IF('[1]Game Input'!$AO494&lt;&gt;"",'[1]Game Input'!$AO494,"")</f>
        <v>0</v>
      </c>
      <c r="P494" s="9">
        <f>IF('[1]Game Input'!$AP494&lt;&gt;"",'[1]Game Input'!$AP494,"")</f>
        <v>1</v>
      </c>
      <c r="Q494" s="9">
        <f>IF('[1]Game Input'!$AQ494&lt;&gt;"",'[1]Game Input'!$AQ494,"")</f>
        <v>0</v>
      </c>
      <c r="R494" s="9">
        <f>IF('[1]Game Input'!$AR494&lt;&gt;"",'[1]Game Input'!$AR494,"")</f>
        <v>0</v>
      </c>
      <c r="S494" s="9">
        <f>IF('[1]Game Input'!$AS494&lt;&gt;"",'[1]Game Input'!$AS494,"")</f>
        <v>0</v>
      </c>
      <c r="T494" s="10" t="str">
        <f>IF('[1]Game Input'!$BA494&lt;&gt;"",'[1]Game Input'!$BA494,"")</f>
        <v>MADISON</v>
      </c>
      <c r="U494" s="9">
        <f>IF('[1]Game Input'!$BU494&lt;&gt;"",'[1]Game Input'!$BU494,"")</f>
        <v>8</v>
      </c>
      <c r="V494" s="9">
        <f>IF('[1]Game Input'!$BV494&lt;&gt;"",'[1]Game Input'!$BV494,"")</f>
        <v>4</v>
      </c>
      <c r="W494" s="9">
        <f>IF('[1]Game Input'!$CB494&lt;&gt;"",'[1]Game Input'!$CB494,"")</f>
        <v>0</v>
      </c>
      <c r="X494" s="9">
        <f>IF('[1]Game Input'!$CC494&lt;&gt;"",'[1]Game Input'!$CC494,"")</f>
        <v>0</v>
      </c>
      <c r="Y494" s="9">
        <f>IF('[1]Game Input'!$CF494&lt;&gt;"",'[1]Game Input'!$CF494,"")</f>
        <v>4</v>
      </c>
      <c r="Z494" s="9">
        <f>IF('[1]Game Input'!$CG494&lt;&gt;"",'[1]Game Input'!$CG494,"")</f>
        <v>0</v>
      </c>
      <c r="AA494" s="9">
        <f>IF('[1]Game Input'!$CH494&lt;&gt;"",'[1]Game Input'!$CH494,"")</f>
        <v>0</v>
      </c>
      <c r="AB494" s="9">
        <f>IF('[1]Game Input'!$CI494&lt;&gt;"",'[1]Game Input'!$CI494,"")</f>
        <v>0</v>
      </c>
      <c r="AC494" s="9">
        <f>IF('[1]Game Input'!$CJ494&lt;&gt;"",'[1]Game Input'!$CJ494,"")</f>
        <v>0</v>
      </c>
      <c r="AD494" s="9">
        <f>IF('[1]Game Input'!$CK494&lt;&gt;"",'[1]Game Input'!$CK494,"")</f>
        <v>0</v>
      </c>
      <c r="AE494" s="8"/>
      <c r="AF494" s="8"/>
      <c r="AG494" s="8"/>
      <c r="AH494" s="8"/>
    </row>
    <row r="495" spans="1:34" x14ac:dyDescent="0.2">
      <c r="A495" s="6">
        <f>IF('[1]Game Input'!$A495&lt;&gt;"",'[1]Game Input'!$A495,"")</f>
        <v>43557</v>
      </c>
      <c r="B495" s="6" t="str">
        <f>IF(A495&gt;$B$1,VLOOKUP(MONTH($A495),DOTWMonth,2,FALSE),"")</f>
        <v>April</v>
      </c>
      <c r="C495" s="10" t="str">
        <f>IF(A495&gt;$B$1,VLOOKUP(WEEKDAY($A495),DOTWMonth,3,FALSE),"")</f>
        <v>Tuesday</v>
      </c>
      <c r="D495" s="7">
        <f>IF('[1]Game Input'!$B495&lt;&gt;"",'[1]Game Input'!$B495,"")</f>
        <v>0.83680555555555547</v>
      </c>
      <c r="E495" s="7">
        <f>IF('[1]Game Input'!$C495&lt;&gt;"",'[1]Game Input'!$C495,"")</f>
        <v>0.79513888888888884</v>
      </c>
      <c r="F495" s="8" t="str">
        <f>IF('[1]Game Input'!$D495&lt;&gt;"",'[1]Game Input'!$D495,"")</f>
        <v>Daylight</v>
      </c>
      <c r="G495" s="8" t="str">
        <f>IF('[1]Game Input'!$G495&lt;&gt;"",'[1]Game Input'!$G495,"")</f>
        <v>LIN @ SF</v>
      </c>
      <c r="H495" s="8" t="str">
        <f>IF('[1]Game Input'!$H495&lt;&gt;"",'[1]Game Input'!$H495,"")</f>
        <v>Vs. Conference</v>
      </c>
      <c r="I495" s="8" t="str">
        <f>IF('[1]Game Input'!$I495&lt;&gt;"",'[1]Game Input'!$I495,"")</f>
        <v>LINCOLN</v>
      </c>
      <c r="J495" s="9">
        <f>IF('[1]Game Input'!$AC495&lt;&gt;"",'[1]Game Input'!$AC495,"")</f>
        <v>8</v>
      </c>
      <c r="K495" s="9">
        <f>IF('[1]Game Input'!$AD495&lt;&gt;"",'[1]Game Input'!$AD495,"")</f>
        <v>4</v>
      </c>
      <c r="L495" s="9">
        <f>IF('[1]Game Input'!$AJ495&lt;&gt;"",'[1]Game Input'!$AJ495,"")</f>
        <v>0</v>
      </c>
      <c r="M495" s="9">
        <f>IF('[1]Game Input'!$AK495&lt;&gt;"",'[1]Game Input'!$AK495,"")</f>
        <v>0</v>
      </c>
      <c r="N495" s="9">
        <f>IF('[1]Game Input'!$AN495&lt;&gt;"",'[1]Game Input'!$AN495,"")</f>
        <v>4</v>
      </c>
      <c r="O495" s="9">
        <f>IF('[1]Game Input'!$AO495&lt;&gt;"",'[1]Game Input'!$AO495,"")</f>
        <v>0</v>
      </c>
      <c r="P495" s="9">
        <f>IF('[1]Game Input'!$AP495&lt;&gt;"",'[1]Game Input'!$AP495,"")</f>
        <v>0</v>
      </c>
      <c r="Q495" s="9">
        <f>IF('[1]Game Input'!$AQ495&lt;&gt;"",'[1]Game Input'!$AQ495,"")</f>
        <v>0</v>
      </c>
      <c r="R495" s="9">
        <f>IF('[1]Game Input'!$AR495&lt;&gt;"",'[1]Game Input'!$AR495,"")</f>
        <v>0</v>
      </c>
      <c r="S495" s="9">
        <f>IF('[1]Game Input'!$AS495&lt;&gt;"",'[1]Game Input'!$AS495,"")</f>
        <v>0</v>
      </c>
      <c r="T495" s="10" t="str">
        <f>IF('[1]Game Input'!$BA495&lt;&gt;"",'[1]Game Input'!$BA495,"")</f>
        <v>SIOUX FALLS</v>
      </c>
      <c r="U495" s="9">
        <f>IF('[1]Game Input'!$BU495&lt;&gt;"",'[1]Game Input'!$BU495,"")</f>
        <v>6</v>
      </c>
      <c r="V495" s="9">
        <f>IF('[1]Game Input'!$BV495&lt;&gt;"",'[1]Game Input'!$BV495,"")</f>
        <v>3</v>
      </c>
      <c r="W495" s="9">
        <f>IF('[1]Game Input'!$CB495&lt;&gt;"",'[1]Game Input'!$CB495,"")</f>
        <v>0</v>
      </c>
      <c r="X495" s="9">
        <f>IF('[1]Game Input'!$CC495&lt;&gt;"",'[1]Game Input'!$CC495,"")</f>
        <v>0</v>
      </c>
      <c r="Y495" s="9">
        <f>IF('[1]Game Input'!$CF495&lt;&gt;"",'[1]Game Input'!$CF495,"")</f>
        <v>3</v>
      </c>
      <c r="Z495" s="9">
        <f>IF('[1]Game Input'!$CG495&lt;&gt;"",'[1]Game Input'!$CG495,"")</f>
        <v>0</v>
      </c>
      <c r="AA495" s="9">
        <f>IF('[1]Game Input'!$CH495&lt;&gt;"",'[1]Game Input'!$CH495,"")</f>
        <v>0</v>
      </c>
      <c r="AB495" s="9">
        <f>IF('[1]Game Input'!$CI495&lt;&gt;"",'[1]Game Input'!$CI495,"")</f>
        <v>0</v>
      </c>
      <c r="AC495" s="9">
        <f>IF('[1]Game Input'!$CJ495&lt;&gt;"",'[1]Game Input'!$CJ495,"")</f>
        <v>0</v>
      </c>
      <c r="AD495" s="9">
        <f>IF('[1]Game Input'!$CK495&lt;&gt;"",'[1]Game Input'!$CK495,"")</f>
        <v>0</v>
      </c>
      <c r="AE495" s="8"/>
      <c r="AF495" s="8"/>
      <c r="AG495" s="8"/>
      <c r="AH495" s="8"/>
    </row>
    <row r="496" spans="1:34" x14ac:dyDescent="0.2">
      <c r="A496" s="6">
        <f>IF('[1]Game Input'!$A496&lt;&gt;"",'[1]Game Input'!$A496,"")</f>
        <v>43557</v>
      </c>
      <c r="B496" s="6" t="str">
        <f>IF(A496&gt;$B$1,VLOOKUP(MONTH($A496),DOTWMonth,2,FALSE),"")</f>
        <v>April</v>
      </c>
      <c r="C496" s="10" t="str">
        <f>IF(A496&gt;$B$1,VLOOKUP(WEEKDAY($A496),DOTWMonth,3,FALSE),"")</f>
        <v>Tuesday</v>
      </c>
      <c r="D496" s="7">
        <f>IF('[1]Game Input'!$B496&lt;&gt;"",'[1]Game Input'!$B496,"")</f>
        <v>0.83680555555555547</v>
      </c>
      <c r="E496" s="7">
        <f>IF('[1]Game Input'!$C496&lt;&gt;"",'[1]Game Input'!$C496,"")</f>
        <v>0.79513888888888884</v>
      </c>
      <c r="F496" s="8" t="str">
        <f>IF('[1]Game Input'!$D496&lt;&gt;"",'[1]Game Input'!$D496,"")</f>
        <v>Daylight</v>
      </c>
      <c r="G496" s="8" t="str">
        <f>IF('[1]Game Input'!$G496&lt;&gt;"",'[1]Game Input'!$G496,"")</f>
        <v>SC @ WAT</v>
      </c>
      <c r="H496" s="8" t="str">
        <f>IF('[1]Game Input'!$H496&lt;&gt;"",'[1]Game Input'!$H496,"")</f>
        <v>Vs. Conference</v>
      </c>
      <c r="I496" s="8" t="str">
        <f>IF('[1]Game Input'!$I496&lt;&gt;"",'[1]Game Input'!$I496,"")</f>
        <v>SIOUX CITY</v>
      </c>
      <c r="J496" s="9">
        <f>IF('[1]Game Input'!$AC496&lt;&gt;"",'[1]Game Input'!$AC496,"")</f>
        <v>10</v>
      </c>
      <c r="K496" s="9">
        <f>IF('[1]Game Input'!$AD496&lt;&gt;"",'[1]Game Input'!$AD496,"")</f>
        <v>5</v>
      </c>
      <c r="L496" s="9">
        <f>IF('[1]Game Input'!$AJ496&lt;&gt;"",'[1]Game Input'!$AJ496,"")</f>
        <v>0</v>
      </c>
      <c r="M496" s="9">
        <f>IF('[1]Game Input'!$AK496&lt;&gt;"",'[1]Game Input'!$AK496,"")</f>
        <v>0</v>
      </c>
      <c r="N496" s="9">
        <f>IF('[1]Game Input'!$AN496&lt;&gt;"",'[1]Game Input'!$AN496,"")</f>
        <v>5</v>
      </c>
      <c r="O496" s="9">
        <f>IF('[1]Game Input'!$AO496&lt;&gt;"",'[1]Game Input'!$AO496,"")</f>
        <v>0</v>
      </c>
      <c r="P496" s="9">
        <f>IF('[1]Game Input'!$AP496&lt;&gt;"",'[1]Game Input'!$AP496,"")</f>
        <v>0</v>
      </c>
      <c r="Q496" s="9">
        <f>IF('[1]Game Input'!$AQ496&lt;&gt;"",'[1]Game Input'!$AQ496,"")</f>
        <v>0</v>
      </c>
      <c r="R496" s="9">
        <f>IF('[1]Game Input'!$AR496&lt;&gt;"",'[1]Game Input'!$AR496,"")</f>
        <v>0</v>
      </c>
      <c r="S496" s="9">
        <f>IF('[1]Game Input'!$AS496&lt;&gt;"",'[1]Game Input'!$AS496,"")</f>
        <v>0</v>
      </c>
      <c r="T496" s="10" t="str">
        <f>IF('[1]Game Input'!$BA496&lt;&gt;"",'[1]Game Input'!$BA496,"")</f>
        <v>WATERLOO</v>
      </c>
      <c r="U496" s="9">
        <f>IF('[1]Game Input'!$BU496&lt;&gt;"",'[1]Game Input'!$BU496,"")</f>
        <v>8</v>
      </c>
      <c r="V496" s="9">
        <f>IF('[1]Game Input'!$BV496&lt;&gt;"",'[1]Game Input'!$BV496,"")</f>
        <v>4</v>
      </c>
      <c r="W496" s="9">
        <f>IF('[1]Game Input'!$CB496&lt;&gt;"",'[1]Game Input'!$CB496,"")</f>
        <v>0</v>
      </c>
      <c r="X496" s="9">
        <f>IF('[1]Game Input'!$CC496&lt;&gt;"",'[1]Game Input'!$CC496,"")</f>
        <v>0</v>
      </c>
      <c r="Y496" s="9">
        <f>IF('[1]Game Input'!$CF496&lt;&gt;"",'[1]Game Input'!$CF496,"")</f>
        <v>4</v>
      </c>
      <c r="Z496" s="9">
        <f>IF('[1]Game Input'!$CG496&lt;&gt;"",'[1]Game Input'!$CG496,"")</f>
        <v>0</v>
      </c>
      <c r="AA496" s="9">
        <f>IF('[1]Game Input'!$CH496&lt;&gt;"",'[1]Game Input'!$CH496,"")</f>
        <v>0</v>
      </c>
      <c r="AB496" s="9">
        <f>IF('[1]Game Input'!$CI496&lt;&gt;"",'[1]Game Input'!$CI496,"")</f>
        <v>0</v>
      </c>
      <c r="AC496" s="9">
        <f>IF('[1]Game Input'!$CJ496&lt;&gt;"",'[1]Game Input'!$CJ496,"")</f>
        <v>0</v>
      </c>
      <c r="AD496" s="9">
        <f>IF('[1]Game Input'!$CK496&lt;&gt;"",'[1]Game Input'!$CK496,"")</f>
        <v>0</v>
      </c>
      <c r="AE496" s="8"/>
      <c r="AF496" s="8"/>
      <c r="AG496" s="8"/>
      <c r="AH496" s="8"/>
    </row>
    <row r="497" spans="1:34" x14ac:dyDescent="0.2">
      <c r="A497" s="6">
        <f>IF('[1]Game Input'!$A497&lt;&gt;"",'[1]Game Input'!$A497,"")</f>
        <v>43560</v>
      </c>
      <c r="B497" s="6" t="str">
        <f>IF(A497&gt;$B$1,VLOOKUP(MONTH($A497),DOTWMonth,2,FALSE),"")</f>
        <v>April</v>
      </c>
      <c r="C497" s="10" t="str">
        <f>IF(A497&gt;$B$1,VLOOKUP(WEEKDAY($A497),DOTWMonth,3,FALSE),"")</f>
        <v>Friday</v>
      </c>
      <c r="D497" s="7">
        <f>IF('[1]Game Input'!$B497&lt;&gt;"",'[1]Game Input'!$B497,"")</f>
        <v>0.79513888888888884</v>
      </c>
      <c r="E497" s="7">
        <f>IF('[1]Game Input'!$C497&lt;&gt;"",'[1]Game Input'!$C497,"")</f>
        <v>0.75347222222222221</v>
      </c>
      <c r="F497" s="8" t="str">
        <f>IF('[1]Game Input'!$D497&lt;&gt;"",'[1]Game Input'!$D497,"")</f>
        <v>Daylight</v>
      </c>
      <c r="G497" s="8" t="str">
        <f>IF('[1]Game Input'!$G497&lt;&gt;"",'[1]Game Input'!$G497,"")</f>
        <v>SF @ YNG</v>
      </c>
      <c r="H497" s="8" t="str">
        <f>IF('[1]Game Input'!$H497&lt;&gt;"",'[1]Game Input'!$H497,"")</f>
        <v>Vs. Non-Conference</v>
      </c>
      <c r="I497" s="8" t="str">
        <f>IF('[1]Game Input'!$I497&lt;&gt;"",'[1]Game Input'!$I497,"")</f>
        <v>SIOUX FALLS</v>
      </c>
      <c r="J497" s="9">
        <f>IF('[1]Game Input'!$AC497&lt;&gt;"",'[1]Game Input'!$AC497,"")</f>
        <v>14</v>
      </c>
      <c r="K497" s="9">
        <f>IF('[1]Game Input'!$AD497&lt;&gt;"",'[1]Game Input'!$AD497,"")</f>
        <v>7</v>
      </c>
      <c r="L497" s="9">
        <f>IF('[1]Game Input'!$AJ497&lt;&gt;"",'[1]Game Input'!$AJ497,"")</f>
        <v>0</v>
      </c>
      <c r="M497" s="9">
        <f>IF('[1]Game Input'!$AK497&lt;&gt;"",'[1]Game Input'!$AK497,"")</f>
        <v>0</v>
      </c>
      <c r="N497" s="9">
        <f>IF('[1]Game Input'!$AN497&lt;&gt;"",'[1]Game Input'!$AN497,"")</f>
        <v>7</v>
      </c>
      <c r="O497" s="9">
        <f>IF('[1]Game Input'!$AO497&lt;&gt;"",'[1]Game Input'!$AO497,"")</f>
        <v>0</v>
      </c>
      <c r="P497" s="9">
        <f>IF('[1]Game Input'!$AP497&lt;&gt;"",'[1]Game Input'!$AP497,"")</f>
        <v>0</v>
      </c>
      <c r="Q497" s="9">
        <f>IF('[1]Game Input'!$AQ497&lt;&gt;"",'[1]Game Input'!$AQ497,"")</f>
        <v>0</v>
      </c>
      <c r="R497" s="9">
        <f>IF('[1]Game Input'!$AR497&lt;&gt;"",'[1]Game Input'!$AR497,"")</f>
        <v>0</v>
      </c>
      <c r="S497" s="9">
        <f>IF('[1]Game Input'!$AS497&lt;&gt;"",'[1]Game Input'!$AS497,"")</f>
        <v>0</v>
      </c>
      <c r="T497" s="10" t="str">
        <f>IF('[1]Game Input'!$BA497&lt;&gt;"",'[1]Game Input'!$BA497,"")</f>
        <v>YOUNGSTOWN</v>
      </c>
      <c r="U497" s="9">
        <f>IF('[1]Game Input'!$BU497&lt;&gt;"",'[1]Game Input'!$BU497,"")</f>
        <v>16</v>
      </c>
      <c r="V497" s="9">
        <f>IF('[1]Game Input'!$BV497&lt;&gt;"",'[1]Game Input'!$BV497,"")</f>
        <v>8</v>
      </c>
      <c r="W497" s="9">
        <f>IF('[1]Game Input'!$CB497&lt;&gt;"",'[1]Game Input'!$CB497,"")</f>
        <v>0</v>
      </c>
      <c r="X497" s="9">
        <f>IF('[1]Game Input'!$CC497&lt;&gt;"",'[1]Game Input'!$CC497,"")</f>
        <v>0</v>
      </c>
      <c r="Y497" s="9">
        <f>IF('[1]Game Input'!$CF497&lt;&gt;"",'[1]Game Input'!$CF497,"")</f>
        <v>8</v>
      </c>
      <c r="Z497" s="9">
        <f>IF('[1]Game Input'!$CG497&lt;&gt;"",'[1]Game Input'!$CG497,"")</f>
        <v>0</v>
      </c>
      <c r="AA497" s="9">
        <f>IF('[1]Game Input'!$CH497&lt;&gt;"",'[1]Game Input'!$CH497,"")</f>
        <v>0</v>
      </c>
      <c r="AB497" s="9">
        <f>IF('[1]Game Input'!$CI497&lt;&gt;"",'[1]Game Input'!$CI497,"")</f>
        <v>0</v>
      </c>
      <c r="AC497" s="9">
        <f>IF('[1]Game Input'!$CJ497&lt;&gt;"",'[1]Game Input'!$CJ497,"")</f>
        <v>0</v>
      </c>
      <c r="AD497" s="9">
        <f>IF('[1]Game Input'!$CK497&lt;&gt;"",'[1]Game Input'!$CK497,"")</f>
        <v>0</v>
      </c>
      <c r="AE497" s="8"/>
      <c r="AF497" s="8"/>
      <c r="AG497" s="8"/>
      <c r="AH497" s="8"/>
    </row>
    <row r="498" spans="1:34" x14ac:dyDescent="0.2">
      <c r="A498" s="6">
        <f>IF('[1]Game Input'!$A498&lt;&gt;"",'[1]Game Input'!$A498,"")</f>
        <v>43560</v>
      </c>
      <c r="B498" s="6" t="str">
        <f>IF(A498&gt;$B$1,VLOOKUP(MONTH($A498),DOTWMonth,2,FALSE),"")</f>
        <v>April</v>
      </c>
      <c r="C498" s="10" t="str">
        <f>IF(A498&gt;$B$1,VLOOKUP(WEEKDAY($A498),DOTWMonth,3,FALSE),"")</f>
        <v>Friday</v>
      </c>
      <c r="D498" s="7">
        <f>IF('[1]Game Input'!$B498&lt;&gt;"",'[1]Game Input'!$B498,"")</f>
        <v>0.83680555555555547</v>
      </c>
      <c r="E498" s="7">
        <f>IF('[1]Game Input'!$C498&lt;&gt;"",'[1]Game Input'!$C498,"")</f>
        <v>0.79513888888888884</v>
      </c>
      <c r="F498" s="8" t="str">
        <f>IF('[1]Game Input'!$D498&lt;&gt;"",'[1]Game Input'!$D498,"")</f>
        <v>Daylight</v>
      </c>
      <c r="G498" s="8" t="str">
        <f>IF('[1]Game Input'!$G498&lt;&gt;"",'[1]Game Input'!$G498,"")</f>
        <v>OMA @ DM</v>
      </c>
      <c r="H498" s="8" t="str">
        <f>IF('[1]Game Input'!$H498&lt;&gt;"",'[1]Game Input'!$H498,"")</f>
        <v>Vs. Conference</v>
      </c>
      <c r="I498" s="8" t="str">
        <f>IF('[1]Game Input'!$I498&lt;&gt;"",'[1]Game Input'!$I498,"")</f>
        <v>OMAHA</v>
      </c>
      <c r="J498" s="9">
        <f>IF('[1]Game Input'!$AC498&lt;&gt;"",'[1]Game Input'!$AC498,"")</f>
        <v>10</v>
      </c>
      <c r="K498" s="9">
        <f>IF('[1]Game Input'!$AD498&lt;&gt;"",'[1]Game Input'!$AD498,"")</f>
        <v>5</v>
      </c>
      <c r="L498" s="9">
        <f>IF('[1]Game Input'!$AJ498&lt;&gt;"",'[1]Game Input'!$AJ498,"")</f>
        <v>0</v>
      </c>
      <c r="M498" s="9">
        <f>IF('[1]Game Input'!$AK498&lt;&gt;"",'[1]Game Input'!$AK498,"")</f>
        <v>0</v>
      </c>
      <c r="N498" s="9">
        <f>IF('[1]Game Input'!$AN498&lt;&gt;"",'[1]Game Input'!$AN498,"")</f>
        <v>5</v>
      </c>
      <c r="O498" s="9">
        <f>IF('[1]Game Input'!$AO498&lt;&gt;"",'[1]Game Input'!$AO498,"")</f>
        <v>0</v>
      </c>
      <c r="P498" s="9">
        <f>IF('[1]Game Input'!$AP498&lt;&gt;"",'[1]Game Input'!$AP498,"")</f>
        <v>0</v>
      </c>
      <c r="Q498" s="9">
        <f>IF('[1]Game Input'!$AQ498&lt;&gt;"",'[1]Game Input'!$AQ498,"")</f>
        <v>0</v>
      </c>
      <c r="R498" s="9">
        <f>IF('[1]Game Input'!$AR498&lt;&gt;"",'[1]Game Input'!$AR498,"")</f>
        <v>0</v>
      </c>
      <c r="S498" s="9">
        <f>IF('[1]Game Input'!$AS498&lt;&gt;"",'[1]Game Input'!$AS498,"")</f>
        <v>0</v>
      </c>
      <c r="T498" s="10" t="str">
        <f>IF('[1]Game Input'!$BA498&lt;&gt;"",'[1]Game Input'!$BA498,"")</f>
        <v>DES MOINES</v>
      </c>
      <c r="U498" s="9">
        <f>IF('[1]Game Input'!$BU498&lt;&gt;"",'[1]Game Input'!$BU498,"")</f>
        <v>6</v>
      </c>
      <c r="V498" s="9">
        <f>IF('[1]Game Input'!$BV498&lt;&gt;"",'[1]Game Input'!$BV498,"")</f>
        <v>3</v>
      </c>
      <c r="W498" s="9">
        <f>IF('[1]Game Input'!$CB498&lt;&gt;"",'[1]Game Input'!$CB498,"")</f>
        <v>0</v>
      </c>
      <c r="X498" s="9">
        <f>IF('[1]Game Input'!$CC498&lt;&gt;"",'[1]Game Input'!$CC498,"")</f>
        <v>0</v>
      </c>
      <c r="Y498" s="9">
        <f>IF('[1]Game Input'!$CF498&lt;&gt;"",'[1]Game Input'!$CF498,"")</f>
        <v>3</v>
      </c>
      <c r="Z498" s="9">
        <f>IF('[1]Game Input'!$CG498&lt;&gt;"",'[1]Game Input'!$CG498,"")</f>
        <v>0</v>
      </c>
      <c r="AA498" s="9">
        <f>IF('[1]Game Input'!$CH498&lt;&gt;"",'[1]Game Input'!$CH498,"")</f>
        <v>0</v>
      </c>
      <c r="AB498" s="9">
        <f>IF('[1]Game Input'!$CI498&lt;&gt;"",'[1]Game Input'!$CI498,"")</f>
        <v>0</v>
      </c>
      <c r="AC498" s="9">
        <f>IF('[1]Game Input'!$CJ498&lt;&gt;"",'[1]Game Input'!$CJ498,"")</f>
        <v>0</v>
      </c>
      <c r="AD498" s="9">
        <f>IF('[1]Game Input'!$CK498&lt;&gt;"",'[1]Game Input'!$CK498,"")</f>
        <v>0</v>
      </c>
      <c r="AE498" s="8" t="s">
        <v>131</v>
      </c>
      <c r="AF498" s="8"/>
      <c r="AG498" s="8"/>
      <c r="AH498" s="8" t="s">
        <v>119</v>
      </c>
    </row>
    <row r="499" spans="1:34" x14ac:dyDescent="0.2">
      <c r="A499" s="6">
        <f>IF('[1]Game Input'!$A499&lt;&gt;"",'[1]Game Input'!$A499,"")</f>
        <v>43560</v>
      </c>
      <c r="B499" s="6" t="str">
        <f>IF(A499&gt;$B$1,VLOOKUP(MONTH($A499),DOTWMonth,2,FALSE),"")</f>
        <v>April</v>
      </c>
      <c r="C499" s="10" t="str">
        <f>IF(A499&gt;$B$1,VLOOKUP(WEEKDAY($A499),DOTWMonth,3,FALSE),"")</f>
        <v>Friday</v>
      </c>
      <c r="D499" s="7">
        <f>IF('[1]Game Input'!$B499&lt;&gt;"",'[1]Game Input'!$B499,"")</f>
        <v>0.83680555555555547</v>
      </c>
      <c r="E499" s="7">
        <f>IF('[1]Game Input'!$C499&lt;&gt;"",'[1]Game Input'!$C499,"")</f>
        <v>0.79513888888888884</v>
      </c>
      <c r="F499" s="8" t="str">
        <f>IF('[1]Game Input'!$D499&lt;&gt;"",'[1]Game Input'!$D499,"")</f>
        <v>Daylight</v>
      </c>
      <c r="G499" s="8" t="str">
        <f>IF('[1]Game Input'!$G499&lt;&gt;"",'[1]Game Input'!$G499,"")</f>
        <v>CR @ DUB</v>
      </c>
      <c r="H499" s="8" t="str">
        <f>IF('[1]Game Input'!$H499&lt;&gt;"",'[1]Game Input'!$H499,"")</f>
        <v>Vs. Conference</v>
      </c>
      <c r="I499" s="8" t="str">
        <f>IF('[1]Game Input'!$I499&lt;&gt;"",'[1]Game Input'!$I499,"")</f>
        <v>CEDAR RAPIDS</v>
      </c>
      <c r="J499" s="9">
        <f>IF('[1]Game Input'!$AC499&lt;&gt;"",'[1]Game Input'!$AC499,"")</f>
        <v>6</v>
      </c>
      <c r="K499" s="9">
        <f>IF('[1]Game Input'!$AD499&lt;&gt;"",'[1]Game Input'!$AD499,"")</f>
        <v>3</v>
      </c>
      <c r="L499" s="9">
        <f>IF('[1]Game Input'!$AJ499&lt;&gt;"",'[1]Game Input'!$AJ499,"")</f>
        <v>0</v>
      </c>
      <c r="M499" s="9">
        <f>IF('[1]Game Input'!$AK499&lt;&gt;"",'[1]Game Input'!$AK499,"")</f>
        <v>0</v>
      </c>
      <c r="N499" s="9">
        <f>IF('[1]Game Input'!$AN499&lt;&gt;"",'[1]Game Input'!$AN499,"")</f>
        <v>3</v>
      </c>
      <c r="O499" s="9">
        <f>IF('[1]Game Input'!$AO499&lt;&gt;"",'[1]Game Input'!$AO499,"")</f>
        <v>0</v>
      </c>
      <c r="P499" s="9">
        <f>IF('[1]Game Input'!$AP499&lt;&gt;"",'[1]Game Input'!$AP499,"")</f>
        <v>0</v>
      </c>
      <c r="Q499" s="9">
        <f>IF('[1]Game Input'!$AQ499&lt;&gt;"",'[1]Game Input'!$AQ499,"")</f>
        <v>0</v>
      </c>
      <c r="R499" s="9">
        <f>IF('[1]Game Input'!$AR499&lt;&gt;"",'[1]Game Input'!$AR499,"")</f>
        <v>0</v>
      </c>
      <c r="S499" s="9">
        <f>IF('[1]Game Input'!$AS499&lt;&gt;"",'[1]Game Input'!$AS499,"")</f>
        <v>0</v>
      </c>
      <c r="T499" s="10" t="str">
        <f>IF('[1]Game Input'!$BA499&lt;&gt;"",'[1]Game Input'!$BA499,"")</f>
        <v>DUBUQUE</v>
      </c>
      <c r="U499" s="9">
        <f>IF('[1]Game Input'!$BU499&lt;&gt;"",'[1]Game Input'!$BU499,"")</f>
        <v>8</v>
      </c>
      <c r="V499" s="9">
        <f>IF('[1]Game Input'!$BV499&lt;&gt;"",'[1]Game Input'!$BV499,"")</f>
        <v>4</v>
      </c>
      <c r="W499" s="9">
        <f>IF('[1]Game Input'!$CB499&lt;&gt;"",'[1]Game Input'!$CB499,"")</f>
        <v>0</v>
      </c>
      <c r="X499" s="9">
        <f>IF('[1]Game Input'!$CC499&lt;&gt;"",'[1]Game Input'!$CC499,"")</f>
        <v>0</v>
      </c>
      <c r="Y499" s="9">
        <f>IF('[1]Game Input'!$CF499&lt;&gt;"",'[1]Game Input'!$CF499,"")</f>
        <v>4</v>
      </c>
      <c r="Z499" s="9">
        <f>IF('[1]Game Input'!$CG499&lt;&gt;"",'[1]Game Input'!$CG499,"")</f>
        <v>0</v>
      </c>
      <c r="AA499" s="9">
        <f>IF('[1]Game Input'!$CH499&lt;&gt;"",'[1]Game Input'!$CH499,"")</f>
        <v>0</v>
      </c>
      <c r="AB499" s="9">
        <f>IF('[1]Game Input'!$CI499&lt;&gt;"",'[1]Game Input'!$CI499,"")</f>
        <v>0</v>
      </c>
      <c r="AC499" s="9">
        <f>IF('[1]Game Input'!$CJ499&lt;&gt;"",'[1]Game Input'!$CJ499,"")</f>
        <v>0</v>
      </c>
      <c r="AD499" s="9">
        <f>IF('[1]Game Input'!$CK499&lt;&gt;"",'[1]Game Input'!$CK499,"")</f>
        <v>0</v>
      </c>
      <c r="AE499" s="8" t="s">
        <v>95</v>
      </c>
      <c r="AF499" s="8"/>
      <c r="AG499" s="8" t="s">
        <v>108</v>
      </c>
      <c r="AH499" s="8" t="s">
        <v>128</v>
      </c>
    </row>
    <row r="500" spans="1:34" x14ac:dyDescent="0.2">
      <c r="A500" s="6">
        <f>IF('[1]Game Input'!$A500&lt;&gt;"",'[1]Game Input'!$A500,"")</f>
        <v>43560</v>
      </c>
      <c r="B500" s="6" t="str">
        <f>IF(A500&gt;$B$1,VLOOKUP(MONTH($A500),DOTWMonth,2,FALSE),"")</f>
        <v>April</v>
      </c>
      <c r="C500" s="10" t="str">
        <f>IF(A500&gt;$B$1,VLOOKUP(WEEKDAY($A500),DOTWMonth,3,FALSE),"")</f>
        <v>Friday</v>
      </c>
      <c r="D500" s="7">
        <f>IF('[1]Game Input'!$B500&lt;&gt;"",'[1]Game Input'!$B500,"")</f>
        <v>0.83680555555555547</v>
      </c>
      <c r="E500" s="7">
        <f>IF('[1]Game Input'!$C500&lt;&gt;"",'[1]Game Input'!$C500,"")</f>
        <v>0.79513888888888884</v>
      </c>
      <c r="F500" s="8" t="str">
        <f>IF('[1]Game Input'!$D500&lt;&gt;"",'[1]Game Input'!$D500,"")</f>
        <v>Daylight</v>
      </c>
      <c r="G500" s="8" t="str">
        <f>IF('[1]Game Input'!$G500&lt;&gt;"",'[1]Game Input'!$G500,"")</f>
        <v>MUS @ MAD</v>
      </c>
      <c r="H500" s="8" t="str">
        <f>IF('[1]Game Input'!$H500&lt;&gt;"",'[1]Game Input'!$H500,"")</f>
        <v>Vs. Conference</v>
      </c>
      <c r="I500" s="8" t="str">
        <f>IF('[1]Game Input'!$I500&lt;&gt;"",'[1]Game Input'!$I500,"")</f>
        <v>MUSKEGON</v>
      </c>
      <c r="J500" s="9">
        <f>IF('[1]Game Input'!$AC500&lt;&gt;"",'[1]Game Input'!$AC500,"")</f>
        <v>14</v>
      </c>
      <c r="K500" s="9">
        <f>IF('[1]Game Input'!$AD500&lt;&gt;"",'[1]Game Input'!$AD500,"")</f>
        <v>7</v>
      </c>
      <c r="L500" s="9">
        <f>IF('[1]Game Input'!$AJ500&lt;&gt;"",'[1]Game Input'!$AJ500,"")</f>
        <v>0</v>
      </c>
      <c r="M500" s="9">
        <f>IF('[1]Game Input'!$AK500&lt;&gt;"",'[1]Game Input'!$AK500,"")</f>
        <v>0</v>
      </c>
      <c r="N500" s="9">
        <f>IF('[1]Game Input'!$AN500&lt;&gt;"",'[1]Game Input'!$AN500,"")</f>
        <v>7</v>
      </c>
      <c r="O500" s="9">
        <f>IF('[1]Game Input'!$AO500&lt;&gt;"",'[1]Game Input'!$AO500,"")</f>
        <v>0</v>
      </c>
      <c r="P500" s="9">
        <f>IF('[1]Game Input'!$AP500&lt;&gt;"",'[1]Game Input'!$AP500,"")</f>
        <v>0</v>
      </c>
      <c r="Q500" s="9">
        <f>IF('[1]Game Input'!$AQ500&lt;&gt;"",'[1]Game Input'!$AQ500,"")</f>
        <v>0</v>
      </c>
      <c r="R500" s="9">
        <f>IF('[1]Game Input'!$AR500&lt;&gt;"",'[1]Game Input'!$AR500,"")</f>
        <v>0</v>
      </c>
      <c r="S500" s="9">
        <f>IF('[1]Game Input'!$AS500&lt;&gt;"",'[1]Game Input'!$AS500,"")</f>
        <v>0</v>
      </c>
      <c r="T500" s="10" t="str">
        <f>IF('[1]Game Input'!$BA500&lt;&gt;"",'[1]Game Input'!$BA500,"")</f>
        <v>MADISON</v>
      </c>
      <c r="U500" s="9">
        <f>IF('[1]Game Input'!$BU500&lt;&gt;"",'[1]Game Input'!$BU500,"")</f>
        <v>12</v>
      </c>
      <c r="V500" s="9">
        <f>IF('[1]Game Input'!$BV500&lt;&gt;"",'[1]Game Input'!$BV500,"")</f>
        <v>6</v>
      </c>
      <c r="W500" s="9">
        <f>IF('[1]Game Input'!$CB500&lt;&gt;"",'[1]Game Input'!$CB500,"")</f>
        <v>0</v>
      </c>
      <c r="X500" s="9">
        <f>IF('[1]Game Input'!$CC500&lt;&gt;"",'[1]Game Input'!$CC500,"")</f>
        <v>0</v>
      </c>
      <c r="Y500" s="9">
        <f>IF('[1]Game Input'!$CF500&lt;&gt;"",'[1]Game Input'!$CF500,"")</f>
        <v>6</v>
      </c>
      <c r="Z500" s="9">
        <f>IF('[1]Game Input'!$CG500&lt;&gt;"",'[1]Game Input'!$CG500,"")</f>
        <v>0</v>
      </c>
      <c r="AA500" s="9">
        <f>IF('[1]Game Input'!$CH500&lt;&gt;"",'[1]Game Input'!$CH500,"")</f>
        <v>0</v>
      </c>
      <c r="AB500" s="9">
        <f>IF('[1]Game Input'!$CI500&lt;&gt;"",'[1]Game Input'!$CI500,"")</f>
        <v>0</v>
      </c>
      <c r="AC500" s="9">
        <f>IF('[1]Game Input'!$CJ500&lt;&gt;"",'[1]Game Input'!$CJ500,"")</f>
        <v>0</v>
      </c>
      <c r="AD500" s="9">
        <f>IF('[1]Game Input'!$CK500&lt;&gt;"",'[1]Game Input'!$CK500,"")</f>
        <v>0</v>
      </c>
      <c r="AE500" s="8"/>
      <c r="AF500" s="8"/>
      <c r="AG500" s="8"/>
      <c r="AH500" s="8"/>
    </row>
    <row r="501" spans="1:34" x14ac:dyDescent="0.2">
      <c r="A501" s="6">
        <f>IF('[1]Game Input'!$A501&lt;&gt;"",'[1]Game Input'!$A501,"")</f>
        <v>43560</v>
      </c>
      <c r="B501" s="6" t="str">
        <f>IF(A501&gt;$B$1,VLOOKUP(MONTH($A501),DOTWMonth,2,FALSE),"")</f>
        <v>April</v>
      </c>
      <c r="C501" s="10" t="str">
        <f>IF(A501&gt;$B$1,VLOOKUP(WEEKDAY($A501),DOTWMonth,3,FALSE),"")</f>
        <v>Friday</v>
      </c>
      <c r="D501" s="7">
        <f>IF('[1]Game Input'!$B501&lt;&gt;"",'[1]Game Input'!$B501,"")</f>
        <v>0.83680555555555547</v>
      </c>
      <c r="E501" s="7">
        <f>IF('[1]Game Input'!$C501&lt;&gt;"",'[1]Game Input'!$C501,"")</f>
        <v>0.79513888888888884</v>
      </c>
      <c r="F501" s="8" t="str">
        <f>IF('[1]Game Input'!$D501&lt;&gt;"",'[1]Game Input'!$D501,"")</f>
        <v>Daylight</v>
      </c>
      <c r="G501" s="8" t="str">
        <f>IF('[1]Game Input'!$G501&lt;&gt;"",'[1]Game Input'!$G501,"")</f>
        <v>TC @ SC</v>
      </c>
      <c r="H501" s="8" t="str">
        <f>IF('[1]Game Input'!$H501&lt;&gt;"",'[1]Game Input'!$H501,"")</f>
        <v>Vs. Conference</v>
      </c>
      <c r="I501" s="8" t="str">
        <f>IF('[1]Game Input'!$I501&lt;&gt;"",'[1]Game Input'!$I501,"")</f>
        <v>TRI-CITY</v>
      </c>
      <c r="J501" s="9">
        <f>IF('[1]Game Input'!$AC501&lt;&gt;"",'[1]Game Input'!$AC501,"")</f>
        <v>10</v>
      </c>
      <c r="K501" s="9">
        <f>IF('[1]Game Input'!$AD501&lt;&gt;"",'[1]Game Input'!$AD501,"")</f>
        <v>5</v>
      </c>
      <c r="L501" s="9">
        <f>IF('[1]Game Input'!$AJ501&lt;&gt;"",'[1]Game Input'!$AJ501,"")</f>
        <v>0</v>
      </c>
      <c r="M501" s="9">
        <f>IF('[1]Game Input'!$AK501&lt;&gt;"",'[1]Game Input'!$AK501,"")</f>
        <v>0</v>
      </c>
      <c r="N501" s="9">
        <f>IF('[1]Game Input'!$AN501&lt;&gt;"",'[1]Game Input'!$AN501,"")</f>
        <v>5</v>
      </c>
      <c r="O501" s="9">
        <f>IF('[1]Game Input'!$AO501&lt;&gt;"",'[1]Game Input'!$AO501,"")</f>
        <v>0</v>
      </c>
      <c r="P501" s="9">
        <f>IF('[1]Game Input'!$AP501&lt;&gt;"",'[1]Game Input'!$AP501,"")</f>
        <v>0</v>
      </c>
      <c r="Q501" s="9">
        <f>IF('[1]Game Input'!$AQ501&lt;&gt;"",'[1]Game Input'!$AQ501,"")</f>
        <v>0</v>
      </c>
      <c r="R501" s="9">
        <f>IF('[1]Game Input'!$AR501&lt;&gt;"",'[1]Game Input'!$AR501,"")</f>
        <v>0</v>
      </c>
      <c r="S501" s="9">
        <f>IF('[1]Game Input'!$AS501&lt;&gt;"",'[1]Game Input'!$AS501,"")</f>
        <v>0</v>
      </c>
      <c r="T501" s="10" t="str">
        <f>IF('[1]Game Input'!$BA501&lt;&gt;"",'[1]Game Input'!$BA501,"")</f>
        <v>SIOUX CITY</v>
      </c>
      <c r="U501" s="9">
        <f>IF('[1]Game Input'!$BU501&lt;&gt;"",'[1]Game Input'!$BU501,"")</f>
        <v>8</v>
      </c>
      <c r="V501" s="9">
        <f>IF('[1]Game Input'!$BV501&lt;&gt;"",'[1]Game Input'!$BV501,"")</f>
        <v>4</v>
      </c>
      <c r="W501" s="9">
        <f>IF('[1]Game Input'!$CB501&lt;&gt;"",'[1]Game Input'!$CB501,"")</f>
        <v>0</v>
      </c>
      <c r="X501" s="9">
        <f>IF('[1]Game Input'!$CC501&lt;&gt;"",'[1]Game Input'!$CC501,"")</f>
        <v>0</v>
      </c>
      <c r="Y501" s="9">
        <f>IF('[1]Game Input'!$CF501&lt;&gt;"",'[1]Game Input'!$CF501,"")</f>
        <v>4</v>
      </c>
      <c r="Z501" s="9">
        <f>IF('[1]Game Input'!$CG501&lt;&gt;"",'[1]Game Input'!$CG501,"")</f>
        <v>0</v>
      </c>
      <c r="AA501" s="9">
        <f>IF('[1]Game Input'!$CH501&lt;&gt;"",'[1]Game Input'!$CH501,"")</f>
        <v>0</v>
      </c>
      <c r="AB501" s="9">
        <f>IF('[1]Game Input'!$CI501&lt;&gt;"",'[1]Game Input'!$CI501,"")</f>
        <v>0</v>
      </c>
      <c r="AC501" s="9">
        <f>IF('[1]Game Input'!$CJ501&lt;&gt;"",'[1]Game Input'!$CJ501,"")</f>
        <v>0</v>
      </c>
      <c r="AD501" s="9">
        <f>IF('[1]Game Input'!$CK501&lt;&gt;"",'[1]Game Input'!$CK501,"")</f>
        <v>0</v>
      </c>
      <c r="AE501" s="8"/>
      <c r="AF501" s="8"/>
      <c r="AG501" s="8"/>
      <c r="AH501" s="8"/>
    </row>
    <row r="502" spans="1:34" x14ac:dyDescent="0.2">
      <c r="A502" s="6">
        <f>IF('[1]Game Input'!$A502&lt;&gt;"",'[1]Game Input'!$A502,"")</f>
        <v>43560</v>
      </c>
      <c r="B502" s="6" t="str">
        <f>IF(A502&gt;$B$1,VLOOKUP(MONTH($A502),DOTWMonth,2,FALSE),"")</f>
        <v>April</v>
      </c>
      <c r="C502" s="10" t="str">
        <f>IF(A502&gt;$B$1,VLOOKUP(WEEKDAY($A502),DOTWMonth,3,FALSE),"")</f>
        <v>Friday</v>
      </c>
      <c r="D502" s="7">
        <f>IF('[1]Game Input'!$B502&lt;&gt;"",'[1]Game Input'!$B502,"")</f>
        <v>0.83680555555555547</v>
      </c>
      <c r="E502" s="7">
        <f>IF('[1]Game Input'!$C502&lt;&gt;"",'[1]Game Input'!$C502,"")</f>
        <v>0.79513888888888884</v>
      </c>
      <c r="F502" s="8" t="str">
        <f>IF('[1]Game Input'!$D502&lt;&gt;"",'[1]Game Input'!$D502,"")</f>
        <v>Daylight</v>
      </c>
      <c r="G502" s="8" t="str">
        <f>IF('[1]Game Input'!$G502&lt;&gt;"",'[1]Game Input'!$G502,"")</f>
        <v>USA @ FGO</v>
      </c>
      <c r="H502" s="8" t="str">
        <f>IF('[1]Game Input'!$H502&lt;&gt;"",'[1]Game Input'!$H502,"")</f>
        <v>Vs. Non-Conference</v>
      </c>
      <c r="I502" s="8" t="str">
        <f>IF('[1]Game Input'!$I502&lt;&gt;"",'[1]Game Input'!$I502,"")</f>
        <v>TEAM USA</v>
      </c>
      <c r="J502" s="9">
        <f>IF('[1]Game Input'!$AC502&lt;&gt;"",'[1]Game Input'!$AC502,"")</f>
        <v>8</v>
      </c>
      <c r="K502" s="9">
        <f>IF('[1]Game Input'!$AD502&lt;&gt;"",'[1]Game Input'!$AD502,"")</f>
        <v>4</v>
      </c>
      <c r="L502" s="9">
        <f>IF('[1]Game Input'!$AJ502&lt;&gt;"",'[1]Game Input'!$AJ502,"")</f>
        <v>0</v>
      </c>
      <c r="M502" s="9">
        <f>IF('[1]Game Input'!$AK502&lt;&gt;"",'[1]Game Input'!$AK502,"")</f>
        <v>0</v>
      </c>
      <c r="N502" s="9">
        <f>IF('[1]Game Input'!$AN502&lt;&gt;"",'[1]Game Input'!$AN502,"")</f>
        <v>4</v>
      </c>
      <c r="O502" s="9">
        <f>IF('[1]Game Input'!$AO502&lt;&gt;"",'[1]Game Input'!$AO502,"")</f>
        <v>0</v>
      </c>
      <c r="P502" s="9">
        <f>IF('[1]Game Input'!$AP502&lt;&gt;"",'[1]Game Input'!$AP502,"")</f>
        <v>0</v>
      </c>
      <c r="Q502" s="9">
        <f>IF('[1]Game Input'!$AQ502&lt;&gt;"",'[1]Game Input'!$AQ502,"")</f>
        <v>0</v>
      </c>
      <c r="R502" s="9">
        <f>IF('[1]Game Input'!$AR502&lt;&gt;"",'[1]Game Input'!$AR502,"")</f>
        <v>0</v>
      </c>
      <c r="S502" s="9">
        <f>IF('[1]Game Input'!$AS502&lt;&gt;"",'[1]Game Input'!$AS502,"")</f>
        <v>0</v>
      </c>
      <c r="T502" s="10" t="str">
        <f>IF('[1]Game Input'!$BA502&lt;&gt;"",'[1]Game Input'!$BA502,"")</f>
        <v>FARGO</v>
      </c>
      <c r="U502" s="9">
        <f>IF('[1]Game Input'!$BU502&lt;&gt;"",'[1]Game Input'!$BU502,"")</f>
        <v>10</v>
      </c>
      <c r="V502" s="9">
        <f>IF('[1]Game Input'!$BV502&lt;&gt;"",'[1]Game Input'!$BV502,"")</f>
        <v>5</v>
      </c>
      <c r="W502" s="9">
        <f>IF('[1]Game Input'!$CB502&lt;&gt;"",'[1]Game Input'!$CB502,"")</f>
        <v>0</v>
      </c>
      <c r="X502" s="9">
        <f>IF('[1]Game Input'!$CC502&lt;&gt;"",'[1]Game Input'!$CC502,"")</f>
        <v>0</v>
      </c>
      <c r="Y502" s="9">
        <f>IF('[1]Game Input'!$CF502&lt;&gt;"",'[1]Game Input'!$CF502,"")</f>
        <v>5</v>
      </c>
      <c r="Z502" s="9">
        <f>IF('[1]Game Input'!$CG502&lt;&gt;"",'[1]Game Input'!$CG502,"")</f>
        <v>0</v>
      </c>
      <c r="AA502" s="9">
        <f>IF('[1]Game Input'!$CH502&lt;&gt;"",'[1]Game Input'!$CH502,"")</f>
        <v>0</v>
      </c>
      <c r="AB502" s="9">
        <f>IF('[1]Game Input'!$CI502&lt;&gt;"",'[1]Game Input'!$CI502,"")</f>
        <v>0</v>
      </c>
      <c r="AC502" s="9">
        <f>IF('[1]Game Input'!$CJ502&lt;&gt;"",'[1]Game Input'!$CJ502,"")</f>
        <v>0</v>
      </c>
      <c r="AD502" s="9">
        <f>IF('[1]Game Input'!$CK502&lt;&gt;"",'[1]Game Input'!$CK502,"")</f>
        <v>0</v>
      </c>
      <c r="AE502" s="8"/>
      <c r="AF502" s="8"/>
      <c r="AG502" s="8"/>
      <c r="AH502" s="8"/>
    </row>
    <row r="503" spans="1:34" x14ac:dyDescent="0.2">
      <c r="A503" s="6">
        <f>IF('[1]Game Input'!$A503&lt;&gt;"",'[1]Game Input'!$A503,"")</f>
        <v>43560</v>
      </c>
      <c r="B503" s="6" t="str">
        <f>IF(A503&gt;$B$1,VLOOKUP(MONTH($A503),DOTWMonth,2,FALSE),"")</f>
        <v>April</v>
      </c>
      <c r="C503" s="10" t="str">
        <f>IF(A503&gt;$B$1,VLOOKUP(WEEKDAY($A503),DOTWMonth,3,FALSE),"")</f>
        <v>Friday</v>
      </c>
      <c r="D503" s="7">
        <f>IF('[1]Game Input'!$B503&lt;&gt;"",'[1]Game Input'!$B503,"")</f>
        <v>0.83680555555555547</v>
      </c>
      <c r="E503" s="7">
        <f>IF('[1]Game Input'!$C503&lt;&gt;"",'[1]Game Input'!$C503,"")</f>
        <v>0.79513888888888884</v>
      </c>
      <c r="F503" s="8" t="str">
        <f>IF('[1]Game Input'!$D503&lt;&gt;"",'[1]Game Input'!$D503,"")</f>
        <v>Daylight</v>
      </c>
      <c r="G503" s="8" t="str">
        <f>IF('[1]Game Input'!$G503&lt;&gt;"",'[1]Game Input'!$G503,"")</f>
        <v>CIL @ LIN</v>
      </c>
      <c r="H503" s="8" t="str">
        <f>IF('[1]Game Input'!$H503&lt;&gt;"",'[1]Game Input'!$H503,"")</f>
        <v>Vs. Non-Conference</v>
      </c>
      <c r="I503" s="8" t="str">
        <f>IF('[1]Game Input'!$I503&lt;&gt;"",'[1]Game Input'!$I503,"")</f>
        <v>CENTRAL ILLINOIS</v>
      </c>
      <c r="J503" s="9">
        <f>IF('[1]Game Input'!$AC503&lt;&gt;"",'[1]Game Input'!$AC503,"")</f>
        <v>6</v>
      </c>
      <c r="K503" s="9">
        <f>IF('[1]Game Input'!$AD503&lt;&gt;"",'[1]Game Input'!$AD503,"")</f>
        <v>3</v>
      </c>
      <c r="L503" s="9">
        <f>IF('[1]Game Input'!$AJ503&lt;&gt;"",'[1]Game Input'!$AJ503,"")</f>
        <v>0</v>
      </c>
      <c r="M503" s="9">
        <f>IF('[1]Game Input'!$AK503&lt;&gt;"",'[1]Game Input'!$AK503,"")</f>
        <v>0</v>
      </c>
      <c r="N503" s="9">
        <f>IF('[1]Game Input'!$AN503&lt;&gt;"",'[1]Game Input'!$AN503,"")</f>
        <v>3</v>
      </c>
      <c r="O503" s="9">
        <f>IF('[1]Game Input'!$AO503&lt;&gt;"",'[1]Game Input'!$AO503,"")</f>
        <v>0</v>
      </c>
      <c r="P503" s="9">
        <f>IF('[1]Game Input'!$AP503&lt;&gt;"",'[1]Game Input'!$AP503,"")</f>
        <v>0</v>
      </c>
      <c r="Q503" s="9">
        <f>IF('[1]Game Input'!$AQ503&lt;&gt;"",'[1]Game Input'!$AQ503,"")</f>
        <v>0</v>
      </c>
      <c r="R503" s="9">
        <f>IF('[1]Game Input'!$AR503&lt;&gt;"",'[1]Game Input'!$AR503,"")</f>
        <v>0</v>
      </c>
      <c r="S503" s="9">
        <f>IF('[1]Game Input'!$AS503&lt;&gt;"",'[1]Game Input'!$AS503,"")</f>
        <v>0</v>
      </c>
      <c r="T503" s="10" t="str">
        <f>IF('[1]Game Input'!$BA503&lt;&gt;"",'[1]Game Input'!$BA503,"")</f>
        <v>LINCOLN</v>
      </c>
      <c r="U503" s="9">
        <f>IF('[1]Game Input'!$BU503&lt;&gt;"",'[1]Game Input'!$BU503,"")</f>
        <v>4</v>
      </c>
      <c r="V503" s="9">
        <f>IF('[1]Game Input'!$BV503&lt;&gt;"",'[1]Game Input'!$BV503,"")</f>
        <v>2</v>
      </c>
      <c r="W503" s="9">
        <f>IF('[1]Game Input'!$CB503&lt;&gt;"",'[1]Game Input'!$CB503,"")</f>
        <v>0</v>
      </c>
      <c r="X503" s="9">
        <f>IF('[1]Game Input'!$CC503&lt;&gt;"",'[1]Game Input'!$CC503,"")</f>
        <v>0</v>
      </c>
      <c r="Y503" s="9">
        <f>IF('[1]Game Input'!$CF503&lt;&gt;"",'[1]Game Input'!$CF503,"")</f>
        <v>2</v>
      </c>
      <c r="Z503" s="9">
        <f>IF('[1]Game Input'!$CG503&lt;&gt;"",'[1]Game Input'!$CG503,"")</f>
        <v>0</v>
      </c>
      <c r="AA503" s="9">
        <f>IF('[1]Game Input'!$CH503&lt;&gt;"",'[1]Game Input'!$CH503,"")</f>
        <v>0</v>
      </c>
      <c r="AB503" s="9">
        <f>IF('[1]Game Input'!$CI503&lt;&gt;"",'[1]Game Input'!$CI503,"")</f>
        <v>0</v>
      </c>
      <c r="AC503" s="9">
        <f>IF('[1]Game Input'!$CJ503&lt;&gt;"",'[1]Game Input'!$CJ503,"")</f>
        <v>0</v>
      </c>
      <c r="AD503" s="9">
        <f>IF('[1]Game Input'!$CK503&lt;&gt;"",'[1]Game Input'!$CK503,"")</f>
        <v>0</v>
      </c>
      <c r="AE503" s="8" t="s">
        <v>102</v>
      </c>
      <c r="AF503" s="8"/>
      <c r="AG503" s="8" t="s">
        <v>134</v>
      </c>
      <c r="AH503" s="8" t="s">
        <v>117</v>
      </c>
    </row>
    <row r="504" spans="1:34" x14ac:dyDescent="0.2">
      <c r="A504" s="6">
        <f>IF('[1]Game Input'!$A504&lt;&gt;"",'[1]Game Input'!$A504,"")</f>
        <v>43560</v>
      </c>
      <c r="B504" s="6" t="str">
        <f>IF(A504&gt;$B$1,VLOOKUP(MONTH($A504),DOTWMonth,2,FALSE),"")</f>
        <v>April</v>
      </c>
      <c r="C504" s="10" t="str">
        <f>IF(A504&gt;$B$1,VLOOKUP(WEEKDAY($A504),DOTWMonth,3,FALSE),"")</f>
        <v>Friday</v>
      </c>
      <c r="D504" s="7">
        <f>IF('[1]Game Input'!$B504&lt;&gt;"",'[1]Game Input'!$B504,"")</f>
        <v>0.83680555555555547</v>
      </c>
      <c r="E504" s="7">
        <f>IF('[1]Game Input'!$C504&lt;&gt;"",'[1]Game Input'!$C504,"")</f>
        <v>0.79513888888888884</v>
      </c>
      <c r="F504" s="8" t="str">
        <f>IF('[1]Game Input'!$D504&lt;&gt;"",'[1]Game Input'!$D504,"")</f>
        <v>Daylight</v>
      </c>
      <c r="G504" s="8" t="str">
        <f>IF('[1]Game Input'!$G504&lt;&gt;"",'[1]Game Input'!$G504,"")</f>
        <v>CHI @ WAT</v>
      </c>
      <c r="H504" s="8" t="str">
        <f>IF('[1]Game Input'!$H504&lt;&gt;"",'[1]Game Input'!$H504,"")</f>
        <v>Vs. Non-Conference</v>
      </c>
      <c r="I504" s="8" t="str">
        <f>IF('[1]Game Input'!$I504&lt;&gt;"",'[1]Game Input'!$I504,"")</f>
        <v>CHICAGO</v>
      </c>
      <c r="J504" s="9">
        <f>IF('[1]Game Input'!$AC504&lt;&gt;"",'[1]Game Input'!$AC504,"")</f>
        <v>6</v>
      </c>
      <c r="K504" s="9">
        <f>IF('[1]Game Input'!$AD504&lt;&gt;"",'[1]Game Input'!$AD504,"")</f>
        <v>3</v>
      </c>
      <c r="L504" s="9">
        <f>IF('[1]Game Input'!$AJ504&lt;&gt;"",'[1]Game Input'!$AJ504,"")</f>
        <v>0</v>
      </c>
      <c r="M504" s="9">
        <f>IF('[1]Game Input'!$AK504&lt;&gt;"",'[1]Game Input'!$AK504,"")</f>
        <v>0</v>
      </c>
      <c r="N504" s="9">
        <f>IF('[1]Game Input'!$AN504&lt;&gt;"",'[1]Game Input'!$AN504,"")</f>
        <v>3</v>
      </c>
      <c r="O504" s="9">
        <f>IF('[1]Game Input'!$AO504&lt;&gt;"",'[1]Game Input'!$AO504,"")</f>
        <v>0</v>
      </c>
      <c r="P504" s="9">
        <f>IF('[1]Game Input'!$AP504&lt;&gt;"",'[1]Game Input'!$AP504,"")</f>
        <v>0</v>
      </c>
      <c r="Q504" s="9">
        <f>IF('[1]Game Input'!$AQ504&lt;&gt;"",'[1]Game Input'!$AQ504,"")</f>
        <v>0</v>
      </c>
      <c r="R504" s="9">
        <f>IF('[1]Game Input'!$AR504&lt;&gt;"",'[1]Game Input'!$AR504,"")</f>
        <v>0</v>
      </c>
      <c r="S504" s="9">
        <f>IF('[1]Game Input'!$AS504&lt;&gt;"",'[1]Game Input'!$AS504,"")</f>
        <v>0</v>
      </c>
      <c r="T504" s="10" t="str">
        <f>IF('[1]Game Input'!$BA504&lt;&gt;"",'[1]Game Input'!$BA504,"")</f>
        <v>WATERLOO</v>
      </c>
      <c r="U504" s="9">
        <f>IF('[1]Game Input'!$BU504&lt;&gt;"",'[1]Game Input'!$BU504,"")</f>
        <v>22</v>
      </c>
      <c r="V504" s="9">
        <f>IF('[1]Game Input'!$BV504&lt;&gt;"",'[1]Game Input'!$BV504,"")</f>
        <v>7</v>
      </c>
      <c r="W504" s="9">
        <f>IF('[1]Game Input'!$CB504&lt;&gt;"",'[1]Game Input'!$CB504,"")</f>
        <v>0</v>
      </c>
      <c r="X504" s="9">
        <f>IF('[1]Game Input'!$CC504&lt;&gt;"",'[1]Game Input'!$CC504,"")</f>
        <v>0</v>
      </c>
      <c r="Y504" s="9">
        <f>IF('[1]Game Input'!$CF504&lt;&gt;"",'[1]Game Input'!$CF504,"")</f>
        <v>6</v>
      </c>
      <c r="Z504" s="9">
        <f>IF('[1]Game Input'!$CG504&lt;&gt;"",'[1]Game Input'!$CG504,"")</f>
        <v>0</v>
      </c>
      <c r="AA504" s="9">
        <f>IF('[1]Game Input'!$CH504&lt;&gt;"",'[1]Game Input'!$CH504,"")</f>
        <v>1</v>
      </c>
      <c r="AB504" s="9">
        <f>IF('[1]Game Input'!$CI504&lt;&gt;"",'[1]Game Input'!$CI504,"")</f>
        <v>0</v>
      </c>
      <c r="AC504" s="9">
        <f>IF('[1]Game Input'!$CJ504&lt;&gt;"",'[1]Game Input'!$CJ504,"")</f>
        <v>0</v>
      </c>
      <c r="AD504" s="9">
        <f>IF('[1]Game Input'!$CK504&lt;&gt;"",'[1]Game Input'!$CK504,"")</f>
        <v>0</v>
      </c>
      <c r="AE504" s="8"/>
      <c r="AF504" s="8"/>
      <c r="AG504" s="8"/>
      <c r="AH504" s="8"/>
    </row>
    <row r="505" spans="1:34" x14ac:dyDescent="0.2">
      <c r="A505" s="6">
        <f>IF('[1]Game Input'!$A505&lt;&gt;"",'[1]Game Input'!$A505,"")</f>
        <v>43561</v>
      </c>
      <c r="B505" s="6" t="str">
        <f>IF(A505&gt;$B$1,VLOOKUP(MONTH($A505),DOTWMonth,2,FALSE),"")</f>
        <v>April</v>
      </c>
      <c r="C505" s="10" t="str">
        <f>IF(A505&gt;$B$1,VLOOKUP(WEEKDAY($A505),DOTWMonth,3,FALSE),"")</f>
        <v>Saturday</v>
      </c>
      <c r="D505" s="7">
        <f>IF('[1]Game Input'!$B505&lt;&gt;"",'[1]Game Input'!$B505,"")</f>
        <v>0.79513888888888884</v>
      </c>
      <c r="E505" s="7">
        <f>IF('[1]Game Input'!$C505&lt;&gt;"",'[1]Game Input'!$C505,"")</f>
        <v>0.75347222222222221</v>
      </c>
      <c r="F505" s="8" t="str">
        <f>IF('[1]Game Input'!$D505&lt;&gt;"",'[1]Game Input'!$D505,"")</f>
        <v>Daylight</v>
      </c>
      <c r="G505" s="8" t="str">
        <f>IF('[1]Game Input'!$G505&lt;&gt;"",'[1]Game Input'!$G505,"")</f>
        <v>SF @ YNG</v>
      </c>
      <c r="H505" s="8" t="str">
        <f>IF('[1]Game Input'!$H505&lt;&gt;"",'[1]Game Input'!$H505,"")</f>
        <v>Vs. Non-Conference</v>
      </c>
      <c r="I505" s="8" t="str">
        <f>IF('[1]Game Input'!$I505&lt;&gt;"",'[1]Game Input'!$I505,"")</f>
        <v>SIOUX FALLS</v>
      </c>
      <c r="J505" s="9">
        <f>IF('[1]Game Input'!$AC505&lt;&gt;"",'[1]Game Input'!$AC505,"")</f>
        <v>20</v>
      </c>
      <c r="K505" s="9">
        <f>IF('[1]Game Input'!$AD505&lt;&gt;"",'[1]Game Input'!$AD505,"")</f>
        <v>6</v>
      </c>
      <c r="L505" s="9">
        <f>IF('[1]Game Input'!$AJ505&lt;&gt;"",'[1]Game Input'!$AJ505,"")</f>
        <v>0</v>
      </c>
      <c r="M505" s="9">
        <f>IF('[1]Game Input'!$AK505&lt;&gt;"",'[1]Game Input'!$AK505,"")</f>
        <v>0</v>
      </c>
      <c r="N505" s="9">
        <f>IF('[1]Game Input'!$AN505&lt;&gt;"",'[1]Game Input'!$AN505,"")</f>
        <v>5</v>
      </c>
      <c r="O505" s="9">
        <f>IF('[1]Game Input'!$AO505&lt;&gt;"",'[1]Game Input'!$AO505,"")</f>
        <v>0</v>
      </c>
      <c r="P505" s="9">
        <f>IF('[1]Game Input'!$AP505&lt;&gt;"",'[1]Game Input'!$AP505,"")</f>
        <v>1</v>
      </c>
      <c r="Q505" s="9">
        <f>IF('[1]Game Input'!$AQ505&lt;&gt;"",'[1]Game Input'!$AQ505,"")</f>
        <v>0</v>
      </c>
      <c r="R505" s="9">
        <f>IF('[1]Game Input'!$AR505&lt;&gt;"",'[1]Game Input'!$AR505,"")</f>
        <v>0</v>
      </c>
      <c r="S505" s="9">
        <f>IF('[1]Game Input'!$AS505&lt;&gt;"",'[1]Game Input'!$AS505,"")</f>
        <v>0</v>
      </c>
      <c r="T505" s="10" t="str">
        <f>IF('[1]Game Input'!$BA505&lt;&gt;"",'[1]Game Input'!$BA505,"")</f>
        <v>YOUNGSTOWN</v>
      </c>
      <c r="U505" s="9">
        <f>IF('[1]Game Input'!$BU505&lt;&gt;"",'[1]Game Input'!$BU505,"")</f>
        <v>18</v>
      </c>
      <c r="V505" s="9">
        <f>IF('[1]Game Input'!$BV505&lt;&gt;"",'[1]Game Input'!$BV505,"")</f>
        <v>9</v>
      </c>
      <c r="W505" s="9">
        <f>IF('[1]Game Input'!$CB505&lt;&gt;"",'[1]Game Input'!$CB505,"")</f>
        <v>0</v>
      </c>
      <c r="X505" s="9">
        <f>IF('[1]Game Input'!$CC505&lt;&gt;"",'[1]Game Input'!$CC505,"")</f>
        <v>0</v>
      </c>
      <c r="Y505" s="9">
        <f>IF('[1]Game Input'!$CF505&lt;&gt;"",'[1]Game Input'!$CF505,"")</f>
        <v>9</v>
      </c>
      <c r="Z505" s="9">
        <f>IF('[1]Game Input'!$CG505&lt;&gt;"",'[1]Game Input'!$CG505,"")</f>
        <v>0</v>
      </c>
      <c r="AA505" s="9">
        <f>IF('[1]Game Input'!$CH505&lt;&gt;"",'[1]Game Input'!$CH505,"")</f>
        <v>0</v>
      </c>
      <c r="AB505" s="9">
        <f>IF('[1]Game Input'!$CI505&lt;&gt;"",'[1]Game Input'!$CI505,"")</f>
        <v>0</v>
      </c>
      <c r="AC505" s="9">
        <f>IF('[1]Game Input'!$CJ505&lt;&gt;"",'[1]Game Input'!$CJ505,"")</f>
        <v>0</v>
      </c>
      <c r="AD505" s="9">
        <f>IF('[1]Game Input'!$CK505&lt;&gt;"",'[1]Game Input'!$CK505,"")</f>
        <v>0</v>
      </c>
      <c r="AE505" s="8"/>
      <c r="AF505" s="8"/>
      <c r="AG505" s="8"/>
      <c r="AH505" s="8"/>
    </row>
    <row r="506" spans="1:34" x14ac:dyDescent="0.2">
      <c r="A506" s="6">
        <f>IF('[1]Game Input'!$A506&lt;&gt;"",'[1]Game Input'!$A506,"")</f>
        <v>43561</v>
      </c>
      <c r="B506" s="6" t="str">
        <f>IF(A506&gt;$B$1,VLOOKUP(MONTH($A506),DOTWMonth,2,FALSE),"")</f>
        <v>April</v>
      </c>
      <c r="C506" s="10" t="str">
        <f>IF(A506&gt;$B$1,VLOOKUP(WEEKDAY($A506),DOTWMonth,3,FALSE),"")</f>
        <v>Saturday</v>
      </c>
      <c r="D506" s="7">
        <f>IF('[1]Game Input'!$B506&lt;&gt;"",'[1]Game Input'!$B506,"")</f>
        <v>0.83680555555555547</v>
      </c>
      <c r="E506" s="7">
        <f>IF('[1]Game Input'!$C506&lt;&gt;"",'[1]Game Input'!$C506,"")</f>
        <v>0.79513888888888884</v>
      </c>
      <c r="F506" s="8" t="str">
        <f>IF('[1]Game Input'!$D506&lt;&gt;"",'[1]Game Input'!$D506,"")</f>
        <v>Daylight</v>
      </c>
      <c r="G506" s="8" t="str">
        <f>IF('[1]Game Input'!$G506&lt;&gt;"",'[1]Game Input'!$G506,"")</f>
        <v>CHI @ DUB</v>
      </c>
      <c r="H506" s="8" t="str">
        <f>IF('[1]Game Input'!$H506&lt;&gt;"",'[1]Game Input'!$H506,"")</f>
        <v>Vs. Conference</v>
      </c>
      <c r="I506" s="8" t="str">
        <f>IF('[1]Game Input'!$I506&lt;&gt;"",'[1]Game Input'!$I506,"")</f>
        <v>CHICAGO</v>
      </c>
      <c r="J506" s="9">
        <f>IF('[1]Game Input'!$AC506&lt;&gt;"",'[1]Game Input'!$AC506,"")</f>
        <v>2</v>
      </c>
      <c r="K506" s="9">
        <f>IF('[1]Game Input'!$AD506&lt;&gt;"",'[1]Game Input'!$AD506,"")</f>
        <v>1</v>
      </c>
      <c r="L506" s="9">
        <f>IF('[1]Game Input'!$AJ506&lt;&gt;"",'[1]Game Input'!$AJ506,"")</f>
        <v>0</v>
      </c>
      <c r="M506" s="9">
        <f>IF('[1]Game Input'!$AK506&lt;&gt;"",'[1]Game Input'!$AK506,"")</f>
        <v>0</v>
      </c>
      <c r="N506" s="9">
        <f>IF('[1]Game Input'!$AN506&lt;&gt;"",'[1]Game Input'!$AN506,"")</f>
        <v>1</v>
      </c>
      <c r="O506" s="9">
        <f>IF('[1]Game Input'!$AO506&lt;&gt;"",'[1]Game Input'!$AO506,"")</f>
        <v>0</v>
      </c>
      <c r="P506" s="9">
        <f>IF('[1]Game Input'!$AP506&lt;&gt;"",'[1]Game Input'!$AP506,"")</f>
        <v>0</v>
      </c>
      <c r="Q506" s="9">
        <f>IF('[1]Game Input'!$AQ506&lt;&gt;"",'[1]Game Input'!$AQ506,"")</f>
        <v>0</v>
      </c>
      <c r="R506" s="9">
        <f>IF('[1]Game Input'!$AR506&lt;&gt;"",'[1]Game Input'!$AR506,"")</f>
        <v>0</v>
      </c>
      <c r="S506" s="9">
        <f>IF('[1]Game Input'!$AS506&lt;&gt;"",'[1]Game Input'!$AS506,"")</f>
        <v>0</v>
      </c>
      <c r="T506" s="10" t="str">
        <f>IF('[1]Game Input'!$BA506&lt;&gt;"",'[1]Game Input'!$BA506,"")</f>
        <v>DUBUQUE</v>
      </c>
      <c r="U506" s="9">
        <f>IF('[1]Game Input'!$BU506&lt;&gt;"",'[1]Game Input'!$BU506,"")</f>
        <v>10</v>
      </c>
      <c r="V506" s="9">
        <f>IF('[1]Game Input'!$BV506&lt;&gt;"",'[1]Game Input'!$BV506,"")</f>
        <v>5</v>
      </c>
      <c r="W506" s="9">
        <f>IF('[1]Game Input'!$CB506&lt;&gt;"",'[1]Game Input'!$CB506,"")</f>
        <v>0</v>
      </c>
      <c r="X506" s="9">
        <f>IF('[1]Game Input'!$CC506&lt;&gt;"",'[1]Game Input'!$CC506,"")</f>
        <v>0</v>
      </c>
      <c r="Y506" s="9">
        <f>IF('[1]Game Input'!$CF506&lt;&gt;"",'[1]Game Input'!$CF506,"")</f>
        <v>5</v>
      </c>
      <c r="Z506" s="9">
        <f>IF('[1]Game Input'!$CG506&lt;&gt;"",'[1]Game Input'!$CG506,"")</f>
        <v>0</v>
      </c>
      <c r="AA506" s="9">
        <f>IF('[1]Game Input'!$CH506&lt;&gt;"",'[1]Game Input'!$CH506,"")</f>
        <v>0</v>
      </c>
      <c r="AB506" s="9">
        <f>IF('[1]Game Input'!$CI506&lt;&gt;"",'[1]Game Input'!$CI506,"")</f>
        <v>0</v>
      </c>
      <c r="AC506" s="9">
        <f>IF('[1]Game Input'!$CJ506&lt;&gt;"",'[1]Game Input'!$CJ506,"")</f>
        <v>0</v>
      </c>
      <c r="AD506" s="9">
        <f>IF('[1]Game Input'!$CK506&lt;&gt;"",'[1]Game Input'!$CK506,"")</f>
        <v>0</v>
      </c>
      <c r="AE506" s="8"/>
      <c r="AF506" s="8"/>
      <c r="AG506" s="8"/>
      <c r="AH506" s="8"/>
    </row>
    <row r="507" spans="1:34" x14ac:dyDescent="0.2">
      <c r="A507" s="6">
        <f>IF('[1]Game Input'!$A507&lt;&gt;"",'[1]Game Input'!$A507,"")</f>
        <v>43561</v>
      </c>
      <c r="B507" s="6" t="str">
        <f>IF(A507&gt;$B$1,VLOOKUP(MONTH($A507),DOTWMonth,2,FALSE),"")</f>
        <v>April</v>
      </c>
      <c r="C507" s="10" t="str">
        <f>IF(A507&gt;$B$1,VLOOKUP(WEEKDAY($A507),DOTWMonth,3,FALSE),"")</f>
        <v>Saturday</v>
      </c>
      <c r="D507" s="7">
        <f>IF('[1]Game Input'!$B507&lt;&gt;"",'[1]Game Input'!$B507,"")</f>
        <v>0.83680555555555547</v>
      </c>
      <c r="E507" s="7">
        <f>IF('[1]Game Input'!$C507&lt;&gt;"",'[1]Game Input'!$C507,"")</f>
        <v>0.79513888888888884</v>
      </c>
      <c r="F507" s="8" t="str">
        <f>IF('[1]Game Input'!$D507&lt;&gt;"",'[1]Game Input'!$D507,"")</f>
        <v>Daylight</v>
      </c>
      <c r="G507" s="8" t="str">
        <f>IF('[1]Game Input'!$G507&lt;&gt;"",'[1]Game Input'!$G507,"")</f>
        <v>MUS @ GB</v>
      </c>
      <c r="H507" s="8" t="str">
        <f>IF('[1]Game Input'!$H507&lt;&gt;"",'[1]Game Input'!$H507,"")</f>
        <v>Vs. Conference</v>
      </c>
      <c r="I507" s="8" t="str">
        <f>IF('[1]Game Input'!$I507&lt;&gt;"",'[1]Game Input'!$I507,"")</f>
        <v>MUSKEGON</v>
      </c>
      <c r="J507" s="9">
        <f>IF('[1]Game Input'!$AC507&lt;&gt;"",'[1]Game Input'!$AC507,"")</f>
        <v>8</v>
      </c>
      <c r="K507" s="9">
        <f>IF('[1]Game Input'!$AD507&lt;&gt;"",'[1]Game Input'!$AD507,"")</f>
        <v>4</v>
      </c>
      <c r="L507" s="9">
        <f>IF('[1]Game Input'!$AJ507&lt;&gt;"",'[1]Game Input'!$AJ507,"")</f>
        <v>0</v>
      </c>
      <c r="M507" s="9">
        <f>IF('[1]Game Input'!$AK507&lt;&gt;"",'[1]Game Input'!$AK507,"")</f>
        <v>0</v>
      </c>
      <c r="N507" s="9">
        <f>IF('[1]Game Input'!$AN507&lt;&gt;"",'[1]Game Input'!$AN507,"")</f>
        <v>4</v>
      </c>
      <c r="O507" s="9">
        <f>IF('[1]Game Input'!$AO507&lt;&gt;"",'[1]Game Input'!$AO507,"")</f>
        <v>0</v>
      </c>
      <c r="P507" s="9">
        <f>IF('[1]Game Input'!$AP507&lt;&gt;"",'[1]Game Input'!$AP507,"")</f>
        <v>0</v>
      </c>
      <c r="Q507" s="9">
        <f>IF('[1]Game Input'!$AQ507&lt;&gt;"",'[1]Game Input'!$AQ507,"")</f>
        <v>0</v>
      </c>
      <c r="R507" s="9">
        <f>IF('[1]Game Input'!$AR507&lt;&gt;"",'[1]Game Input'!$AR507,"")</f>
        <v>0</v>
      </c>
      <c r="S507" s="9">
        <f>IF('[1]Game Input'!$AS507&lt;&gt;"",'[1]Game Input'!$AS507,"")</f>
        <v>0</v>
      </c>
      <c r="T507" s="10" t="str">
        <f>IF('[1]Game Input'!$BA507&lt;&gt;"",'[1]Game Input'!$BA507,"")</f>
        <v>GREEN BAY</v>
      </c>
      <c r="U507" s="9">
        <f>IF('[1]Game Input'!$BU507&lt;&gt;"",'[1]Game Input'!$BU507,"")</f>
        <v>14</v>
      </c>
      <c r="V507" s="9">
        <f>IF('[1]Game Input'!$BV507&lt;&gt;"",'[1]Game Input'!$BV507,"")</f>
        <v>7</v>
      </c>
      <c r="W507" s="9">
        <f>IF('[1]Game Input'!$CB507&lt;&gt;"",'[1]Game Input'!$CB507,"")</f>
        <v>0</v>
      </c>
      <c r="X507" s="9">
        <f>IF('[1]Game Input'!$CC507&lt;&gt;"",'[1]Game Input'!$CC507,"")</f>
        <v>0</v>
      </c>
      <c r="Y507" s="9">
        <f>IF('[1]Game Input'!$CF507&lt;&gt;"",'[1]Game Input'!$CF507,"")</f>
        <v>7</v>
      </c>
      <c r="Z507" s="9">
        <f>IF('[1]Game Input'!$CG507&lt;&gt;"",'[1]Game Input'!$CG507,"")</f>
        <v>0</v>
      </c>
      <c r="AA507" s="9">
        <f>IF('[1]Game Input'!$CH507&lt;&gt;"",'[1]Game Input'!$CH507,"")</f>
        <v>0</v>
      </c>
      <c r="AB507" s="9">
        <f>IF('[1]Game Input'!$CI507&lt;&gt;"",'[1]Game Input'!$CI507,"")</f>
        <v>0</v>
      </c>
      <c r="AC507" s="9">
        <f>IF('[1]Game Input'!$CJ507&lt;&gt;"",'[1]Game Input'!$CJ507,"")</f>
        <v>0</v>
      </c>
      <c r="AD507" s="9">
        <f>IF('[1]Game Input'!$CK507&lt;&gt;"",'[1]Game Input'!$CK507,"")</f>
        <v>0</v>
      </c>
      <c r="AE507" s="8"/>
      <c r="AF507" s="8"/>
      <c r="AG507" s="8"/>
      <c r="AH507" s="8"/>
    </row>
    <row r="508" spans="1:34" x14ac:dyDescent="0.2">
      <c r="A508" s="6">
        <f>IF('[1]Game Input'!$A508&lt;&gt;"",'[1]Game Input'!$A508,"")</f>
        <v>43561</v>
      </c>
      <c r="B508" s="6" t="str">
        <f>IF(A508&gt;$B$1,VLOOKUP(MONTH($A508),DOTWMonth,2,FALSE),"")</f>
        <v>April</v>
      </c>
      <c r="C508" s="10" t="str">
        <f>IF(A508&gt;$B$1,VLOOKUP(WEEKDAY($A508),DOTWMonth,3,FALSE),"")</f>
        <v>Saturday</v>
      </c>
      <c r="D508" s="7">
        <f>IF('[1]Game Input'!$B508&lt;&gt;"",'[1]Game Input'!$B508,"")</f>
        <v>0.83680555555555547</v>
      </c>
      <c r="E508" s="7">
        <f>IF('[1]Game Input'!$C508&lt;&gt;"",'[1]Game Input'!$C508,"")</f>
        <v>0.79513888888888884</v>
      </c>
      <c r="F508" s="8" t="str">
        <f>IF('[1]Game Input'!$D508&lt;&gt;"",'[1]Game Input'!$D508,"")</f>
        <v>Daylight</v>
      </c>
      <c r="G508" s="8" t="str">
        <f>IF('[1]Game Input'!$G508&lt;&gt;"",'[1]Game Input'!$G508,"")</f>
        <v>OMA @ WAT</v>
      </c>
      <c r="H508" s="8" t="str">
        <f>IF('[1]Game Input'!$H508&lt;&gt;"",'[1]Game Input'!$H508,"")</f>
        <v>Vs. Conference</v>
      </c>
      <c r="I508" s="8" t="str">
        <f>IF('[1]Game Input'!$I508&lt;&gt;"",'[1]Game Input'!$I508,"")</f>
        <v>OMAHA</v>
      </c>
      <c r="J508" s="9">
        <f>IF('[1]Game Input'!$AC508&lt;&gt;"",'[1]Game Input'!$AC508,"")</f>
        <v>27</v>
      </c>
      <c r="K508" s="9">
        <f>IF('[1]Game Input'!$AD508&lt;&gt;"",'[1]Game Input'!$AD508,"")</f>
        <v>8</v>
      </c>
      <c r="L508" s="9">
        <f>IF('[1]Game Input'!$AJ508&lt;&gt;"",'[1]Game Input'!$AJ508,"")</f>
        <v>0</v>
      </c>
      <c r="M508" s="9">
        <f>IF('[1]Game Input'!$AK508&lt;&gt;"",'[1]Game Input'!$AK508,"")</f>
        <v>0</v>
      </c>
      <c r="N508" s="9">
        <f>IF('[1]Game Input'!$AN508&lt;&gt;"",'[1]Game Input'!$AN508,"")</f>
        <v>6</v>
      </c>
      <c r="O508" s="9">
        <f>IF('[1]Game Input'!$AO508&lt;&gt;"",'[1]Game Input'!$AO508,"")</f>
        <v>1</v>
      </c>
      <c r="P508" s="9">
        <f>IF('[1]Game Input'!$AP508&lt;&gt;"",'[1]Game Input'!$AP508,"")</f>
        <v>1</v>
      </c>
      <c r="Q508" s="9">
        <f>IF('[1]Game Input'!$AQ508&lt;&gt;"",'[1]Game Input'!$AQ508,"")</f>
        <v>0</v>
      </c>
      <c r="R508" s="9">
        <f>IF('[1]Game Input'!$AR508&lt;&gt;"",'[1]Game Input'!$AR508,"")</f>
        <v>0</v>
      </c>
      <c r="S508" s="9">
        <f>IF('[1]Game Input'!$AS508&lt;&gt;"",'[1]Game Input'!$AS508,"")</f>
        <v>0</v>
      </c>
      <c r="T508" s="10" t="str">
        <f>IF('[1]Game Input'!$BA508&lt;&gt;"",'[1]Game Input'!$BA508,"")</f>
        <v>WATERLOO</v>
      </c>
      <c r="U508" s="9">
        <f>IF('[1]Game Input'!$BU508&lt;&gt;"",'[1]Game Input'!$BU508,"")</f>
        <v>33</v>
      </c>
      <c r="V508" s="9">
        <f>IF('[1]Game Input'!$BV508&lt;&gt;"",'[1]Game Input'!$BV508,"")</f>
        <v>11</v>
      </c>
      <c r="W508" s="9">
        <f>IF('[1]Game Input'!$CB508&lt;&gt;"",'[1]Game Input'!$CB508,"")</f>
        <v>0</v>
      </c>
      <c r="X508" s="9">
        <f>IF('[1]Game Input'!$CC508&lt;&gt;"",'[1]Game Input'!$CC508,"")</f>
        <v>0</v>
      </c>
      <c r="Y508" s="9">
        <f>IF('[1]Game Input'!$CF508&lt;&gt;"",'[1]Game Input'!$CF508,"")</f>
        <v>9</v>
      </c>
      <c r="Z508" s="9">
        <f>IF('[1]Game Input'!$CG508&lt;&gt;"",'[1]Game Input'!$CG508,"")</f>
        <v>1</v>
      </c>
      <c r="AA508" s="9">
        <f>IF('[1]Game Input'!$CH508&lt;&gt;"",'[1]Game Input'!$CH508,"")</f>
        <v>1</v>
      </c>
      <c r="AB508" s="9">
        <f>IF('[1]Game Input'!$CI508&lt;&gt;"",'[1]Game Input'!$CI508,"")</f>
        <v>0</v>
      </c>
      <c r="AC508" s="9">
        <f>IF('[1]Game Input'!$CJ508&lt;&gt;"",'[1]Game Input'!$CJ508,"")</f>
        <v>0</v>
      </c>
      <c r="AD508" s="9">
        <f>IF('[1]Game Input'!$CK508&lt;&gt;"",'[1]Game Input'!$CK508,"")</f>
        <v>0</v>
      </c>
      <c r="AE508" s="8"/>
      <c r="AF508" s="8"/>
      <c r="AG508" s="8"/>
      <c r="AH508" s="8"/>
    </row>
    <row r="509" spans="1:34" x14ac:dyDescent="0.2">
      <c r="A509" s="6">
        <f>IF('[1]Game Input'!$A509&lt;&gt;"",'[1]Game Input'!$A509,"")</f>
        <v>43561</v>
      </c>
      <c r="B509" s="6" t="str">
        <f>IF(A509&gt;$B$1,VLOOKUP(MONTH($A509),DOTWMonth,2,FALSE),"")</f>
        <v>April</v>
      </c>
      <c r="C509" s="10" t="str">
        <f>IF(A509&gt;$B$1,VLOOKUP(WEEKDAY($A509),DOTWMonth,3,FALSE),"")</f>
        <v>Saturday</v>
      </c>
      <c r="D509" s="7">
        <f>IF('[1]Game Input'!$B509&lt;&gt;"",'[1]Game Input'!$B509,"")</f>
        <v>0.83680555555555547</v>
      </c>
      <c r="E509" s="7">
        <f>IF('[1]Game Input'!$C509&lt;&gt;"",'[1]Game Input'!$C509,"")</f>
        <v>0.79513888888888884</v>
      </c>
      <c r="F509" s="8" t="str">
        <f>IF('[1]Game Input'!$D509&lt;&gt;"",'[1]Game Input'!$D509,"")</f>
        <v>Daylight</v>
      </c>
      <c r="G509" s="8" t="str">
        <f>IF('[1]Game Input'!$G509&lt;&gt;"",'[1]Game Input'!$G509,"")</f>
        <v>TC @ CR</v>
      </c>
      <c r="H509" s="8" t="str">
        <f>IF('[1]Game Input'!$H509&lt;&gt;"",'[1]Game Input'!$H509,"")</f>
        <v>Vs. Non-Conference</v>
      </c>
      <c r="I509" s="8" t="str">
        <f>IF('[1]Game Input'!$I509&lt;&gt;"",'[1]Game Input'!$I509,"")</f>
        <v>TRI-CITY</v>
      </c>
      <c r="J509" s="9">
        <f>IF('[1]Game Input'!$AC509&lt;&gt;"",'[1]Game Input'!$AC509,"")</f>
        <v>26</v>
      </c>
      <c r="K509" s="9">
        <f>IF('[1]Game Input'!$AD509&lt;&gt;"",'[1]Game Input'!$AD509,"")</f>
        <v>9</v>
      </c>
      <c r="L509" s="9">
        <f>IF('[1]Game Input'!$AJ509&lt;&gt;"",'[1]Game Input'!$AJ509,"")</f>
        <v>0</v>
      </c>
      <c r="M509" s="9">
        <f>IF('[1]Game Input'!$AK509&lt;&gt;"",'[1]Game Input'!$AK509,"")</f>
        <v>0</v>
      </c>
      <c r="N509" s="9">
        <f>IF('[1]Game Input'!$AN509&lt;&gt;"",'[1]Game Input'!$AN509,"")</f>
        <v>8</v>
      </c>
      <c r="O509" s="9">
        <f>IF('[1]Game Input'!$AO509&lt;&gt;"",'[1]Game Input'!$AO509,"")</f>
        <v>0</v>
      </c>
      <c r="P509" s="9">
        <f>IF('[1]Game Input'!$AP509&lt;&gt;"",'[1]Game Input'!$AP509,"")</f>
        <v>1</v>
      </c>
      <c r="Q509" s="9">
        <f>IF('[1]Game Input'!$AQ509&lt;&gt;"",'[1]Game Input'!$AQ509,"")</f>
        <v>0</v>
      </c>
      <c r="R509" s="9">
        <f>IF('[1]Game Input'!$AR509&lt;&gt;"",'[1]Game Input'!$AR509,"")</f>
        <v>0</v>
      </c>
      <c r="S509" s="9">
        <f>IF('[1]Game Input'!$AS509&lt;&gt;"",'[1]Game Input'!$AS509,"")</f>
        <v>0</v>
      </c>
      <c r="T509" s="10" t="str">
        <f>IF('[1]Game Input'!$BA509&lt;&gt;"",'[1]Game Input'!$BA509,"")</f>
        <v>CEDAR RAPIDS</v>
      </c>
      <c r="U509" s="9">
        <f>IF('[1]Game Input'!$BU509&lt;&gt;"",'[1]Game Input'!$BU509,"")</f>
        <v>30</v>
      </c>
      <c r="V509" s="9">
        <f>IF('[1]Game Input'!$BV509&lt;&gt;"",'[1]Game Input'!$BV509,"")</f>
        <v>11</v>
      </c>
      <c r="W509" s="9">
        <f>IF('[1]Game Input'!$CB509&lt;&gt;"",'[1]Game Input'!$CB509,"")</f>
        <v>0</v>
      </c>
      <c r="X509" s="9">
        <f>IF('[1]Game Input'!$CC509&lt;&gt;"",'[1]Game Input'!$CC509,"")</f>
        <v>0</v>
      </c>
      <c r="Y509" s="9">
        <f>IF('[1]Game Input'!$CF509&lt;&gt;"",'[1]Game Input'!$CF509,"")</f>
        <v>10</v>
      </c>
      <c r="Z509" s="9">
        <f>IF('[1]Game Input'!$CG509&lt;&gt;"",'[1]Game Input'!$CG509,"")</f>
        <v>0</v>
      </c>
      <c r="AA509" s="9">
        <f>IF('[1]Game Input'!$CH509&lt;&gt;"",'[1]Game Input'!$CH509,"")</f>
        <v>1</v>
      </c>
      <c r="AB509" s="9">
        <f>IF('[1]Game Input'!$CI509&lt;&gt;"",'[1]Game Input'!$CI509,"")</f>
        <v>0</v>
      </c>
      <c r="AC509" s="9">
        <f>IF('[1]Game Input'!$CJ509&lt;&gt;"",'[1]Game Input'!$CJ509,"")</f>
        <v>0</v>
      </c>
      <c r="AD509" s="9">
        <f>IF('[1]Game Input'!$CK509&lt;&gt;"",'[1]Game Input'!$CK509,"")</f>
        <v>0</v>
      </c>
      <c r="AE509" s="8" t="s">
        <v>103</v>
      </c>
      <c r="AF509" s="8"/>
      <c r="AG509" s="8" t="s">
        <v>115</v>
      </c>
      <c r="AH509" s="8" t="s">
        <v>119</v>
      </c>
    </row>
    <row r="510" spans="1:34" x14ac:dyDescent="0.2">
      <c r="A510" s="6">
        <f>IF('[1]Game Input'!$A510&lt;&gt;"",'[1]Game Input'!$A510,"")</f>
        <v>43561</v>
      </c>
      <c r="B510" s="6" t="str">
        <f>IF(A510&gt;$B$1,VLOOKUP(MONTH($A510),DOTWMonth,2,FALSE),"")</f>
        <v>April</v>
      </c>
      <c r="C510" s="10" t="str">
        <f>IF(A510&gt;$B$1,VLOOKUP(WEEKDAY($A510),DOTWMonth,3,FALSE),"")</f>
        <v>Saturday</v>
      </c>
      <c r="D510" s="7">
        <f>IF('[1]Game Input'!$B510&lt;&gt;"",'[1]Game Input'!$B510,"")</f>
        <v>0.83680555555555547</v>
      </c>
      <c r="E510" s="7">
        <f>IF('[1]Game Input'!$C510&lt;&gt;"",'[1]Game Input'!$C510,"")</f>
        <v>0.79513888888888884</v>
      </c>
      <c r="F510" s="8" t="str">
        <f>IF('[1]Game Input'!$D510&lt;&gt;"",'[1]Game Input'!$D510,"")</f>
        <v>Daylight</v>
      </c>
      <c r="G510" s="8" t="str">
        <f>IF('[1]Game Input'!$G510&lt;&gt;"",'[1]Game Input'!$G510,"")</f>
        <v>USA @ FGO</v>
      </c>
      <c r="H510" s="8" t="str">
        <f>IF('[1]Game Input'!$H510&lt;&gt;"",'[1]Game Input'!$H510,"")</f>
        <v>Vs. Non-Conference</v>
      </c>
      <c r="I510" s="8" t="str">
        <f>IF('[1]Game Input'!$I510&lt;&gt;"",'[1]Game Input'!$I510,"")</f>
        <v>TEAM USA</v>
      </c>
      <c r="J510" s="9">
        <f>IF('[1]Game Input'!$AC510&lt;&gt;"",'[1]Game Input'!$AC510,"")</f>
        <v>6</v>
      </c>
      <c r="K510" s="9">
        <f>IF('[1]Game Input'!$AD510&lt;&gt;"",'[1]Game Input'!$AD510,"")</f>
        <v>3</v>
      </c>
      <c r="L510" s="9">
        <f>IF('[1]Game Input'!$AJ510&lt;&gt;"",'[1]Game Input'!$AJ510,"")</f>
        <v>0</v>
      </c>
      <c r="M510" s="9">
        <f>IF('[1]Game Input'!$AK510&lt;&gt;"",'[1]Game Input'!$AK510,"")</f>
        <v>0</v>
      </c>
      <c r="N510" s="9">
        <f>IF('[1]Game Input'!$AN510&lt;&gt;"",'[1]Game Input'!$AN510,"")</f>
        <v>3</v>
      </c>
      <c r="O510" s="9">
        <f>IF('[1]Game Input'!$AO510&lt;&gt;"",'[1]Game Input'!$AO510,"")</f>
        <v>0</v>
      </c>
      <c r="P510" s="9">
        <f>IF('[1]Game Input'!$AP510&lt;&gt;"",'[1]Game Input'!$AP510,"")</f>
        <v>0</v>
      </c>
      <c r="Q510" s="9">
        <f>IF('[1]Game Input'!$AQ510&lt;&gt;"",'[1]Game Input'!$AQ510,"")</f>
        <v>0</v>
      </c>
      <c r="R510" s="9">
        <f>IF('[1]Game Input'!$AR510&lt;&gt;"",'[1]Game Input'!$AR510,"")</f>
        <v>0</v>
      </c>
      <c r="S510" s="9">
        <f>IF('[1]Game Input'!$AS510&lt;&gt;"",'[1]Game Input'!$AS510,"")</f>
        <v>0</v>
      </c>
      <c r="T510" s="10" t="str">
        <f>IF('[1]Game Input'!$BA510&lt;&gt;"",'[1]Game Input'!$BA510,"")</f>
        <v>FARGO</v>
      </c>
      <c r="U510" s="9">
        <f>IF('[1]Game Input'!$BU510&lt;&gt;"",'[1]Game Input'!$BU510,"")</f>
        <v>10</v>
      </c>
      <c r="V510" s="9">
        <f>IF('[1]Game Input'!$BV510&lt;&gt;"",'[1]Game Input'!$BV510,"")</f>
        <v>5</v>
      </c>
      <c r="W510" s="9">
        <f>IF('[1]Game Input'!$CB510&lt;&gt;"",'[1]Game Input'!$CB510,"")</f>
        <v>0</v>
      </c>
      <c r="X510" s="9">
        <f>IF('[1]Game Input'!$CC510&lt;&gt;"",'[1]Game Input'!$CC510,"")</f>
        <v>0</v>
      </c>
      <c r="Y510" s="9">
        <f>IF('[1]Game Input'!$CF510&lt;&gt;"",'[1]Game Input'!$CF510,"")</f>
        <v>5</v>
      </c>
      <c r="Z510" s="9">
        <f>IF('[1]Game Input'!$CG510&lt;&gt;"",'[1]Game Input'!$CG510,"")</f>
        <v>0</v>
      </c>
      <c r="AA510" s="9">
        <f>IF('[1]Game Input'!$CH510&lt;&gt;"",'[1]Game Input'!$CH510,"")</f>
        <v>0</v>
      </c>
      <c r="AB510" s="9">
        <f>IF('[1]Game Input'!$CI510&lt;&gt;"",'[1]Game Input'!$CI510,"")</f>
        <v>0</v>
      </c>
      <c r="AC510" s="9">
        <f>IF('[1]Game Input'!$CJ510&lt;&gt;"",'[1]Game Input'!$CJ510,"")</f>
        <v>0</v>
      </c>
      <c r="AD510" s="9">
        <f>IF('[1]Game Input'!$CK510&lt;&gt;"",'[1]Game Input'!$CK510,"")</f>
        <v>0</v>
      </c>
      <c r="AE510" s="8"/>
      <c r="AF510" s="8"/>
      <c r="AG510" s="8"/>
      <c r="AH510" s="8"/>
    </row>
    <row r="511" spans="1:34" x14ac:dyDescent="0.2">
      <c r="A511" s="6">
        <f>IF('[1]Game Input'!$A511&lt;&gt;"",'[1]Game Input'!$A511,"")</f>
        <v>43561</v>
      </c>
      <c r="B511" s="6" t="str">
        <f>IF(A511&gt;$B$1,VLOOKUP(MONTH($A511),DOTWMonth,2,FALSE),"")</f>
        <v>April</v>
      </c>
      <c r="C511" s="10" t="str">
        <f>IF(A511&gt;$B$1,VLOOKUP(WEEKDAY($A511),DOTWMonth,3,FALSE),"")</f>
        <v>Saturday</v>
      </c>
      <c r="D511" s="7">
        <f>IF('[1]Game Input'!$B511&lt;&gt;"",'[1]Game Input'!$B511,"")</f>
        <v>0.83680555555555547</v>
      </c>
      <c r="E511" s="7">
        <f>IF('[1]Game Input'!$C511&lt;&gt;"",'[1]Game Input'!$C511,"")</f>
        <v>0.79513888888888884</v>
      </c>
      <c r="F511" s="8" t="str">
        <f>IF('[1]Game Input'!$D511&lt;&gt;"",'[1]Game Input'!$D511,"")</f>
        <v>Daylight</v>
      </c>
      <c r="G511" s="8" t="str">
        <f>IF('[1]Game Input'!$G511&lt;&gt;"",'[1]Game Input'!$G511,"")</f>
        <v>CIL @ LIN</v>
      </c>
      <c r="H511" s="8" t="str">
        <f>IF('[1]Game Input'!$H511&lt;&gt;"",'[1]Game Input'!$H511,"")</f>
        <v>Vs. Non-Conference</v>
      </c>
      <c r="I511" s="8" t="str">
        <f>IF('[1]Game Input'!$I511&lt;&gt;"",'[1]Game Input'!$I511,"")</f>
        <v>CENTRAL ILLINOIS</v>
      </c>
      <c r="J511" s="9">
        <f>IF('[1]Game Input'!$AC511&lt;&gt;"",'[1]Game Input'!$AC511,"")</f>
        <v>6</v>
      </c>
      <c r="K511" s="9">
        <f>IF('[1]Game Input'!$AD511&lt;&gt;"",'[1]Game Input'!$AD511,"")</f>
        <v>3</v>
      </c>
      <c r="L511" s="9">
        <f>IF('[1]Game Input'!$AJ511&lt;&gt;"",'[1]Game Input'!$AJ511,"")</f>
        <v>0</v>
      </c>
      <c r="M511" s="9">
        <f>IF('[1]Game Input'!$AK511&lt;&gt;"",'[1]Game Input'!$AK511,"")</f>
        <v>0</v>
      </c>
      <c r="N511" s="9">
        <f>IF('[1]Game Input'!$AN511&lt;&gt;"",'[1]Game Input'!$AN511,"")</f>
        <v>3</v>
      </c>
      <c r="O511" s="9">
        <f>IF('[1]Game Input'!$AO511&lt;&gt;"",'[1]Game Input'!$AO511,"")</f>
        <v>0</v>
      </c>
      <c r="P511" s="9">
        <f>IF('[1]Game Input'!$AP511&lt;&gt;"",'[1]Game Input'!$AP511,"")</f>
        <v>0</v>
      </c>
      <c r="Q511" s="9">
        <f>IF('[1]Game Input'!$AQ511&lt;&gt;"",'[1]Game Input'!$AQ511,"")</f>
        <v>0</v>
      </c>
      <c r="R511" s="9">
        <f>IF('[1]Game Input'!$AR511&lt;&gt;"",'[1]Game Input'!$AR511,"")</f>
        <v>0</v>
      </c>
      <c r="S511" s="9">
        <f>IF('[1]Game Input'!$AS511&lt;&gt;"",'[1]Game Input'!$AS511,"")</f>
        <v>0</v>
      </c>
      <c r="T511" s="10" t="str">
        <f>IF('[1]Game Input'!$BA511&lt;&gt;"",'[1]Game Input'!$BA511,"")</f>
        <v>LINCOLN</v>
      </c>
      <c r="U511" s="9">
        <f>IF('[1]Game Input'!$BU511&lt;&gt;"",'[1]Game Input'!$BU511,"")</f>
        <v>6</v>
      </c>
      <c r="V511" s="9">
        <f>IF('[1]Game Input'!$BV511&lt;&gt;"",'[1]Game Input'!$BV511,"")</f>
        <v>3</v>
      </c>
      <c r="W511" s="9">
        <f>IF('[1]Game Input'!$CB511&lt;&gt;"",'[1]Game Input'!$CB511,"")</f>
        <v>0</v>
      </c>
      <c r="X511" s="9">
        <f>IF('[1]Game Input'!$CC511&lt;&gt;"",'[1]Game Input'!$CC511,"")</f>
        <v>0</v>
      </c>
      <c r="Y511" s="9">
        <f>IF('[1]Game Input'!$CF511&lt;&gt;"",'[1]Game Input'!$CF511,"")</f>
        <v>3</v>
      </c>
      <c r="Z511" s="9">
        <f>IF('[1]Game Input'!$CG511&lt;&gt;"",'[1]Game Input'!$CG511,"")</f>
        <v>0</v>
      </c>
      <c r="AA511" s="9">
        <f>IF('[1]Game Input'!$CH511&lt;&gt;"",'[1]Game Input'!$CH511,"")</f>
        <v>0</v>
      </c>
      <c r="AB511" s="9">
        <f>IF('[1]Game Input'!$CI511&lt;&gt;"",'[1]Game Input'!$CI511,"")</f>
        <v>0</v>
      </c>
      <c r="AC511" s="9">
        <f>IF('[1]Game Input'!$CJ511&lt;&gt;"",'[1]Game Input'!$CJ511,"")</f>
        <v>0</v>
      </c>
      <c r="AD511" s="9">
        <f>IF('[1]Game Input'!$CK511&lt;&gt;"",'[1]Game Input'!$CK511,"")</f>
        <v>0</v>
      </c>
      <c r="AE511" s="8" t="s">
        <v>131</v>
      </c>
      <c r="AF511" s="8"/>
      <c r="AG511" s="8" t="s">
        <v>134</v>
      </c>
      <c r="AH511" s="8" t="s">
        <v>117</v>
      </c>
    </row>
    <row r="512" spans="1:34" x14ac:dyDescent="0.2">
      <c r="A512" s="6">
        <f>IF('[1]Game Input'!$A512&lt;&gt;"",'[1]Game Input'!$A512,"")</f>
        <v>43561</v>
      </c>
      <c r="B512" s="6" t="str">
        <f>IF(A512&gt;$B$1,VLOOKUP(MONTH($A512),DOTWMonth,2,FALSE),"")</f>
        <v>April</v>
      </c>
      <c r="C512" s="10" t="str">
        <f>IF(A512&gt;$B$1,VLOOKUP(WEEKDAY($A512),DOTWMonth,3,FALSE),"")</f>
        <v>Saturday</v>
      </c>
      <c r="D512" s="7">
        <f>IF('[1]Game Input'!$B512&lt;&gt;"",'[1]Game Input'!$B512,"")</f>
        <v>0.83680555555555547</v>
      </c>
      <c r="E512" s="7">
        <f>IF('[1]Game Input'!$C512&lt;&gt;"",'[1]Game Input'!$C512,"")</f>
        <v>0.79513888888888884</v>
      </c>
      <c r="F512" s="8" t="str">
        <f>IF('[1]Game Input'!$D512&lt;&gt;"",'[1]Game Input'!$D512,"")</f>
        <v>Daylight</v>
      </c>
      <c r="G512" s="8" t="str">
        <f>IF('[1]Game Input'!$G512&lt;&gt;"",'[1]Game Input'!$G512,"")</f>
        <v>DM @ MAD</v>
      </c>
      <c r="H512" s="8" t="str">
        <f>IF('[1]Game Input'!$H512&lt;&gt;"",'[1]Game Input'!$H512,"")</f>
        <v>Vs. Non-Conference</v>
      </c>
      <c r="I512" s="8" t="str">
        <f>IF('[1]Game Input'!$I512&lt;&gt;"",'[1]Game Input'!$I512,"")</f>
        <v>DES MOINES</v>
      </c>
      <c r="J512" s="9">
        <f>IF('[1]Game Input'!$AC512&lt;&gt;"",'[1]Game Input'!$AC512,"")</f>
        <v>8</v>
      </c>
      <c r="K512" s="9">
        <f>IF('[1]Game Input'!$AD512&lt;&gt;"",'[1]Game Input'!$AD512,"")</f>
        <v>4</v>
      </c>
      <c r="L512" s="9">
        <f>IF('[1]Game Input'!$AJ512&lt;&gt;"",'[1]Game Input'!$AJ512,"")</f>
        <v>0</v>
      </c>
      <c r="M512" s="9">
        <f>IF('[1]Game Input'!$AK512&lt;&gt;"",'[1]Game Input'!$AK512,"")</f>
        <v>0</v>
      </c>
      <c r="N512" s="9">
        <f>IF('[1]Game Input'!$AN512&lt;&gt;"",'[1]Game Input'!$AN512,"")</f>
        <v>4</v>
      </c>
      <c r="O512" s="9">
        <f>IF('[1]Game Input'!$AO512&lt;&gt;"",'[1]Game Input'!$AO512,"")</f>
        <v>0</v>
      </c>
      <c r="P512" s="9">
        <f>IF('[1]Game Input'!$AP512&lt;&gt;"",'[1]Game Input'!$AP512,"")</f>
        <v>0</v>
      </c>
      <c r="Q512" s="9">
        <f>IF('[1]Game Input'!$AQ512&lt;&gt;"",'[1]Game Input'!$AQ512,"")</f>
        <v>0</v>
      </c>
      <c r="R512" s="9">
        <f>IF('[1]Game Input'!$AR512&lt;&gt;"",'[1]Game Input'!$AR512,"")</f>
        <v>0</v>
      </c>
      <c r="S512" s="9">
        <f>IF('[1]Game Input'!$AS512&lt;&gt;"",'[1]Game Input'!$AS512,"")</f>
        <v>0</v>
      </c>
      <c r="T512" s="10" t="str">
        <f>IF('[1]Game Input'!$BA512&lt;&gt;"",'[1]Game Input'!$BA512,"")</f>
        <v>MADISON</v>
      </c>
      <c r="U512" s="9">
        <f>IF('[1]Game Input'!$BU512&lt;&gt;"",'[1]Game Input'!$BU512,"")</f>
        <v>14</v>
      </c>
      <c r="V512" s="9">
        <f>IF('[1]Game Input'!$BV512&lt;&gt;"",'[1]Game Input'!$BV512,"")</f>
        <v>7</v>
      </c>
      <c r="W512" s="9">
        <f>IF('[1]Game Input'!$CB512&lt;&gt;"",'[1]Game Input'!$CB512,"")</f>
        <v>0</v>
      </c>
      <c r="X512" s="9">
        <f>IF('[1]Game Input'!$CC512&lt;&gt;"",'[1]Game Input'!$CC512,"")</f>
        <v>0</v>
      </c>
      <c r="Y512" s="9">
        <f>IF('[1]Game Input'!$CF512&lt;&gt;"",'[1]Game Input'!$CF512,"")</f>
        <v>7</v>
      </c>
      <c r="Z512" s="9">
        <f>IF('[1]Game Input'!$CG512&lt;&gt;"",'[1]Game Input'!$CG512,"")</f>
        <v>0</v>
      </c>
      <c r="AA512" s="9">
        <f>IF('[1]Game Input'!$CH512&lt;&gt;"",'[1]Game Input'!$CH512,"")</f>
        <v>0</v>
      </c>
      <c r="AB512" s="9">
        <f>IF('[1]Game Input'!$CI512&lt;&gt;"",'[1]Game Input'!$CI512,"")</f>
        <v>0</v>
      </c>
      <c r="AC512" s="9">
        <f>IF('[1]Game Input'!$CJ512&lt;&gt;"",'[1]Game Input'!$CJ512,"")</f>
        <v>0</v>
      </c>
      <c r="AD512" s="9">
        <f>IF('[1]Game Input'!$CK512&lt;&gt;"",'[1]Game Input'!$CK512,"")</f>
        <v>0</v>
      </c>
      <c r="AE512" s="8" t="s">
        <v>94</v>
      </c>
      <c r="AF512" s="8"/>
      <c r="AG512" s="8" t="s">
        <v>141</v>
      </c>
      <c r="AH512" s="8" t="s">
        <v>145</v>
      </c>
    </row>
    <row r="513" spans="1:34" x14ac:dyDescent="0.2">
      <c r="A513" s="6">
        <f>IF('[1]Game Input'!$A513&lt;&gt;"",'[1]Game Input'!$A513,"")</f>
        <v>43562</v>
      </c>
      <c r="B513" s="6" t="str">
        <f>IF(A513&gt;$B$1,VLOOKUP(MONTH($A513),DOTWMonth,2,FALSE),"")</f>
        <v>April</v>
      </c>
      <c r="C513" s="10" t="str">
        <f>IF(A513&gt;$B$1,VLOOKUP(WEEKDAY($A513),DOTWMonth,3,FALSE),"")</f>
        <v>Sunday</v>
      </c>
      <c r="D513" s="7">
        <f>IF('[1]Game Input'!$B513&lt;&gt;"",'[1]Game Input'!$B513,"")</f>
        <v>0.67013888888888884</v>
      </c>
      <c r="E513" s="7">
        <f>IF('[1]Game Input'!$C513&lt;&gt;"",'[1]Game Input'!$C513,"")</f>
        <v>0.62847222222222221</v>
      </c>
      <c r="F513" s="8" t="str">
        <f>IF('[1]Game Input'!$D513&lt;&gt;"",'[1]Game Input'!$D513,"")</f>
        <v>Daylight</v>
      </c>
      <c r="G513" s="8" t="str">
        <f>IF('[1]Game Input'!$G513&lt;&gt;"",'[1]Game Input'!$G513,"")</f>
        <v>CR @ GB</v>
      </c>
      <c r="H513" s="8" t="str">
        <f>IF('[1]Game Input'!$H513&lt;&gt;"",'[1]Game Input'!$H513,"")</f>
        <v>Vs. Conference</v>
      </c>
      <c r="I513" s="8" t="str">
        <f>IF('[1]Game Input'!$I513&lt;&gt;"",'[1]Game Input'!$I513,"")</f>
        <v>CEDAR RAPIDS</v>
      </c>
      <c r="J513" s="9">
        <f>IF('[1]Game Input'!$AC513&lt;&gt;"",'[1]Game Input'!$AC513,"")</f>
        <v>6</v>
      </c>
      <c r="K513" s="9">
        <f>IF('[1]Game Input'!$AD513&lt;&gt;"",'[1]Game Input'!$AD513,"")</f>
        <v>3</v>
      </c>
      <c r="L513" s="9">
        <f>IF('[1]Game Input'!$AJ513&lt;&gt;"",'[1]Game Input'!$AJ513,"")</f>
        <v>0</v>
      </c>
      <c r="M513" s="9">
        <f>IF('[1]Game Input'!$AK513&lt;&gt;"",'[1]Game Input'!$AK513,"")</f>
        <v>0</v>
      </c>
      <c r="N513" s="9">
        <f>IF('[1]Game Input'!$AN513&lt;&gt;"",'[1]Game Input'!$AN513,"")</f>
        <v>3</v>
      </c>
      <c r="O513" s="9">
        <f>IF('[1]Game Input'!$AO513&lt;&gt;"",'[1]Game Input'!$AO513,"")</f>
        <v>0</v>
      </c>
      <c r="P513" s="9">
        <f>IF('[1]Game Input'!$AP513&lt;&gt;"",'[1]Game Input'!$AP513,"")</f>
        <v>0</v>
      </c>
      <c r="Q513" s="9">
        <f>IF('[1]Game Input'!$AQ513&lt;&gt;"",'[1]Game Input'!$AQ513,"")</f>
        <v>0</v>
      </c>
      <c r="R513" s="9">
        <f>IF('[1]Game Input'!$AR513&lt;&gt;"",'[1]Game Input'!$AR513,"")</f>
        <v>0</v>
      </c>
      <c r="S513" s="9">
        <f>IF('[1]Game Input'!$AS513&lt;&gt;"",'[1]Game Input'!$AS513,"")</f>
        <v>0</v>
      </c>
      <c r="T513" s="10" t="str">
        <f>IF('[1]Game Input'!$BA513&lt;&gt;"",'[1]Game Input'!$BA513,"")</f>
        <v>GREEN BAY</v>
      </c>
      <c r="U513" s="9">
        <f>IF('[1]Game Input'!$BU513&lt;&gt;"",'[1]Game Input'!$BU513,"")</f>
        <v>8</v>
      </c>
      <c r="V513" s="9">
        <f>IF('[1]Game Input'!$BV513&lt;&gt;"",'[1]Game Input'!$BV513,"")</f>
        <v>4</v>
      </c>
      <c r="W513" s="9">
        <f>IF('[1]Game Input'!$CB513&lt;&gt;"",'[1]Game Input'!$CB513,"")</f>
        <v>0</v>
      </c>
      <c r="X513" s="9">
        <f>IF('[1]Game Input'!$CC513&lt;&gt;"",'[1]Game Input'!$CC513,"")</f>
        <v>0</v>
      </c>
      <c r="Y513" s="9">
        <f>IF('[1]Game Input'!$CF513&lt;&gt;"",'[1]Game Input'!$CF513,"")</f>
        <v>4</v>
      </c>
      <c r="Z513" s="9">
        <f>IF('[1]Game Input'!$CG513&lt;&gt;"",'[1]Game Input'!$CG513,"")</f>
        <v>0</v>
      </c>
      <c r="AA513" s="9">
        <f>IF('[1]Game Input'!$CH513&lt;&gt;"",'[1]Game Input'!$CH513,"")</f>
        <v>0</v>
      </c>
      <c r="AB513" s="9">
        <f>IF('[1]Game Input'!$CI513&lt;&gt;"",'[1]Game Input'!$CI513,"")</f>
        <v>0</v>
      </c>
      <c r="AC513" s="9">
        <f>IF('[1]Game Input'!$CJ513&lt;&gt;"",'[1]Game Input'!$CJ513,"")</f>
        <v>0</v>
      </c>
      <c r="AD513" s="9">
        <f>IF('[1]Game Input'!$CK513&lt;&gt;"",'[1]Game Input'!$CK513,"")</f>
        <v>0</v>
      </c>
      <c r="AE513" s="8" t="s">
        <v>127</v>
      </c>
      <c r="AF513" s="8" t="s">
        <v>95</v>
      </c>
      <c r="AG513" s="8" t="s">
        <v>122</v>
      </c>
      <c r="AH513" s="8" t="s">
        <v>112</v>
      </c>
    </row>
    <row r="514" spans="1:34" x14ac:dyDescent="0.2">
      <c r="A514" s="6">
        <f>IF('[1]Game Input'!$A514&lt;&gt;"",'[1]Game Input'!$A514,"")</f>
        <v>43566</v>
      </c>
      <c r="B514" s="6" t="str">
        <f>IF(A514&gt;$B$1,VLOOKUP(MONTH($A514),DOTWMonth,2,FALSE),"")</f>
        <v>April</v>
      </c>
      <c r="C514" s="10" t="str">
        <f>IF(A514&gt;$B$1,VLOOKUP(WEEKDAY($A514),DOTWMonth,3,FALSE),"")</f>
        <v>Thursday</v>
      </c>
      <c r="D514" s="7">
        <f>IF('[1]Game Input'!$B514&lt;&gt;"",'[1]Game Input'!$B514,"")</f>
        <v>0.79166666666666663</v>
      </c>
      <c r="E514" s="7">
        <f>IF('[1]Game Input'!$C514&lt;&gt;"",'[1]Game Input'!$C514,"")</f>
        <v>0.75</v>
      </c>
      <c r="F514" s="8" t="str">
        <f>IF('[1]Game Input'!$D514&lt;&gt;"",'[1]Game Input'!$D514,"")</f>
        <v>Daylight</v>
      </c>
      <c r="G514" s="8" t="str">
        <f>IF('[1]Game Input'!$G514&lt;&gt;"",'[1]Game Input'!$G514,"")</f>
        <v>MUS @ USA</v>
      </c>
      <c r="H514" s="8" t="str">
        <f>IF('[1]Game Input'!$H514&lt;&gt;"",'[1]Game Input'!$H514,"")</f>
        <v>Vs. Conference</v>
      </c>
      <c r="I514" s="8" t="str">
        <f>IF('[1]Game Input'!$I514&lt;&gt;"",'[1]Game Input'!$I514,"")</f>
        <v>MUSKEGON</v>
      </c>
      <c r="J514" s="9">
        <f>IF('[1]Game Input'!$AC514&lt;&gt;"",'[1]Game Input'!$AC514,"")</f>
        <v>12</v>
      </c>
      <c r="K514" s="9">
        <f>IF('[1]Game Input'!$AD514&lt;&gt;"",'[1]Game Input'!$AD514,"")</f>
        <v>6</v>
      </c>
      <c r="L514" s="9">
        <f>IF('[1]Game Input'!$AJ514&lt;&gt;"",'[1]Game Input'!$AJ514,"")</f>
        <v>0</v>
      </c>
      <c r="M514" s="9">
        <f>IF('[1]Game Input'!$AK514&lt;&gt;"",'[1]Game Input'!$AK514,"")</f>
        <v>0</v>
      </c>
      <c r="N514" s="9">
        <f>IF('[1]Game Input'!$AN514&lt;&gt;"",'[1]Game Input'!$AN514,"")</f>
        <v>6</v>
      </c>
      <c r="O514" s="9">
        <f>IF('[1]Game Input'!$AO514&lt;&gt;"",'[1]Game Input'!$AO514,"")</f>
        <v>0</v>
      </c>
      <c r="P514" s="9">
        <f>IF('[1]Game Input'!$AP514&lt;&gt;"",'[1]Game Input'!$AP514,"")</f>
        <v>0</v>
      </c>
      <c r="Q514" s="9">
        <f>IF('[1]Game Input'!$AQ514&lt;&gt;"",'[1]Game Input'!$AQ514,"")</f>
        <v>0</v>
      </c>
      <c r="R514" s="9">
        <f>IF('[1]Game Input'!$AR514&lt;&gt;"",'[1]Game Input'!$AR514,"")</f>
        <v>0</v>
      </c>
      <c r="S514" s="9">
        <f>IF('[1]Game Input'!$AS514&lt;&gt;"",'[1]Game Input'!$AS514,"")</f>
        <v>0</v>
      </c>
      <c r="T514" s="10" t="str">
        <f>IF('[1]Game Input'!$BA514&lt;&gt;"",'[1]Game Input'!$BA514,"")</f>
        <v>TEAM USA</v>
      </c>
      <c r="U514" s="9">
        <f>IF('[1]Game Input'!$BU514&lt;&gt;"",'[1]Game Input'!$BU514,"")</f>
        <v>8</v>
      </c>
      <c r="V514" s="9">
        <f>IF('[1]Game Input'!$BV514&lt;&gt;"",'[1]Game Input'!$BV514,"")</f>
        <v>4</v>
      </c>
      <c r="W514" s="9">
        <f>IF('[1]Game Input'!$CB514&lt;&gt;"",'[1]Game Input'!$CB514,"")</f>
        <v>0</v>
      </c>
      <c r="X514" s="9">
        <f>IF('[1]Game Input'!$CC514&lt;&gt;"",'[1]Game Input'!$CC514,"")</f>
        <v>0</v>
      </c>
      <c r="Y514" s="9">
        <f>IF('[1]Game Input'!$CF514&lt;&gt;"",'[1]Game Input'!$CF514,"")</f>
        <v>4</v>
      </c>
      <c r="Z514" s="9">
        <f>IF('[1]Game Input'!$CG514&lt;&gt;"",'[1]Game Input'!$CG514,"")</f>
        <v>0</v>
      </c>
      <c r="AA514" s="9">
        <f>IF('[1]Game Input'!$CH514&lt;&gt;"",'[1]Game Input'!$CH514,"")</f>
        <v>0</v>
      </c>
      <c r="AB514" s="9">
        <f>IF('[1]Game Input'!$CI514&lt;&gt;"",'[1]Game Input'!$CI514,"")</f>
        <v>0</v>
      </c>
      <c r="AC514" s="9">
        <f>IF('[1]Game Input'!$CJ514&lt;&gt;"",'[1]Game Input'!$CJ514,"")</f>
        <v>0</v>
      </c>
      <c r="AD514" s="9">
        <f>IF('[1]Game Input'!$CK514&lt;&gt;"",'[1]Game Input'!$CK514,"")</f>
        <v>0</v>
      </c>
      <c r="AE514" s="8"/>
      <c r="AF514" s="8"/>
      <c r="AG514" s="8"/>
      <c r="AH514" s="8"/>
    </row>
    <row r="515" spans="1:34" x14ac:dyDescent="0.2">
      <c r="A515" s="6">
        <f>IF('[1]Game Input'!$A515&lt;&gt;"",'[1]Game Input'!$A515,"")</f>
        <v>43567</v>
      </c>
      <c r="B515" s="6" t="str">
        <f>IF(A515&gt;$B$1,VLOOKUP(MONTH($A515),DOTWMonth,2,FALSE),"")</f>
        <v>April</v>
      </c>
      <c r="C515" s="10" t="str">
        <f>IF(A515&gt;$B$1,VLOOKUP(WEEKDAY($A515),DOTWMonth,3,FALSE),"")</f>
        <v>Friday</v>
      </c>
      <c r="D515" s="7">
        <f>IF('[1]Game Input'!$B515&lt;&gt;"",'[1]Game Input'!$B515,"")</f>
        <v>0.79166666666666663</v>
      </c>
      <c r="E515" s="7">
        <f>IF('[1]Game Input'!$C515&lt;&gt;"",'[1]Game Input'!$C515,"")</f>
        <v>0.75</v>
      </c>
      <c r="F515" s="8" t="str">
        <f>IF('[1]Game Input'!$D515&lt;&gt;"",'[1]Game Input'!$D515,"")</f>
        <v>Daylight</v>
      </c>
      <c r="G515" s="8" t="str">
        <f>IF('[1]Game Input'!$G515&lt;&gt;"",'[1]Game Input'!$G515,"")</f>
        <v>YNG @ USA</v>
      </c>
      <c r="H515" s="8" t="str">
        <f>IF('[1]Game Input'!$H515&lt;&gt;"",'[1]Game Input'!$H515,"")</f>
        <v>Vs. Conference</v>
      </c>
      <c r="I515" s="8" t="str">
        <f>IF('[1]Game Input'!$I515&lt;&gt;"",'[1]Game Input'!$I515,"")</f>
        <v>YOUNGSTOWN</v>
      </c>
      <c r="J515" s="9">
        <f>IF('[1]Game Input'!$AC515&lt;&gt;"",'[1]Game Input'!$AC515,"")</f>
        <v>12</v>
      </c>
      <c r="K515" s="9">
        <f>IF('[1]Game Input'!$AD515&lt;&gt;"",'[1]Game Input'!$AD515,"")</f>
        <v>6</v>
      </c>
      <c r="L515" s="9">
        <f>IF('[1]Game Input'!$AJ515&lt;&gt;"",'[1]Game Input'!$AJ515,"")</f>
        <v>0</v>
      </c>
      <c r="M515" s="9">
        <f>IF('[1]Game Input'!$AK515&lt;&gt;"",'[1]Game Input'!$AK515,"")</f>
        <v>0</v>
      </c>
      <c r="N515" s="9">
        <f>IF('[1]Game Input'!$AN515&lt;&gt;"",'[1]Game Input'!$AN515,"")</f>
        <v>6</v>
      </c>
      <c r="O515" s="9">
        <f>IF('[1]Game Input'!$AO515&lt;&gt;"",'[1]Game Input'!$AO515,"")</f>
        <v>0</v>
      </c>
      <c r="P515" s="9">
        <f>IF('[1]Game Input'!$AP515&lt;&gt;"",'[1]Game Input'!$AP515,"")</f>
        <v>0</v>
      </c>
      <c r="Q515" s="9">
        <f>IF('[1]Game Input'!$AQ515&lt;&gt;"",'[1]Game Input'!$AQ515,"")</f>
        <v>0</v>
      </c>
      <c r="R515" s="9">
        <f>IF('[1]Game Input'!$AR515&lt;&gt;"",'[1]Game Input'!$AR515,"")</f>
        <v>0</v>
      </c>
      <c r="S515" s="9">
        <f>IF('[1]Game Input'!$AS515&lt;&gt;"",'[1]Game Input'!$AS515,"")</f>
        <v>0</v>
      </c>
      <c r="T515" s="10" t="str">
        <f>IF('[1]Game Input'!$BA515&lt;&gt;"",'[1]Game Input'!$BA515,"")</f>
        <v>TEAM USA</v>
      </c>
      <c r="U515" s="9">
        <f>IF('[1]Game Input'!$BU515&lt;&gt;"",'[1]Game Input'!$BU515,"")</f>
        <v>20</v>
      </c>
      <c r="V515" s="9">
        <f>IF('[1]Game Input'!$BV515&lt;&gt;"",'[1]Game Input'!$BV515,"")</f>
        <v>6</v>
      </c>
      <c r="W515" s="9">
        <f>IF('[1]Game Input'!$CB515&lt;&gt;"",'[1]Game Input'!$CB515,"")</f>
        <v>0</v>
      </c>
      <c r="X515" s="9">
        <f>IF('[1]Game Input'!$CC515&lt;&gt;"",'[1]Game Input'!$CC515,"")</f>
        <v>0</v>
      </c>
      <c r="Y515" s="9">
        <f>IF('[1]Game Input'!$CF515&lt;&gt;"",'[1]Game Input'!$CF515,"")</f>
        <v>5</v>
      </c>
      <c r="Z515" s="9">
        <f>IF('[1]Game Input'!$CG515&lt;&gt;"",'[1]Game Input'!$CG515,"")</f>
        <v>0</v>
      </c>
      <c r="AA515" s="9">
        <f>IF('[1]Game Input'!$CH515&lt;&gt;"",'[1]Game Input'!$CH515,"")</f>
        <v>0</v>
      </c>
      <c r="AB515" s="9">
        <f>IF('[1]Game Input'!$CI515&lt;&gt;"",'[1]Game Input'!$CI515,"")</f>
        <v>1</v>
      </c>
      <c r="AC515" s="9">
        <f>IF('[1]Game Input'!$CJ515&lt;&gt;"",'[1]Game Input'!$CJ515,"")</f>
        <v>0</v>
      </c>
      <c r="AD515" s="9">
        <f>IF('[1]Game Input'!$CK515&lt;&gt;"",'[1]Game Input'!$CK515,"")</f>
        <v>0</v>
      </c>
      <c r="AE515" s="8"/>
      <c r="AF515" s="8"/>
      <c r="AG515" s="8"/>
      <c r="AH515" s="8"/>
    </row>
    <row r="516" spans="1:34" x14ac:dyDescent="0.2">
      <c r="A516" s="6">
        <f>IF('[1]Game Input'!$A516&lt;&gt;"",'[1]Game Input'!$A516,"")</f>
        <v>43567</v>
      </c>
      <c r="B516" s="6" t="str">
        <f>IF(A516&gt;$B$1,VLOOKUP(MONTH($A516),DOTWMonth,2,FALSE),"")</f>
        <v>April</v>
      </c>
      <c r="C516" s="10" t="str">
        <f>IF(A516&gt;$B$1,VLOOKUP(WEEKDAY($A516),DOTWMonth,3,FALSE),"")</f>
        <v>Friday</v>
      </c>
      <c r="D516" s="7">
        <f>IF('[1]Game Input'!$B516&lt;&gt;"",'[1]Game Input'!$B516,"")</f>
        <v>0.83680555555555547</v>
      </c>
      <c r="E516" s="7">
        <f>IF('[1]Game Input'!$C516&lt;&gt;"",'[1]Game Input'!$C516,"")</f>
        <v>0.79513888888888884</v>
      </c>
      <c r="F516" s="8" t="str">
        <f>IF('[1]Game Input'!$D516&lt;&gt;"",'[1]Game Input'!$D516,"")</f>
        <v>Daylight</v>
      </c>
      <c r="G516" s="8" t="str">
        <f>IF('[1]Game Input'!$G516&lt;&gt;"",'[1]Game Input'!$G516,"")</f>
        <v>CIL @ CHI</v>
      </c>
      <c r="H516" s="8" t="str">
        <f>IF('[1]Game Input'!$H516&lt;&gt;"",'[1]Game Input'!$H516,"")</f>
        <v>Vs. Conference</v>
      </c>
      <c r="I516" s="8" t="str">
        <f>IF('[1]Game Input'!$I516&lt;&gt;"",'[1]Game Input'!$I516,"")</f>
        <v>CENTRAL ILLINOIS</v>
      </c>
      <c r="J516" s="9">
        <f>IF('[1]Game Input'!$AC516&lt;&gt;"",'[1]Game Input'!$AC516,"")</f>
        <v>8</v>
      </c>
      <c r="K516" s="9">
        <f>IF('[1]Game Input'!$AD516&lt;&gt;"",'[1]Game Input'!$AD516,"")</f>
        <v>4</v>
      </c>
      <c r="L516" s="9">
        <f>IF('[1]Game Input'!$AJ516&lt;&gt;"",'[1]Game Input'!$AJ516,"")</f>
        <v>0</v>
      </c>
      <c r="M516" s="9">
        <f>IF('[1]Game Input'!$AK516&lt;&gt;"",'[1]Game Input'!$AK516,"")</f>
        <v>0</v>
      </c>
      <c r="N516" s="9">
        <f>IF('[1]Game Input'!$AN516&lt;&gt;"",'[1]Game Input'!$AN516,"")</f>
        <v>4</v>
      </c>
      <c r="O516" s="9">
        <f>IF('[1]Game Input'!$AO516&lt;&gt;"",'[1]Game Input'!$AO516,"")</f>
        <v>0</v>
      </c>
      <c r="P516" s="9">
        <f>IF('[1]Game Input'!$AP516&lt;&gt;"",'[1]Game Input'!$AP516,"")</f>
        <v>0</v>
      </c>
      <c r="Q516" s="9">
        <f>IF('[1]Game Input'!$AQ516&lt;&gt;"",'[1]Game Input'!$AQ516,"")</f>
        <v>0</v>
      </c>
      <c r="R516" s="9">
        <f>IF('[1]Game Input'!$AR516&lt;&gt;"",'[1]Game Input'!$AR516,"")</f>
        <v>0</v>
      </c>
      <c r="S516" s="9">
        <f>IF('[1]Game Input'!$AS516&lt;&gt;"",'[1]Game Input'!$AS516,"")</f>
        <v>0</v>
      </c>
      <c r="T516" s="10" t="str">
        <f>IF('[1]Game Input'!$BA516&lt;&gt;"",'[1]Game Input'!$BA516,"")</f>
        <v>CHICAGO</v>
      </c>
      <c r="U516" s="9">
        <f>IF('[1]Game Input'!$BU516&lt;&gt;"",'[1]Game Input'!$BU516,"")</f>
        <v>8</v>
      </c>
      <c r="V516" s="9">
        <f>IF('[1]Game Input'!$BV516&lt;&gt;"",'[1]Game Input'!$BV516,"")</f>
        <v>4</v>
      </c>
      <c r="W516" s="9">
        <f>IF('[1]Game Input'!$CB516&lt;&gt;"",'[1]Game Input'!$CB516,"")</f>
        <v>0</v>
      </c>
      <c r="X516" s="9">
        <f>IF('[1]Game Input'!$CC516&lt;&gt;"",'[1]Game Input'!$CC516,"")</f>
        <v>0</v>
      </c>
      <c r="Y516" s="9">
        <f>IF('[1]Game Input'!$CF516&lt;&gt;"",'[1]Game Input'!$CF516,"")</f>
        <v>4</v>
      </c>
      <c r="Z516" s="9">
        <f>IF('[1]Game Input'!$CG516&lt;&gt;"",'[1]Game Input'!$CG516,"")</f>
        <v>0</v>
      </c>
      <c r="AA516" s="9">
        <f>IF('[1]Game Input'!$CH516&lt;&gt;"",'[1]Game Input'!$CH516,"")</f>
        <v>0</v>
      </c>
      <c r="AB516" s="9">
        <f>IF('[1]Game Input'!$CI516&lt;&gt;"",'[1]Game Input'!$CI516,"")</f>
        <v>0</v>
      </c>
      <c r="AC516" s="9">
        <f>IF('[1]Game Input'!$CJ516&lt;&gt;"",'[1]Game Input'!$CJ516,"")</f>
        <v>0</v>
      </c>
      <c r="AD516" s="9">
        <f>IF('[1]Game Input'!$CK516&lt;&gt;"",'[1]Game Input'!$CK516,"")</f>
        <v>0</v>
      </c>
      <c r="AE516" s="8" t="s">
        <v>101</v>
      </c>
      <c r="AF516" s="8"/>
      <c r="AG516" s="8" t="s">
        <v>110</v>
      </c>
      <c r="AH516" s="8"/>
    </row>
    <row r="517" spans="1:34" x14ac:dyDescent="0.2">
      <c r="A517" s="6">
        <f>IF('[1]Game Input'!$A517&lt;&gt;"",'[1]Game Input'!$A517,"")</f>
        <v>43567</v>
      </c>
      <c r="B517" s="6" t="str">
        <f>IF(A517&gt;$B$1,VLOOKUP(MONTH($A517),DOTWMonth,2,FALSE),"")</f>
        <v>April</v>
      </c>
      <c r="C517" s="10" t="str">
        <f>IF(A517&gt;$B$1,VLOOKUP(WEEKDAY($A517),DOTWMonth,3,FALSE),"")</f>
        <v>Friday</v>
      </c>
      <c r="D517" s="7">
        <f>IF('[1]Game Input'!$B517&lt;&gt;"",'[1]Game Input'!$B517,"")</f>
        <v>0.83680555555555547</v>
      </c>
      <c r="E517" s="7">
        <f>IF('[1]Game Input'!$C517&lt;&gt;"",'[1]Game Input'!$C517,"")</f>
        <v>0.79513888888888884</v>
      </c>
      <c r="F517" s="8" t="str">
        <f>IF('[1]Game Input'!$D517&lt;&gt;"",'[1]Game Input'!$D517,"")</f>
        <v>Daylight</v>
      </c>
      <c r="G517" s="8" t="str">
        <f>IF('[1]Game Input'!$G517&lt;&gt;"",'[1]Game Input'!$G517,"")</f>
        <v>MAD @ GB</v>
      </c>
      <c r="H517" s="8" t="str">
        <f>IF('[1]Game Input'!$H517&lt;&gt;"",'[1]Game Input'!$H517,"")</f>
        <v>Vs. Conference</v>
      </c>
      <c r="I517" s="8" t="str">
        <f>IF('[1]Game Input'!$I517&lt;&gt;"",'[1]Game Input'!$I517,"")</f>
        <v>MADISON</v>
      </c>
      <c r="J517" s="9">
        <f>IF('[1]Game Input'!$AC517&lt;&gt;"",'[1]Game Input'!$AC517,"")</f>
        <v>8</v>
      </c>
      <c r="K517" s="9">
        <f>IF('[1]Game Input'!$AD517&lt;&gt;"",'[1]Game Input'!$AD517,"")</f>
        <v>4</v>
      </c>
      <c r="L517" s="9">
        <f>IF('[1]Game Input'!$AJ517&lt;&gt;"",'[1]Game Input'!$AJ517,"")</f>
        <v>0</v>
      </c>
      <c r="M517" s="9">
        <f>IF('[1]Game Input'!$AK517&lt;&gt;"",'[1]Game Input'!$AK517,"")</f>
        <v>0</v>
      </c>
      <c r="N517" s="9">
        <f>IF('[1]Game Input'!$AN517&lt;&gt;"",'[1]Game Input'!$AN517,"")</f>
        <v>4</v>
      </c>
      <c r="O517" s="9">
        <f>IF('[1]Game Input'!$AO517&lt;&gt;"",'[1]Game Input'!$AO517,"")</f>
        <v>0</v>
      </c>
      <c r="P517" s="9">
        <f>IF('[1]Game Input'!$AP517&lt;&gt;"",'[1]Game Input'!$AP517,"")</f>
        <v>0</v>
      </c>
      <c r="Q517" s="9">
        <f>IF('[1]Game Input'!$AQ517&lt;&gt;"",'[1]Game Input'!$AQ517,"")</f>
        <v>0</v>
      </c>
      <c r="R517" s="9">
        <f>IF('[1]Game Input'!$AR517&lt;&gt;"",'[1]Game Input'!$AR517,"")</f>
        <v>0</v>
      </c>
      <c r="S517" s="9">
        <f>IF('[1]Game Input'!$AS517&lt;&gt;"",'[1]Game Input'!$AS517,"")</f>
        <v>0</v>
      </c>
      <c r="T517" s="10" t="str">
        <f>IF('[1]Game Input'!$BA517&lt;&gt;"",'[1]Game Input'!$BA517,"")</f>
        <v>GREEN BAY</v>
      </c>
      <c r="U517" s="9">
        <f>IF('[1]Game Input'!$BU517&lt;&gt;"",'[1]Game Input'!$BU517,"")</f>
        <v>24</v>
      </c>
      <c r="V517" s="9">
        <f>IF('[1]Game Input'!$BV517&lt;&gt;"",'[1]Game Input'!$BV517,"")</f>
        <v>8</v>
      </c>
      <c r="W517" s="9">
        <f>IF('[1]Game Input'!$CB517&lt;&gt;"",'[1]Game Input'!$CB517,"")</f>
        <v>0</v>
      </c>
      <c r="X517" s="9">
        <f>IF('[1]Game Input'!$CC517&lt;&gt;"",'[1]Game Input'!$CC517,"")</f>
        <v>0</v>
      </c>
      <c r="Y517" s="9">
        <f>IF('[1]Game Input'!$CF517&lt;&gt;"",'[1]Game Input'!$CF517,"")</f>
        <v>7</v>
      </c>
      <c r="Z517" s="9">
        <f>IF('[1]Game Input'!$CG517&lt;&gt;"",'[1]Game Input'!$CG517,"")</f>
        <v>0</v>
      </c>
      <c r="AA517" s="9">
        <f>IF('[1]Game Input'!$CH517&lt;&gt;"",'[1]Game Input'!$CH517,"")</f>
        <v>1</v>
      </c>
      <c r="AB517" s="9">
        <f>IF('[1]Game Input'!$CI517&lt;&gt;"",'[1]Game Input'!$CI517,"")</f>
        <v>0</v>
      </c>
      <c r="AC517" s="9">
        <f>IF('[1]Game Input'!$CJ517&lt;&gt;"",'[1]Game Input'!$CJ517,"")</f>
        <v>0</v>
      </c>
      <c r="AD517" s="9">
        <f>IF('[1]Game Input'!$CK517&lt;&gt;"",'[1]Game Input'!$CK517,"")</f>
        <v>0</v>
      </c>
      <c r="AE517" s="8"/>
      <c r="AF517" s="8"/>
      <c r="AG517" s="8"/>
      <c r="AH517" s="8"/>
    </row>
    <row r="518" spans="1:34" x14ac:dyDescent="0.2">
      <c r="A518" s="6">
        <f>IF('[1]Game Input'!$A518&lt;&gt;"",'[1]Game Input'!$A518,"")</f>
        <v>43567</v>
      </c>
      <c r="B518" s="6" t="str">
        <f>IF(A518&gt;$B$1,VLOOKUP(MONTH($A518),DOTWMonth,2,FALSE),"")</f>
        <v>April</v>
      </c>
      <c r="C518" s="10" t="str">
        <f>IF(A518&gt;$B$1,VLOOKUP(WEEKDAY($A518),DOTWMonth,3,FALSE),"")</f>
        <v>Friday</v>
      </c>
      <c r="D518" s="7">
        <f>IF('[1]Game Input'!$B518&lt;&gt;"",'[1]Game Input'!$B518,"")</f>
        <v>0.83680555555555547</v>
      </c>
      <c r="E518" s="7">
        <f>IF('[1]Game Input'!$C518&lt;&gt;"",'[1]Game Input'!$C518,"")</f>
        <v>0.79513888888888884</v>
      </c>
      <c r="F518" s="8" t="str">
        <f>IF('[1]Game Input'!$D518&lt;&gt;"",'[1]Game Input'!$D518,"")</f>
        <v>Daylight</v>
      </c>
      <c r="G518" s="8" t="str">
        <f>IF('[1]Game Input'!$G518&lt;&gt;"",'[1]Game Input'!$G518,"")</f>
        <v>SC @ SF</v>
      </c>
      <c r="H518" s="8" t="str">
        <f>IF('[1]Game Input'!$H518&lt;&gt;"",'[1]Game Input'!$H518,"")</f>
        <v>Vs. Conference</v>
      </c>
      <c r="I518" s="8" t="str">
        <f>IF('[1]Game Input'!$I518&lt;&gt;"",'[1]Game Input'!$I518,"")</f>
        <v>SIOUX CITY</v>
      </c>
      <c r="J518" s="9">
        <f>IF('[1]Game Input'!$AC518&lt;&gt;"",'[1]Game Input'!$AC518,"")</f>
        <v>12</v>
      </c>
      <c r="K518" s="9">
        <f>IF('[1]Game Input'!$AD518&lt;&gt;"",'[1]Game Input'!$AD518,"")</f>
        <v>6</v>
      </c>
      <c r="L518" s="9">
        <f>IF('[1]Game Input'!$AJ518&lt;&gt;"",'[1]Game Input'!$AJ518,"")</f>
        <v>0</v>
      </c>
      <c r="M518" s="9">
        <f>IF('[1]Game Input'!$AK518&lt;&gt;"",'[1]Game Input'!$AK518,"")</f>
        <v>0</v>
      </c>
      <c r="N518" s="9">
        <f>IF('[1]Game Input'!$AN518&lt;&gt;"",'[1]Game Input'!$AN518,"")</f>
        <v>6</v>
      </c>
      <c r="O518" s="9">
        <f>IF('[1]Game Input'!$AO518&lt;&gt;"",'[1]Game Input'!$AO518,"")</f>
        <v>0</v>
      </c>
      <c r="P518" s="9">
        <f>IF('[1]Game Input'!$AP518&lt;&gt;"",'[1]Game Input'!$AP518,"")</f>
        <v>0</v>
      </c>
      <c r="Q518" s="9">
        <f>IF('[1]Game Input'!$AQ518&lt;&gt;"",'[1]Game Input'!$AQ518,"")</f>
        <v>0</v>
      </c>
      <c r="R518" s="9">
        <f>IF('[1]Game Input'!$AR518&lt;&gt;"",'[1]Game Input'!$AR518,"")</f>
        <v>0</v>
      </c>
      <c r="S518" s="9">
        <f>IF('[1]Game Input'!$AS518&lt;&gt;"",'[1]Game Input'!$AS518,"")</f>
        <v>0</v>
      </c>
      <c r="T518" s="10" t="str">
        <f>IF('[1]Game Input'!$BA518&lt;&gt;"",'[1]Game Input'!$BA518,"")</f>
        <v>SIOUX FALLS</v>
      </c>
      <c r="U518" s="9">
        <f>IF('[1]Game Input'!$BU518&lt;&gt;"",'[1]Game Input'!$BU518,"")</f>
        <v>12</v>
      </c>
      <c r="V518" s="9">
        <f>IF('[1]Game Input'!$BV518&lt;&gt;"",'[1]Game Input'!$BV518,"")</f>
        <v>6</v>
      </c>
      <c r="W518" s="9">
        <f>IF('[1]Game Input'!$CB518&lt;&gt;"",'[1]Game Input'!$CB518,"")</f>
        <v>0</v>
      </c>
      <c r="X518" s="9">
        <f>IF('[1]Game Input'!$CC518&lt;&gt;"",'[1]Game Input'!$CC518,"")</f>
        <v>0</v>
      </c>
      <c r="Y518" s="9">
        <f>IF('[1]Game Input'!$CF518&lt;&gt;"",'[1]Game Input'!$CF518,"")</f>
        <v>6</v>
      </c>
      <c r="Z518" s="9">
        <f>IF('[1]Game Input'!$CG518&lt;&gt;"",'[1]Game Input'!$CG518,"")</f>
        <v>0</v>
      </c>
      <c r="AA518" s="9">
        <f>IF('[1]Game Input'!$CH518&lt;&gt;"",'[1]Game Input'!$CH518,"")</f>
        <v>0</v>
      </c>
      <c r="AB518" s="9">
        <f>IF('[1]Game Input'!$CI518&lt;&gt;"",'[1]Game Input'!$CI518,"")</f>
        <v>0</v>
      </c>
      <c r="AC518" s="9">
        <f>IF('[1]Game Input'!$CJ518&lt;&gt;"",'[1]Game Input'!$CJ518,"")</f>
        <v>0</v>
      </c>
      <c r="AD518" s="9">
        <f>IF('[1]Game Input'!$CK518&lt;&gt;"",'[1]Game Input'!$CK518,"")</f>
        <v>0</v>
      </c>
      <c r="AE518" s="8"/>
      <c r="AF518" s="8"/>
      <c r="AG518" s="8"/>
      <c r="AH518" s="8"/>
    </row>
    <row r="519" spans="1:34" x14ac:dyDescent="0.2">
      <c r="A519" s="6">
        <f>IF('[1]Game Input'!$A519&lt;&gt;"",'[1]Game Input'!$A519,"")</f>
        <v>43567</v>
      </c>
      <c r="B519" s="6" t="str">
        <f>IF(A519&gt;$B$1,VLOOKUP(MONTH($A519),DOTWMonth,2,FALSE),"")</f>
        <v>April</v>
      </c>
      <c r="C519" s="10" t="str">
        <f>IF(A519&gt;$B$1,VLOOKUP(WEEKDAY($A519),DOTWMonth,3,FALSE),"")</f>
        <v>Friday</v>
      </c>
      <c r="D519" s="7">
        <f>IF('[1]Game Input'!$B519&lt;&gt;"",'[1]Game Input'!$B519,"")</f>
        <v>0.83680555555555547</v>
      </c>
      <c r="E519" s="7">
        <f>IF('[1]Game Input'!$C519&lt;&gt;"",'[1]Game Input'!$C519,"")</f>
        <v>0.79513888888888884</v>
      </c>
      <c r="F519" s="8" t="str">
        <f>IF('[1]Game Input'!$D519&lt;&gt;"",'[1]Game Input'!$D519,"")</f>
        <v>Daylight</v>
      </c>
      <c r="G519" s="8" t="str">
        <f>IF('[1]Game Input'!$G519&lt;&gt;"",'[1]Game Input'!$G519,"")</f>
        <v>DM @ TC</v>
      </c>
      <c r="H519" s="8" t="str">
        <f>IF('[1]Game Input'!$H519&lt;&gt;"",'[1]Game Input'!$H519,"")</f>
        <v>Vs. Conference</v>
      </c>
      <c r="I519" s="8" t="str">
        <f>IF('[1]Game Input'!$I519&lt;&gt;"",'[1]Game Input'!$I519,"")</f>
        <v>DES MOINES</v>
      </c>
      <c r="J519" s="9">
        <f>IF('[1]Game Input'!$AC519&lt;&gt;"",'[1]Game Input'!$AC519,"")</f>
        <v>8</v>
      </c>
      <c r="K519" s="9">
        <f>IF('[1]Game Input'!$AD519&lt;&gt;"",'[1]Game Input'!$AD519,"")</f>
        <v>4</v>
      </c>
      <c r="L519" s="9">
        <f>IF('[1]Game Input'!$AJ519&lt;&gt;"",'[1]Game Input'!$AJ519,"")</f>
        <v>0</v>
      </c>
      <c r="M519" s="9">
        <f>IF('[1]Game Input'!$AK519&lt;&gt;"",'[1]Game Input'!$AK519,"")</f>
        <v>0</v>
      </c>
      <c r="N519" s="9">
        <f>IF('[1]Game Input'!$AN519&lt;&gt;"",'[1]Game Input'!$AN519,"")</f>
        <v>4</v>
      </c>
      <c r="O519" s="9">
        <f>IF('[1]Game Input'!$AO519&lt;&gt;"",'[1]Game Input'!$AO519,"")</f>
        <v>0</v>
      </c>
      <c r="P519" s="9">
        <f>IF('[1]Game Input'!$AP519&lt;&gt;"",'[1]Game Input'!$AP519,"")</f>
        <v>0</v>
      </c>
      <c r="Q519" s="9">
        <f>IF('[1]Game Input'!$AQ519&lt;&gt;"",'[1]Game Input'!$AQ519,"")</f>
        <v>0</v>
      </c>
      <c r="R519" s="9">
        <f>IF('[1]Game Input'!$AR519&lt;&gt;"",'[1]Game Input'!$AR519,"")</f>
        <v>0</v>
      </c>
      <c r="S519" s="9">
        <f>IF('[1]Game Input'!$AS519&lt;&gt;"",'[1]Game Input'!$AS519,"")</f>
        <v>0</v>
      </c>
      <c r="T519" s="10" t="str">
        <f>IF('[1]Game Input'!$BA519&lt;&gt;"",'[1]Game Input'!$BA519,"")</f>
        <v>TRI-CITY</v>
      </c>
      <c r="U519" s="9">
        <f>IF('[1]Game Input'!$BU519&lt;&gt;"",'[1]Game Input'!$BU519,"")</f>
        <v>6</v>
      </c>
      <c r="V519" s="9">
        <f>IF('[1]Game Input'!$BV519&lt;&gt;"",'[1]Game Input'!$BV519,"")</f>
        <v>3</v>
      </c>
      <c r="W519" s="9">
        <f>IF('[1]Game Input'!$CB519&lt;&gt;"",'[1]Game Input'!$CB519,"")</f>
        <v>0</v>
      </c>
      <c r="X519" s="9">
        <f>IF('[1]Game Input'!$CC519&lt;&gt;"",'[1]Game Input'!$CC519,"")</f>
        <v>0</v>
      </c>
      <c r="Y519" s="9">
        <f>IF('[1]Game Input'!$CF519&lt;&gt;"",'[1]Game Input'!$CF519,"")</f>
        <v>3</v>
      </c>
      <c r="Z519" s="9">
        <f>IF('[1]Game Input'!$CG519&lt;&gt;"",'[1]Game Input'!$CG519,"")</f>
        <v>0</v>
      </c>
      <c r="AA519" s="9">
        <f>IF('[1]Game Input'!$CH519&lt;&gt;"",'[1]Game Input'!$CH519,"")</f>
        <v>0</v>
      </c>
      <c r="AB519" s="9">
        <f>IF('[1]Game Input'!$CI519&lt;&gt;"",'[1]Game Input'!$CI519,"")</f>
        <v>0</v>
      </c>
      <c r="AC519" s="9">
        <f>IF('[1]Game Input'!$CJ519&lt;&gt;"",'[1]Game Input'!$CJ519,"")</f>
        <v>0</v>
      </c>
      <c r="AD519" s="9">
        <f>IF('[1]Game Input'!$CK519&lt;&gt;"",'[1]Game Input'!$CK519,"")</f>
        <v>0</v>
      </c>
      <c r="AE519" s="8" t="s">
        <v>90</v>
      </c>
      <c r="AF519" s="8"/>
      <c r="AG519" s="8" t="s">
        <v>117</v>
      </c>
      <c r="AH519" s="8" t="s">
        <v>111</v>
      </c>
    </row>
    <row r="520" spans="1:34" x14ac:dyDescent="0.2">
      <c r="A520" s="6">
        <f>IF('[1]Game Input'!$A520&lt;&gt;"",'[1]Game Input'!$A520,"")</f>
        <v>43567</v>
      </c>
      <c r="B520" s="6" t="str">
        <f>IF(A520&gt;$B$1,VLOOKUP(MONTH($A520),DOTWMonth,2,FALSE),"")</f>
        <v>April</v>
      </c>
      <c r="C520" s="10" t="str">
        <f>IF(A520&gt;$B$1,VLOOKUP(WEEKDAY($A520),DOTWMonth,3,FALSE),"")</f>
        <v>Friday</v>
      </c>
      <c r="D520" s="7">
        <f>IF('[1]Game Input'!$B520&lt;&gt;"",'[1]Game Input'!$B520,"")</f>
        <v>0.83680555555555547</v>
      </c>
      <c r="E520" s="7">
        <f>IF('[1]Game Input'!$C520&lt;&gt;"",'[1]Game Input'!$C520,"")</f>
        <v>0.79513888888888884</v>
      </c>
      <c r="F520" s="8" t="str">
        <f>IF('[1]Game Input'!$D520&lt;&gt;"",'[1]Game Input'!$D520,"")</f>
        <v>Daylight</v>
      </c>
      <c r="G520" s="8" t="str">
        <f>IF('[1]Game Input'!$G520&lt;&gt;"",'[1]Game Input'!$G520,"")</f>
        <v>FGO @ CR</v>
      </c>
      <c r="H520" s="8" t="str">
        <f>IF('[1]Game Input'!$H520&lt;&gt;"",'[1]Game Input'!$H520,"")</f>
        <v>Vs. Non-Conference</v>
      </c>
      <c r="I520" s="8" t="str">
        <f>IF('[1]Game Input'!$I520&lt;&gt;"",'[1]Game Input'!$I520,"")</f>
        <v>FARGO</v>
      </c>
      <c r="J520" s="9">
        <f>IF('[1]Game Input'!$AC520&lt;&gt;"",'[1]Game Input'!$AC520,"")</f>
        <v>14</v>
      </c>
      <c r="K520" s="9">
        <f>IF('[1]Game Input'!$AD520&lt;&gt;"",'[1]Game Input'!$AD520,"")</f>
        <v>7</v>
      </c>
      <c r="L520" s="9">
        <f>IF('[1]Game Input'!$AJ520&lt;&gt;"",'[1]Game Input'!$AJ520,"")</f>
        <v>0</v>
      </c>
      <c r="M520" s="9">
        <f>IF('[1]Game Input'!$AK520&lt;&gt;"",'[1]Game Input'!$AK520,"")</f>
        <v>0</v>
      </c>
      <c r="N520" s="9">
        <f>IF('[1]Game Input'!$AN520&lt;&gt;"",'[1]Game Input'!$AN520,"")</f>
        <v>7</v>
      </c>
      <c r="O520" s="9">
        <f>IF('[1]Game Input'!$AO520&lt;&gt;"",'[1]Game Input'!$AO520,"")</f>
        <v>0</v>
      </c>
      <c r="P520" s="9">
        <f>IF('[1]Game Input'!$AP520&lt;&gt;"",'[1]Game Input'!$AP520,"")</f>
        <v>0</v>
      </c>
      <c r="Q520" s="9">
        <f>IF('[1]Game Input'!$AQ520&lt;&gt;"",'[1]Game Input'!$AQ520,"")</f>
        <v>0</v>
      </c>
      <c r="R520" s="9">
        <f>IF('[1]Game Input'!$AR520&lt;&gt;"",'[1]Game Input'!$AR520,"")</f>
        <v>0</v>
      </c>
      <c r="S520" s="9">
        <f>IF('[1]Game Input'!$AS520&lt;&gt;"",'[1]Game Input'!$AS520,"")</f>
        <v>0</v>
      </c>
      <c r="T520" s="10" t="str">
        <f>IF('[1]Game Input'!$BA520&lt;&gt;"",'[1]Game Input'!$BA520,"")</f>
        <v>CEDAR RAPIDS</v>
      </c>
      <c r="U520" s="9">
        <f>IF('[1]Game Input'!$BU520&lt;&gt;"",'[1]Game Input'!$BU520,"")</f>
        <v>18</v>
      </c>
      <c r="V520" s="9">
        <f>IF('[1]Game Input'!$BV520&lt;&gt;"",'[1]Game Input'!$BV520,"")</f>
        <v>9</v>
      </c>
      <c r="W520" s="9">
        <f>IF('[1]Game Input'!$CB520&lt;&gt;"",'[1]Game Input'!$CB520,"")</f>
        <v>0</v>
      </c>
      <c r="X520" s="9">
        <f>IF('[1]Game Input'!$CC520&lt;&gt;"",'[1]Game Input'!$CC520,"")</f>
        <v>0</v>
      </c>
      <c r="Y520" s="9">
        <f>IF('[1]Game Input'!$CF520&lt;&gt;"",'[1]Game Input'!$CF520,"")</f>
        <v>9</v>
      </c>
      <c r="Z520" s="9">
        <f>IF('[1]Game Input'!$CG520&lt;&gt;"",'[1]Game Input'!$CG520,"")</f>
        <v>0</v>
      </c>
      <c r="AA520" s="9">
        <f>IF('[1]Game Input'!$CH520&lt;&gt;"",'[1]Game Input'!$CH520,"")</f>
        <v>0</v>
      </c>
      <c r="AB520" s="9">
        <f>IF('[1]Game Input'!$CI520&lt;&gt;"",'[1]Game Input'!$CI520,"")</f>
        <v>0</v>
      </c>
      <c r="AC520" s="9">
        <f>IF('[1]Game Input'!$CJ520&lt;&gt;"",'[1]Game Input'!$CJ520,"")</f>
        <v>0</v>
      </c>
      <c r="AD520" s="9">
        <f>IF('[1]Game Input'!$CK520&lt;&gt;"",'[1]Game Input'!$CK520,"")</f>
        <v>0</v>
      </c>
      <c r="AE520" s="8" t="s">
        <v>97</v>
      </c>
      <c r="AF520" s="8"/>
      <c r="AG520" s="8" t="s">
        <v>128</v>
      </c>
      <c r="AH520" s="8" t="s">
        <v>141</v>
      </c>
    </row>
    <row r="521" spans="1:34" x14ac:dyDescent="0.2">
      <c r="A521" s="6">
        <f>IF('[1]Game Input'!$A521&lt;&gt;"",'[1]Game Input'!$A521,"")</f>
        <v>43567</v>
      </c>
      <c r="B521" s="6" t="str">
        <f>IF(A521&gt;$B$1,VLOOKUP(MONTH($A521),DOTWMonth,2,FALSE),"")</f>
        <v>April</v>
      </c>
      <c r="C521" s="10" t="str">
        <f>IF(A521&gt;$B$1,VLOOKUP(WEEKDAY($A521),DOTWMonth,3,FALSE),"")</f>
        <v>Friday</v>
      </c>
      <c r="D521" s="7">
        <f>IF('[1]Game Input'!$B521&lt;&gt;"",'[1]Game Input'!$B521,"")</f>
        <v>0.83680555555555547</v>
      </c>
      <c r="E521" s="7">
        <f>IF('[1]Game Input'!$C521&lt;&gt;"",'[1]Game Input'!$C521,"")</f>
        <v>0.79513888888888884</v>
      </c>
      <c r="F521" s="8" t="str">
        <f>IF('[1]Game Input'!$D521&lt;&gt;"",'[1]Game Input'!$D521,"")</f>
        <v>Daylight</v>
      </c>
      <c r="G521" s="8" t="str">
        <f>IF('[1]Game Input'!$G521&lt;&gt;"",'[1]Game Input'!$G521,"")</f>
        <v>DUB @ WAT</v>
      </c>
      <c r="H521" s="8" t="str">
        <f>IF('[1]Game Input'!$H521&lt;&gt;"",'[1]Game Input'!$H521,"")</f>
        <v>Vs. Non-Conference</v>
      </c>
      <c r="I521" s="8" t="str">
        <f>IF('[1]Game Input'!$I521&lt;&gt;"",'[1]Game Input'!$I521,"")</f>
        <v>DUBUQUE</v>
      </c>
      <c r="J521" s="9">
        <f>IF('[1]Game Input'!$AC521&lt;&gt;"",'[1]Game Input'!$AC521,"")</f>
        <v>10</v>
      </c>
      <c r="K521" s="9">
        <f>IF('[1]Game Input'!$AD521&lt;&gt;"",'[1]Game Input'!$AD521,"")</f>
        <v>5</v>
      </c>
      <c r="L521" s="9">
        <f>IF('[1]Game Input'!$AJ521&lt;&gt;"",'[1]Game Input'!$AJ521,"")</f>
        <v>0</v>
      </c>
      <c r="M521" s="9">
        <f>IF('[1]Game Input'!$AK521&lt;&gt;"",'[1]Game Input'!$AK521,"")</f>
        <v>0</v>
      </c>
      <c r="N521" s="9">
        <f>IF('[1]Game Input'!$AN521&lt;&gt;"",'[1]Game Input'!$AN521,"")</f>
        <v>5</v>
      </c>
      <c r="O521" s="9">
        <f>IF('[1]Game Input'!$AO521&lt;&gt;"",'[1]Game Input'!$AO521,"")</f>
        <v>0</v>
      </c>
      <c r="P521" s="9">
        <f>IF('[1]Game Input'!$AP521&lt;&gt;"",'[1]Game Input'!$AP521,"")</f>
        <v>0</v>
      </c>
      <c r="Q521" s="9">
        <f>IF('[1]Game Input'!$AQ521&lt;&gt;"",'[1]Game Input'!$AQ521,"")</f>
        <v>0</v>
      </c>
      <c r="R521" s="9">
        <f>IF('[1]Game Input'!$AR521&lt;&gt;"",'[1]Game Input'!$AR521,"")</f>
        <v>0</v>
      </c>
      <c r="S521" s="9">
        <f>IF('[1]Game Input'!$AS521&lt;&gt;"",'[1]Game Input'!$AS521,"")</f>
        <v>0</v>
      </c>
      <c r="T521" s="10" t="str">
        <f>IF('[1]Game Input'!$BA521&lt;&gt;"",'[1]Game Input'!$BA521,"")</f>
        <v>WATERLOO</v>
      </c>
      <c r="U521" s="9">
        <f>IF('[1]Game Input'!$BU521&lt;&gt;"",'[1]Game Input'!$BU521,"")</f>
        <v>10</v>
      </c>
      <c r="V521" s="9">
        <f>IF('[1]Game Input'!$BV521&lt;&gt;"",'[1]Game Input'!$BV521,"")</f>
        <v>5</v>
      </c>
      <c r="W521" s="9">
        <f>IF('[1]Game Input'!$CB521&lt;&gt;"",'[1]Game Input'!$CB521,"")</f>
        <v>0</v>
      </c>
      <c r="X521" s="9">
        <f>IF('[1]Game Input'!$CC521&lt;&gt;"",'[1]Game Input'!$CC521,"")</f>
        <v>0</v>
      </c>
      <c r="Y521" s="9">
        <f>IF('[1]Game Input'!$CF521&lt;&gt;"",'[1]Game Input'!$CF521,"")</f>
        <v>5</v>
      </c>
      <c r="Z521" s="9">
        <f>IF('[1]Game Input'!$CG521&lt;&gt;"",'[1]Game Input'!$CG521,"")</f>
        <v>0</v>
      </c>
      <c r="AA521" s="9">
        <f>IF('[1]Game Input'!$CH521&lt;&gt;"",'[1]Game Input'!$CH521,"")</f>
        <v>0</v>
      </c>
      <c r="AB521" s="9">
        <f>IF('[1]Game Input'!$CI521&lt;&gt;"",'[1]Game Input'!$CI521,"")</f>
        <v>0</v>
      </c>
      <c r="AC521" s="9">
        <f>IF('[1]Game Input'!$CJ521&lt;&gt;"",'[1]Game Input'!$CJ521,"")</f>
        <v>0</v>
      </c>
      <c r="AD521" s="9">
        <f>IF('[1]Game Input'!$CK521&lt;&gt;"",'[1]Game Input'!$CK521,"")</f>
        <v>0</v>
      </c>
      <c r="AE521" s="8"/>
      <c r="AF521" s="8"/>
      <c r="AG521" s="8"/>
      <c r="AH521" s="8"/>
    </row>
    <row r="522" spans="1:34" x14ac:dyDescent="0.2">
      <c r="A522" s="6">
        <f>IF('[1]Game Input'!$A522&lt;&gt;"",'[1]Game Input'!$A522,"")</f>
        <v>43567</v>
      </c>
      <c r="B522" s="6" t="str">
        <f>IF(A522&gt;$B$1,VLOOKUP(MONTH($A522),DOTWMonth,2,FALSE),"")</f>
        <v>April</v>
      </c>
      <c r="C522" s="10" t="str">
        <f>IF(A522&gt;$B$1,VLOOKUP(WEEKDAY($A522),DOTWMonth,3,FALSE),"")</f>
        <v>Friday</v>
      </c>
      <c r="D522" s="7">
        <f>IF('[1]Game Input'!$B522&lt;&gt;"",'[1]Game Input'!$B522,"")</f>
        <v>0.85763888888888884</v>
      </c>
      <c r="E522" s="7">
        <f>IF('[1]Game Input'!$C522&lt;&gt;"",'[1]Game Input'!$C522,"")</f>
        <v>0.81597222222222221</v>
      </c>
      <c r="F522" s="8" t="str">
        <f>IF('[1]Game Input'!$D522&lt;&gt;"",'[1]Game Input'!$D522,"")</f>
        <v>Daylight</v>
      </c>
      <c r="G522" s="8" t="str">
        <f>IF('[1]Game Input'!$G522&lt;&gt;"",'[1]Game Input'!$G522,"")</f>
        <v>LIN @ OMA</v>
      </c>
      <c r="H522" s="8" t="str">
        <f>IF('[1]Game Input'!$H522&lt;&gt;"",'[1]Game Input'!$H522,"")</f>
        <v>Vs. Conference</v>
      </c>
      <c r="I522" s="8" t="str">
        <f>IF('[1]Game Input'!$I522&lt;&gt;"",'[1]Game Input'!$I522,"")</f>
        <v>LINCOLN</v>
      </c>
      <c r="J522" s="9">
        <f>IF('[1]Game Input'!$AC522&lt;&gt;"",'[1]Game Input'!$AC522,"")</f>
        <v>10</v>
      </c>
      <c r="K522" s="9">
        <f>IF('[1]Game Input'!$AD522&lt;&gt;"",'[1]Game Input'!$AD522,"")</f>
        <v>5</v>
      </c>
      <c r="L522" s="9">
        <f>IF('[1]Game Input'!$AJ522&lt;&gt;"",'[1]Game Input'!$AJ522,"")</f>
        <v>0</v>
      </c>
      <c r="M522" s="9">
        <f>IF('[1]Game Input'!$AK522&lt;&gt;"",'[1]Game Input'!$AK522,"")</f>
        <v>0</v>
      </c>
      <c r="N522" s="9">
        <f>IF('[1]Game Input'!$AN522&lt;&gt;"",'[1]Game Input'!$AN522,"")</f>
        <v>5</v>
      </c>
      <c r="O522" s="9">
        <f>IF('[1]Game Input'!$AO522&lt;&gt;"",'[1]Game Input'!$AO522,"")</f>
        <v>0</v>
      </c>
      <c r="P522" s="9">
        <f>IF('[1]Game Input'!$AP522&lt;&gt;"",'[1]Game Input'!$AP522,"")</f>
        <v>0</v>
      </c>
      <c r="Q522" s="9">
        <f>IF('[1]Game Input'!$AQ522&lt;&gt;"",'[1]Game Input'!$AQ522,"")</f>
        <v>0</v>
      </c>
      <c r="R522" s="9">
        <f>IF('[1]Game Input'!$AR522&lt;&gt;"",'[1]Game Input'!$AR522,"")</f>
        <v>0</v>
      </c>
      <c r="S522" s="9">
        <f>IF('[1]Game Input'!$AS522&lt;&gt;"",'[1]Game Input'!$AS522,"")</f>
        <v>0</v>
      </c>
      <c r="T522" s="10" t="str">
        <f>IF('[1]Game Input'!$BA522&lt;&gt;"",'[1]Game Input'!$BA522,"")</f>
        <v>OMAHA</v>
      </c>
      <c r="U522" s="9">
        <f>IF('[1]Game Input'!$BU522&lt;&gt;"",'[1]Game Input'!$BU522,"")</f>
        <v>8</v>
      </c>
      <c r="V522" s="9">
        <f>IF('[1]Game Input'!$BV522&lt;&gt;"",'[1]Game Input'!$BV522,"")</f>
        <v>4</v>
      </c>
      <c r="W522" s="9">
        <f>IF('[1]Game Input'!$CB522&lt;&gt;"",'[1]Game Input'!$CB522,"")</f>
        <v>0</v>
      </c>
      <c r="X522" s="9">
        <f>IF('[1]Game Input'!$CC522&lt;&gt;"",'[1]Game Input'!$CC522,"")</f>
        <v>0</v>
      </c>
      <c r="Y522" s="9">
        <f>IF('[1]Game Input'!$CF522&lt;&gt;"",'[1]Game Input'!$CF522,"")</f>
        <v>4</v>
      </c>
      <c r="Z522" s="9">
        <f>IF('[1]Game Input'!$CG522&lt;&gt;"",'[1]Game Input'!$CG522,"")</f>
        <v>0</v>
      </c>
      <c r="AA522" s="9">
        <f>IF('[1]Game Input'!$CH522&lt;&gt;"",'[1]Game Input'!$CH522,"")</f>
        <v>0</v>
      </c>
      <c r="AB522" s="9">
        <f>IF('[1]Game Input'!$CI522&lt;&gt;"",'[1]Game Input'!$CI522,"")</f>
        <v>0</v>
      </c>
      <c r="AC522" s="9">
        <f>IF('[1]Game Input'!$CJ522&lt;&gt;"",'[1]Game Input'!$CJ522,"")</f>
        <v>0</v>
      </c>
      <c r="AD522" s="9">
        <f>IF('[1]Game Input'!$CK522&lt;&gt;"",'[1]Game Input'!$CK522,"")</f>
        <v>0</v>
      </c>
      <c r="AE522" s="8"/>
      <c r="AF522" s="8"/>
      <c r="AG522" s="8"/>
      <c r="AH522" s="8"/>
    </row>
    <row r="523" spans="1:34" x14ac:dyDescent="0.2">
      <c r="A523" s="6">
        <f>IF('[1]Game Input'!$A523&lt;&gt;"",'[1]Game Input'!$A523,"")</f>
        <v>43568</v>
      </c>
      <c r="B523" s="6" t="str">
        <f>IF(A523&gt;$B$1,VLOOKUP(MONTH($A523),DOTWMonth,2,FALSE),"")</f>
        <v>April</v>
      </c>
      <c r="C523" s="10" t="str">
        <f>IF(A523&gt;$B$1,VLOOKUP(WEEKDAY($A523),DOTWMonth,3,FALSE),"")</f>
        <v>Saturday</v>
      </c>
      <c r="D523" s="7">
        <f>IF('[1]Game Input'!$B523&lt;&gt;"",'[1]Game Input'!$B523,"")</f>
        <v>0.79513888888888884</v>
      </c>
      <c r="E523" s="7">
        <f>IF('[1]Game Input'!$C523&lt;&gt;"",'[1]Game Input'!$C523,"")</f>
        <v>0.75347222222222221</v>
      </c>
      <c r="F523" s="8" t="str">
        <f>IF('[1]Game Input'!$D523&lt;&gt;"",'[1]Game Input'!$D523,"")</f>
        <v>Daylight</v>
      </c>
      <c r="G523" s="8" t="str">
        <f>IF('[1]Game Input'!$G523&lt;&gt;"",'[1]Game Input'!$G523,"")</f>
        <v>USA @ YNG</v>
      </c>
      <c r="H523" s="8" t="str">
        <f>IF('[1]Game Input'!$H523&lt;&gt;"",'[1]Game Input'!$H523,"")</f>
        <v>Vs. Conference</v>
      </c>
      <c r="I523" s="8" t="str">
        <f>IF('[1]Game Input'!$I523&lt;&gt;"",'[1]Game Input'!$I523,"")</f>
        <v>TEAM USA</v>
      </c>
      <c r="J523" s="9">
        <f>IF('[1]Game Input'!$AC523&lt;&gt;"",'[1]Game Input'!$AC523,"")</f>
        <v>12</v>
      </c>
      <c r="K523" s="9">
        <f>IF('[1]Game Input'!$AD523&lt;&gt;"",'[1]Game Input'!$AD523,"")</f>
        <v>6</v>
      </c>
      <c r="L523" s="9">
        <f>IF('[1]Game Input'!$AJ523&lt;&gt;"",'[1]Game Input'!$AJ523,"")</f>
        <v>0</v>
      </c>
      <c r="M523" s="9">
        <f>IF('[1]Game Input'!$AK523&lt;&gt;"",'[1]Game Input'!$AK523,"")</f>
        <v>0</v>
      </c>
      <c r="N523" s="9">
        <f>IF('[1]Game Input'!$AN523&lt;&gt;"",'[1]Game Input'!$AN523,"")</f>
        <v>6</v>
      </c>
      <c r="O523" s="9">
        <f>IF('[1]Game Input'!$AO523&lt;&gt;"",'[1]Game Input'!$AO523,"")</f>
        <v>0</v>
      </c>
      <c r="P523" s="9">
        <f>IF('[1]Game Input'!$AP523&lt;&gt;"",'[1]Game Input'!$AP523,"")</f>
        <v>0</v>
      </c>
      <c r="Q523" s="9">
        <f>IF('[1]Game Input'!$AQ523&lt;&gt;"",'[1]Game Input'!$AQ523,"")</f>
        <v>0</v>
      </c>
      <c r="R523" s="9">
        <f>IF('[1]Game Input'!$AR523&lt;&gt;"",'[1]Game Input'!$AR523,"")</f>
        <v>0</v>
      </c>
      <c r="S523" s="9">
        <f>IF('[1]Game Input'!$AS523&lt;&gt;"",'[1]Game Input'!$AS523,"")</f>
        <v>0</v>
      </c>
      <c r="T523" s="10" t="str">
        <f>IF('[1]Game Input'!$BA523&lt;&gt;"",'[1]Game Input'!$BA523,"")</f>
        <v>YOUNGSTOWN</v>
      </c>
      <c r="U523" s="9">
        <f>IF('[1]Game Input'!$BU523&lt;&gt;"",'[1]Game Input'!$BU523,"")</f>
        <v>14</v>
      </c>
      <c r="V523" s="9">
        <f>IF('[1]Game Input'!$BV523&lt;&gt;"",'[1]Game Input'!$BV523,"")</f>
        <v>7</v>
      </c>
      <c r="W523" s="9">
        <f>IF('[1]Game Input'!$CB523&lt;&gt;"",'[1]Game Input'!$CB523,"")</f>
        <v>0</v>
      </c>
      <c r="X523" s="9">
        <f>IF('[1]Game Input'!$CC523&lt;&gt;"",'[1]Game Input'!$CC523,"")</f>
        <v>0</v>
      </c>
      <c r="Y523" s="9">
        <f>IF('[1]Game Input'!$CF523&lt;&gt;"",'[1]Game Input'!$CF523,"")</f>
        <v>7</v>
      </c>
      <c r="Z523" s="9">
        <f>IF('[1]Game Input'!$CG523&lt;&gt;"",'[1]Game Input'!$CG523,"")</f>
        <v>0</v>
      </c>
      <c r="AA523" s="9">
        <f>IF('[1]Game Input'!$CH523&lt;&gt;"",'[1]Game Input'!$CH523,"")</f>
        <v>0</v>
      </c>
      <c r="AB523" s="9">
        <f>IF('[1]Game Input'!$CI523&lt;&gt;"",'[1]Game Input'!$CI523,"")</f>
        <v>0</v>
      </c>
      <c r="AC523" s="9">
        <f>IF('[1]Game Input'!$CJ523&lt;&gt;"",'[1]Game Input'!$CJ523,"")</f>
        <v>0</v>
      </c>
      <c r="AD523" s="9">
        <f>IF('[1]Game Input'!$CK523&lt;&gt;"",'[1]Game Input'!$CK523,"")</f>
        <v>0</v>
      </c>
      <c r="AE523" s="8" t="s">
        <v>146</v>
      </c>
      <c r="AF523" s="8" t="s">
        <v>95</v>
      </c>
      <c r="AG523" s="8" t="s">
        <v>147</v>
      </c>
      <c r="AH523" s="8" t="s">
        <v>143</v>
      </c>
    </row>
    <row r="524" spans="1:34" x14ac:dyDescent="0.2">
      <c r="A524" s="6">
        <f>IF('[1]Game Input'!$A524&lt;&gt;"",'[1]Game Input'!$A524,"")</f>
        <v>43568</v>
      </c>
      <c r="B524" s="6" t="str">
        <f>IF(A524&gt;$B$1,VLOOKUP(MONTH($A524),DOTWMonth,2,FALSE),"")</f>
        <v>April</v>
      </c>
      <c r="C524" s="10" t="str">
        <f>IF(A524&gt;$B$1,VLOOKUP(WEEKDAY($A524),DOTWMonth,3,FALSE),"")</f>
        <v>Saturday</v>
      </c>
      <c r="D524" s="7">
        <f>IF('[1]Game Input'!$B524&lt;&gt;"",'[1]Game Input'!$B524,"")</f>
        <v>0.80208333333333337</v>
      </c>
      <c r="E524" s="7">
        <f>IF('[1]Game Input'!$C524&lt;&gt;"",'[1]Game Input'!$C524,"")</f>
        <v>0.76041666666666674</v>
      </c>
      <c r="F524" s="8" t="str">
        <f>IF('[1]Game Input'!$D524&lt;&gt;"",'[1]Game Input'!$D524,"")</f>
        <v>Daylight</v>
      </c>
      <c r="G524" s="8" t="str">
        <f>IF('[1]Game Input'!$G524&lt;&gt;"",'[1]Game Input'!$G524,"")</f>
        <v>CHI @ MUS</v>
      </c>
      <c r="H524" s="8" t="str">
        <f>IF('[1]Game Input'!$H524&lt;&gt;"",'[1]Game Input'!$H524,"")</f>
        <v>Vs. Conference</v>
      </c>
      <c r="I524" s="8" t="str">
        <f>IF('[1]Game Input'!$I524&lt;&gt;"",'[1]Game Input'!$I524,"")</f>
        <v>CHICAGO</v>
      </c>
      <c r="J524" s="9">
        <f>IF('[1]Game Input'!$AC524&lt;&gt;"",'[1]Game Input'!$AC524,"")</f>
        <v>4</v>
      </c>
      <c r="K524" s="9">
        <f>IF('[1]Game Input'!$AD524&lt;&gt;"",'[1]Game Input'!$AD524,"")</f>
        <v>2</v>
      </c>
      <c r="L524" s="9">
        <f>IF('[1]Game Input'!$AJ524&lt;&gt;"",'[1]Game Input'!$AJ524,"")</f>
        <v>1</v>
      </c>
      <c r="M524" s="9">
        <f>IF('[1]Game Input'!$AK524&lt;&gt;"",'[1]Game Input'!$AK524,"")</f>
        <v>1</v>
      </c>
      <c r="N524" s="9">
        <f>IF('[1]Game Input'!$AN524&lt;&gt;"",'[1]Game Input'!$AN524,"")</f>
        <v>2</v>
      </c>
      <c r="O524" s="9">
        <f>IF('[1]Game Input'!$AO524&lt;&gt;"",'[1]Game Input'!$AO524,"")</f>
        <v>0</v>
      </c>
      <c r="P524" s="9">
        <f>IF('[1]Game Input'!$AP524&lt;&gt;"",'[1]Game Input'!$AP524,"")</f>
        <v>0</v>
      </c>
      <c r="Q524" s="9">
        <f>IF('[1]Game Input'!$AQ524&lt;&gt;"",'[1]Game Input'!$AQ524,"")</f>
        <v>0</v>
      </c>
      <c r="R524" s="9">
        <f>IF('[1]Game Input'!$AR524&lt;&gt;"",'[1]Game Input'!$AR524,"")</f>
        <v>0</v>
      </c>
      <c r="S524" s="9">
        <f>IF('[1]Game Input'!$AS524&lt;&gt;"",'[1]Game Input'!$AS524,"")</f>
        <v>1</v>
      </c>
      <c r="T524" s="10" t="str">
        <f>IF('[1]Game Input'!$BA524&lt;&gt;"",'[1]Game Input'!$BA524,"")</f>
        <v>MUSKEGON</v>
      </c>
      <c r="U524" s="9">
        <f>IF('[1]Game Input'!$BU524&lt;&gt;"",'[1]Game Input'!$BU524,"")</f>
        <v>10</v>
      </c>
      <c r="V524" s="9">
        <f>IF('[1]Game Input'!$BV524&lt;&gt;"",'[1]Game Input'!$BV524,"")</f>
        <v>6</v>
      </c>
      <c r="W524" s="9">
        <f>IF('[1]Game Input'!$CB524&lt;&gt;"",'[1]Game Input'!$CB524,"")</f>
        <v>0</v>
      </c>
      <c r="X524" s="9">
        <f>IF('[1]Game Input'!$CC524&lt;&gt;"",'[1]Game Input'!$CC524,"")</f>
        <v>0</v>
      </c>
      <c r="Y524" s="9">
        <f>IF('[1]Game Input'!$CF524&lt;&gt;"",'[1]Game Input'!$CF524,"")</f>
        <v>5</v>
      </c>
      <c r="Z524" s="9">
        <f>IF('[1]Game Input'!$CG524&lt;&gt;"",'[1]Game Input'!$CG524,"")</f>
        <v>0</v>
      </c>
      <c r="AA524" s="9">
        <f>IF('[1]Game Input'!$CH524&lt;&gt;"",'[1]Game Input'!$CH524,"")</f>
        <v>0</v>
      </c>
      <c r="AB524" s="9">
        <f>IF('[1]Game Input'!$CI524&lt;&gt;"",'[1]Game Input'!$CI524,"")</f>
        <v>0</v>
      </c>
      <c r="AC524" s="9">
        <f>IF('[1]Game Input'!$CJ524&lt;&gt;"",'[1]Game Input'!$CJ524,"")</f>
        <v>0</v>
      </c>
      <c r="AD524" s="9">
        <f>IF('[1]Game Input'!$CK524&lt;&gt;"",'[1]Game Input'!$CK524,"")</f>
        <v>0</v>
      </c>
      <c r="AE524" s="8" t="s">
        <v>102</v>
      </c>
      <c r="AF524" s="8"/>
      <c r="AG524" s="8" t="s">
        <v>110</v>
      </c>
      <c r="AH524" s="8" t="s">
        <v>126</v>
      </c>
    </row>
    <row r="525" spans="1:34" x14ac:dyDescent="0.2">
      <c r="A525" s="6">
        <f>IF('[1]Game Input'!$A525&lt;&gt;"",'[1]Game Input'!$A525,"")</f>
        <v>43568</v>
      </c>
      <c r="B525" s="6" t="str">
        <f>IF(A525&gt;$B$1,VLOOKUP(MONTH($A525),DOTWMonth,2,FALSE),"")</f>
        <v>April</v>
      </c>
      <c r="C525" s="10" t="str">
        <f>IF(A525&gt;$B$1,VLOOKUP(WEEKDAY($A525),DOTWMonth,3,FALSE),"")</f>
        <v>Saturday</v>
      </c>
      <c r="D525" s="7">
        <f>IF('[1]Game Input'!$B525&lt;&gt;"",'[1]Game Input'!$B525,"")</f>
        <v>0.83680555555555547</v>
      </c>
      <c r="E525" s="7">
        <f>IF('[1]Game Input'!$C525&lt;&gt;"",'[1]Game Input'!$C525,"")</f>
        <v>0.79513888888888884</v>
      </c>
      <c r="F525" s="8" t="str">
        <f>IF('[1]Game Input'!$D525&lt;&gt;"",'[1]Game Input'!$D525,"")</f>
        <v>Daylight</v>
      </c>
      <c r="G525" s="8" t="str">
        <f>IF('[1]Game Input'!$G525&lt;&gt;"",'[1]Game Input'!$G525,"")</f>
        <v>OMA @ LIN</v>
      </c>
      <c r="H525" s="8" t="str">
        <f>IF('[1]Game Input'!$H525&lt;&gt;"",'[1]Game Input'!$H525,"")</f>
        <v>Vs. Conference</v>
      </c>
      <c r="I525" s="8" t="str">
        <f>IF('[1]Game Input'!$I525&lt;&gt;"",'[1]Game Input'!$I525,"")</f>
        <v>OMAHA</v>
      </c>
      <c r="J525" s="9">
        <f>IF('[1]Game Input'!$AC525&lt;&gt;"",'[1]Game Input'!$AC525,"")</f>
        <v>21</v>
      </c>
      <c r="K525" s="9">
        <f>IF('[1]Game Input'!$AD525&lt;&gt;"",'[1]Game Input'!$AD525,"")</f>
        <v>5</v>
      </c>
      <c r="L525" s="9">
        <f>IF('[1]Game Input'!$AJ525&lt;&gt;"",'[1]Game Input'!$AJ525,"")</f>
        <v>0</v>
      </c>
      <c r="M525" s="9">
        <f>IF('[1]Game Input'!$AK525&lt;&gt;"",'[1]Game Input'!$AK525,"")</f>
        <v>0</v>
      </c>
      <c r="N525" s="9">
        <f>IF('[1]Game Input'!$AN525&lt;&gt;"",'[1]Game Input'!$AN525,"")</f>
        <v>3</v>
      </c>
      <c r="O525" s="9">
        <f>IF('[1]Game Input'!$AO525&lt;&gt;"",'[1]Game Input'!$AO525,"")</f>
        <v>1</v>
      </c>
      <c r="P525" s="9">
        <f>IF('[1]Game Input'!$AP525&lt;&gt;"",'[1]Game Input'!$AP525,"")</f>
        <v>0</v>
      </c>
      <c r="Q525" s="9">
        <f>IF('[1]Game Input'!$AQ525&lt;&gt;"",'[1]Game Input'!$AQ525,"")</f>
        <v>1</v>
      </c>
      <c r="R525" s="9">
        <f>IF('[1]Game Input'!$AR525&lt;&gt;"",'[1]Game Input'!$AR525,"")</f>
        <v>0</v>
      </c>
      <c r="S525" s="9">
        <f>IF('[1]Game Input'!$AS525&lt;&gt;"",'[1]Game Input'!$AS525,"")</f>
        <v>0</v>
      </c>
      <c r="T525" s="10" t="str">
        <f>IF('[1]Game Input'!$BA525&lt;&gt;"",'[1]Game Input'!$BA525,"")</f>
        <v>LINCOLN</v>
      </c>
      <c r="U525" s="9">
        <f>IF('[1]Game Input'!$BU525&lt;&gt;"",'[1]Game Input'!$BU525,"")</f>
        <v>10</v>
      </c>
      <c r="V525" s="9">
        <f>IF('[1]Game Input'!$BV525&lt;&gt;"",'[1]Game Input'!$BV525,"")</f>
        <v>5</v>
      </c>
      <c r="W525" s="9">
        <f>IF('[1]Game Input'!$CB525&lt;&gt;"",'[1]Game Input'!$CB525,"")</f>
        <v>0</v>
      </c>
      <c r="X525" s="9">
        <f>IF('[1]Game Input'!$CC525&lt;&gt;"",'[1]Game Input'!$CC525,"")</f>
        <v>0</v>
      </c>
      <c r="Y525" s="9">
        <f>IF('[1]Game Input'!$CF525&lt;&gt;"",'[1]Game Input'!$CF525,"")</f>
        <v>5</v>
      </c>
      <c r="Z525" s="9">
        <f>IF('[1]Game Input'!$CG525&lt;&gt;"",'[1]Game Input'!$CG525,"")</f>
        <v>0</v>
      </c>
      <c r="AA525" s="9">
        <f>IF('[1]Game Input'!$CH525&lt;&gt;"",'[1]Game Input'!$CH525,"")</f>
        <v>0</v>
      </c>
      <c r="AB525" s="9">
        <f>IF('[1]Game Input'!$CI525&lt;&gt;"",'[1]Game Input'!$CI525,"")</f>
        <v>0</v>
      </c>
      <c r="AC525" s="9">
        <f>IF('[1]Game Input'!$CJ525&lt;&gt;"",'[1]Game Input'!$CJ525,"")</f>
        <v>0</v>
      </c>
      <c r="AD525" s="9">
        <f>IF('[1]Game Input'!$CK525&lt;&gt;"",'[1]Game Input'!$CK525,"")</f>
        <v>0</v>
      </c>
      <c r="AE525" s="8" t="s">
        <v>94</v>
      </c>
      <c r="AF525" s="8"/>
      <c r="AG525" s="8" t="s">
        <v>111</v>
      </c>
      <c r="AH525" s="8" t="s">
        <v>117</v>
      </c>
    </row>
    <row r="526" spans="1:34" x14ac:dyDescent="0.2">
      <c r="A526" s="6">
        <f>IF('[1]Game Input'!$A526&lt;&gt;"",'[1]Game Input'!$A526,"")</f>
        <v>43568</v>
      </c>
      <c r="B526" s="6" t="str">
        <f>IF(A526&gt;$B$1,VLOOKUP(MONTH($A526),DOTWMonth,2,FALSE),"")</f>
        <v>April</v>
      </c>
      <c r="C526" s="10" t="str">
        <f>IF(A526&gt;$B$1,VLOOKUP(WEEKDAY($A526),DOTWMonth,3,FALSE),"")</f>
        <v>Saturday</v>
      </c>
      <c r="D526" s="7">
        <f>IF('[1]Game Input'!$B526&lt;&gt;"",'[1]Game Input'!$B526,"")</f>
        <v>0.83680555555555547</v>
      </c>
      <c r="E526" s="7">
        <f>IF('[1]Game Input'!$C526&lt;&gt;"",'[1]Game Input'!$C526,"")</f>
        <v>0.79513888888888884</v>
      </c>
      <c r="F526" s="8" t="str">
        <f>IF('[1]Game Input'!$D526&lt;&gt;"",'[1]Game Input'!$D526,"")</f>
        <v>Daylight</v>
      </c>
      <c r="G526" s="8" t="str">
        <f>IF('[1]Game Input'!$G526&lt;&gt;"",'[1]Game Input'!$G526,"")</f>
        <v>GB @ MAD</v>
      </c>
      <c r="H526" s="8" t="str">
        <f>IF('[1]Game Input'!$H526&lt;&gt;"",'[1]Game Input'!$H526,"")</f>
        <v>Vs. Conference</v>
      </c>
      <c r="I526" s="8" t="str">
        <f>IF('[1]Game Input'!$I526&lt;&gt;"",'[1]Game Input'!$I526,"")</f>
        <v>GREEN BAY</v>
      </c>
      <c r="J526" s="9">
        <f>IF('[1]Game Input'!$AC526&lt;&gt;"",'[1]Game Input'!$AC526,"")</f>
        <v>8</v>
      </c>
      <c r="K526" s="9">
        <f>IF('[1]Game Input'!$AD526&lt;&gt;"",'[1]Game Input'!$AD526,"")</f>
        <v>4</v>
      </c>
      <c r="L526" s="9">
        <f>IF('[1]Game Input'!$AJ526&lt;&gt;"",'[1]Game Input'!$AJ526,"")</f>
        <v>0</v>
      </c>
      <c r="M526" s="9">
        <f>IF('[1]Game Input'!$AK526&lt;&gt;"",'[1]Game Input'!$AK526,"")</f>
        <v>0</v>
      </c>
      <c r="N526" s="9">
        <f>IF('[1]Game Input'!$AN526&lt;&gt;"",'[1]Game Input'!$AN526,"")</f>
        <v>4</v>
      </c>
      <c r="O526" s="9">
        <f>IF('[1]Game Input'!$AO526&lt;&gt;"",'[1]Game Input'!$AO526,"")</f>
        <v>0</v>
      </c>
      <c r="P526" s="9">
        <f>IF('[1]Game Input'!$AP526&lt;&gt;"",'[1]Game Input'!$AP526,"")</f>
        <v>0</v>
      </c>
      <c r="Q526" s="9">
        <f>IF('[1]Game Input'!$AQ526&lt;&gt;"",'[1]Game Input'!$AQ526,"")</f>
        <v>0</v>
      </c>
      <c r="R526" s="9">
        <f>IF('[1]Game Input'!$AR526&lt;&gt;"",'[1]Game Input'!$AR526,"")</f>
        <v>0</v>
      </c>
      <c r="S526" s="9">
        <f>IF('[1]Game Input'!$AS526&lt;&gt;"",'[1]Game Input'!$AS526,"")</f>
        <v>0</v>
      </c>
      <c r="T526" s="10" t="str">
        <f>IF('[1]Game Input'!$BA526&lt;&gt;"",'[1]Game Input'!$BA526,"")</f>
        <v>MADISON</v>
      </c>
      <c r="U526" s="9">
        <f>IF('[1]Game Input'!$BU526&lt;&gt;"",'[1]Game Input'!$BU526,"")</f>
        <v>6</v>
      </c>
      <c r="V526" s="9">
        <f>IF('[1]Game Input'!$BV526&lt;&gt;"",'[1]Game Input'!$BV526,"")</f>
        <v>3</v>
      </c>
      <c r="W526" s="9">
        <f>IF('[1]Game Input'!$CB526&lt;&gt;"",'[1]Game Input'!$CB526,"")</f>
        <v>0</v>
      </c>
      <c r="X526" s="9">
        <f>IF('[1]Game Input'!$CC526&lt;&gt;"",'[1]Game Input'!$CC526,"")</f>
        <v>0</v>
      </c>
      <c r="Y526" s="9">
        <f>IF('[1]Game Input'!$CF526&lt;&gt;"",'[1]Game Input'!$CF526,"")</f>
        <v>3</v>
      </c>
      <c r="Z526" s="9">
        <f>IF('[1]Game Input'!$CG526&lt;&gt;"",'[1]Game Input'!$CG526,"")</f>
        <v>0</v>
      </c>
      <c r="AA526" s="9">
        <f>IF('[1]Game Input'!$CH526&lt;&gt;"",'[1]Game Input'!$CH526,"")</f>
        <v>0</v>
      </c>
      <c r="AB526" s="9">
        <f>IF('[1]Game Input'!$CI526&lt;&gt;"",'[1]Game Input'!$CI526,"")</f>
        <v>0</v>
      </c>
      <c r="AC526" s="9">
        <f>IF('[1]Game Input'!$CJ526&lt;&gt;"",'[1]Game Input'!$CJ526,"")</f>
        <v>0</v>
      </c>
      <c r="AD526" s="9">
        <f>IF('[1]Game Input'!$CK526&lt;&gt;"",'[1]Game Input'!$CK526,"")</f>
        <v>0</v>
      </c>
      <c r="AE526" s="8" t="s">
        <v>149</v>
      </c>
      <c r="AF526" s="8"/>
      <c r="AG526" s="8" t="s">
        <v>128</v>
      </c>
      <c r="AH526" s="8" t="s">
        <v>116</v>
      </c>
    </row>
    <row r="527" spans="1:34" x14ac:dyDescent="0.2">
      <c r="A527" s="6">
        <f>IF('[1]Game Input'!$A527&lt;&gt;"",'[1]Game Input'!$A527,"")</f>
        <v>43568</v>
      </c>
      <c r="B527" s="6" t="str">
        <f>IF(A527&gt;$B$1,VLOOKUP(MONTH($A527),DOTWMonth,2,FALSE),"")</f>
        <v>April</v>
      </c>
      <c r="C527" s="10" t="str">
        <f>IF(A527&gt;$B$1,VLOOKUP(WEEKDAY($A527),DOTWMonth,3,FALSE),"")</f>
        <v>Saturday</v>
      </c>
      <c r="D527" s="7">
        <f>IF('[1]Game Input'!$B527&lt;&gt;"",'[1]Game Input'!$B527,"")</f>
        <v>0.83680555555555547</v>
      </c>
      <c r="E527" s="7">
        <f>IF('[1]Game Input'!$C527&lt;&gt;"",'[1]Game Input'!$C527,"")</f>
        <v>0.79513888888888884</v>
      </c>
      <c r="F527" s="8" t="str">
        <f>IF('[1]Game Input'!$D527&lt;&gt;"",'[1]Game Input'!$D527,"")</f>
        <v>Daylight</v>
      </c>
      <c r="G527" s="8" t="str">
        <f>IF('[1]Game Input'!$G527&lt;&gt;"",'[1]Game Input'!$G527,"")</f>
        <v>DM @ SF</v>
      </c>
      <c r="H527" s="8" t="str">
        <f>IF('[1]Game Input'!$H527&lt;&gt;"",'[1]Game Input'!$H527,"")</f>
        <v>Vs. Conference</v>
      </c>
      <c r="I527" s="8" t="str">
        <f>IF('[1]Game Input'!$I527&lt;&gt;"",'[1]Game Input'!$I527,"")</f>
        <v>DES MOINES</v>
      </c>
      <c r="J527" s="9">
        <f>IF('[1]Game Input'!$AC527&lt;&gt;"",'[1]Game Input'!$AC527,"")</f>
        <v>6</v>
      </c>
      <c r="K527" s="9">
        <f>IF('[1]Game Input'!$AD527&lt;&gt;"",'[1]Game Input'!$AD527,"")</f>
        <v>3</v>
      </c>
      <c r="L527" s="9">
        <f>IF('[1]Game Input'!$AJ527&lt;&gt;"",'[1]Game Input'!$AJ527,"")</f>
        <v>0</v>
      </c>
      <c r="M527" s="9">
        <f>IF('[1]Game Input'!$AK527&lt;&gt;"",'[1]Game Input'!$AK527,"")</f>
        <v>0</v>
      </c>
      <c r="N527" s="9">
        <f>IF('[1]Game Input'!$AN527&lt;&gt;"",'[1]Game Input'!$AN527,"")</f>
        <v>3</v>
      </c>
      <c r="O527" s="9">
        <f>IF('[1]Game Input'!$AO527&lt;&gt;"",'[1]Game Input'!$AO527,"")</f>
        <v>0</v>
      </c>
      <c r="P527" s="9">
        <f>IF('[1]Game Input'!$AP527&lt;&gt;"",'[1]Game Input'!$AP527,"")</f>
        <v>0</v>
      </c>
      <c r="Q527" s="9">
        <f>IF('[1]Game Input'!$AQ527&lt;&gt;"",'[1]Game Input'!$AQ527,"")</f>
        <v>0</v>
      </c>
      <c r="R527" s="9">
        <f>IF('[1]Game Input'!$AR527&lt;&gt;"",'[1]Game Input'!$AR527,"")</f>
        <v>0</v>
      </c>
      <c r="S527" s="9">
        <f>IF('[1]Game Input'!$AS527&lt;&gt;"",'[1]Game Input'!$AS527,"")</f>
        <v>0</v>
      </c>
      <c r="T527" s="10" t="str">
        <f>IF('[1]Game Input'!$BA527&lt;&gt;"",'[1]Game Input'!$BA527,"")</f>
        <v>SIOUX FALLS</v>
      </c>
      <c r="U527" s="9">
        <f>IF('[1]Game Input'!$BU527&lt;&gt;"",'[1]Game Input'!$BU527,"")</f>
        <v>4</v>
      </c>
      <c r="V527" s="9">
        <f>IF('[1]Game Input'!$BV527&lt;&gt;"",'[1]Game Input'!$BV527,"")</f>
        <v>2</v>
      </c>
      <c r="W527" s="9">
        <f>IF('[1]Game Input'!$CB527&lt;&gt;"",'[1]Game Input'!$CB527,"")</f>
        <v>0</v>
      </c>
      <c r="X527" s="9">
        <f>IF('[1]Game Input'!$CC527&lt;&gt;"",'[1]Game Input'!$CC527,"")</f>
        <v>0</v>
      </c>
      <c r="Y527" s="9">
        <f>IF('[1]Game Input'!$CF527&lt;&gt;"",'[1]Game Input'!$CF527,"")</f>
        <v>2</v>
      </c>
      <c r="Z527" s="9">
        <f>IF('[1]Game Input'!$CG527&lt;&gt;"",'[1]Game Input'!$CG527,"")</f>
        <v>0</v>
      </c>
      <c r="AA527" s="9">
        <f>IF('[1]Game Input'!$CH527&lt;&gt;"",'[1]Game Input'!$CH527,"")</f>
        <v>0</v>
      </c>
      <c r="AB527" s="9">
        <f>IF('[1]Game Input'!$CI527&lt;&gt;"",'[1]Game Input'!$CI527,"")</f>
        <v>0</v>
      </c>
      <c r="AC527" s="9">
        <f>IF('[1]Game Input'!$CJ527&lt;&gt;"",'[1]Game Input'!$CJ527,"")</f>
        <v>0</v>
      </c>
      <c r="AD527" s="9">
        <f>IF('[1]Game Input'!$CK527&lt;&gt;"",'[1]Game Input'!$CK527,"")</f>
        <v>0</v>
      </c>
      <c r="AE527" s="8" t="s">
        <v>90</v>
      </c>
      <c r="AF527" s="8" t="s">
        <v>103</v>
      </c>
      <c r="AG527" s="8" t="s">
        <v>112</v>
      </c>
      <c r="AH527" s="8" t="s">
        <v>114</v>
      </c>
    </row>
    <row r="528" spans="1:34" x14ac:dyDescent="0.2">
      <c r="A528" s="6">
        <f>IF('[1]Game Input'!$A528&lt;&gt;"",'[1]Game Input'!$A528,"")</f>
        <v>43568</v>
      </c>
      <c r="B528" s="6" t="str">
        <f>IF(A528&gt;$B$1,VLOOKUP(MONTH($A528),DOTWMonth,2,FALSE),"")</f>
        <v>April</v>
      </c>
      <c r="C528" s="10" t="str">
        <f>IF(A528&gt;$B$1,VLOOKUP(WEEKDAY($A528),DOTWMonth,3,FALSE),"")</f>
        <v>Saturday</v>
      </c>
      <c r="D528" s="7">
        <f>IF('[1]Game Input'!$B528&lt;&gt;"",'[1]Game Input'!$B528,"")</f>
        <v>0.83680555555555547</v>
      </c>
      <c r="E528" s="7">
        <f>IF('[1]Game Input'!$C528&lt;&gt;"",'[1]Game Input'!$C528,"")</f>
        <v>0.79513888888888884</v>
      </c>
      <c r="F528" s="8" t="str">
        <f>IF('[1]Game Input'!$D528&lt;&gt;"",'[1]Game Input'!$D528,"")</f>
        <v>Daylight</v>
      </c>
      <c r="G528" s="8" t="str">
        <f>IF('[1]Game Input'!$G528&lt;&gt;"",'[1]Game Input'!$G528,"")</f>
        <v>SC @ TC</v>
      </c>
      <c r="H528" s="8" t="str">
        <f>IF('[1]Game Input'!$H528&lt;&gt;"",'[1]Game Input'!$H528,"")</f>
        <v>Vs. Conference</v>
      </c>
      <c r="I528" s="8" t="str">
        <f>IF('[1]Game Input'!$I528&lt;&gt;"",'[1]Game Input'!$I528,"")</f>
        <v>SIOUX CITY</v>
      </c>
      <c r="J528" s="9">
        <f>IF('[1]Game Input'!$AC528&lt;&gt;"",'[1]Game Input'!$AC528,"")</f>
        <v>26</v>
      </c>
      <c r="K528" s="9">
        <f>IF('[1]Game Input'!$AD528&lt;&gt;"",'[1]Game Input'!$AD528,"")</f>
        <v>9</v>
      </c>
      <c r="L528" s="9">
        <f>IF('[1]Game Input'!$AJ528&lt;&gt;"",'[1]Game Input'!$AJ528,"")</f>
        <v>0</v>
      </c>
      <c r="M528" s="9">
        <f>IF('[1]Game Input'!$AK528&lt;&gt;"",'[1]Game Input'!$AK528,"")</f>
        <v>0</v>
      </c>
      <c r="N528" s="9">
        <f>IF('[1]Game Input'!$AN528&lt;&gt;"",'[1]Game Input'!$AN528,"")</f>
        <v>8</v>
      </c>
      <c r="O528" s="9">
        <f>IF('[1]Game Input'!$AO528&lt;&gt;"",'[1]Game Input'!$AO528,"")</f>
        <v>0</v>
      </c>
      <c r="P528" s="9">
        <f>IF('[1]Game Input'!$AP528&lt;&gt;"",'[1]Game Input'!$AP528,"")</f>
        <v>1</v>
      </c>
      <c r="Q528" s="9">
        <f>IF('[1]Game Input'!$AQ528&lt;&gt;"",'[1]Game Input'!$AQ528,"")</f>
        <v>0</v>
      </c>
      <c r="R528" s="9">
        <f>IF('[1]Game Input'!$AR528&lt;&gt;"",'[1]Game Input'!$AR528,"")</f>
        <v>0</v>
      </c>
      <c r="S528" s="9">
        <f>IF('[1]Game Input'!$AS528&lt;&gt;"",'[1]Game Input'!$AS528,"")</f>
        <v>0</v>
      </c>
      <c r="T528" s="10" t="str">
        <f>IF('[1]Game Input'!$BA528&lt;&gt;"",'[1]Game Input'!$BA528,"")</f>
        <v>TRI-CITY</v>
      </c>
      <c r="U528" s="9">
        <f>IF('[1]Game Input'!$BU528&lt;&gt;"",'[1]Game Input'!$BU528,"")</f>
        <v>32</v>
      </c>
      <c r="V528" s="9">
        <f>IF('[1]Game Input'!$BV528&lt;&gt;"",'[1]Game Input'!$BV528,"")</f>
        <v>12</v>
      </c>
      <c r="W528" s="9">
        <f>IF('[1]Game Input'!$CB528&lt;&gt;"",'[1]Game Input'!$CB528,"")</f>
        <v>0</v>
      </c>
      <c r="X528" s="9">
        <f>IF('[1]Game Input'!$CC528&lt;&gt;"",'[1]Game Input'!$CC528,"")</f>
        <v>0</v>
      </c>
      <c r="Y528" s="9">
        <f>IF('[1]Game Input'!$CF528&lt;&gt;"",'[1]Game Input'!$CF528,"")</f>
        <v>11</v>
      </c>
      <c r="Z528" s="9">
        <f>IF('[1]Game Input'!$CG528&lt;&gt;"",'[1]Game Input'!$CG528,"")</f>
        <v>0</v>
      </c>
      <c r="AA528" s="9">
        <f>IF('[1]Game Input'!$CH528&lt;&gt;"",'[1]Game Input'!$CH528,"")</f>
        <v>1</v>
      </c>
      <c r="AB528" s="9">
        <f>IF('[1]Game Input'!$CI528&lt;&gt;"",'[1]Game Input'!$CI528,"")</f>
        <v>0</v>
      </c>
      <c r="AC528" s="9">
        <f>IF('[1]Game Input'!$CJ528&lt;&gt;"",'[1]Game Input'!$CJ528,"")</f>
        <v>0</v>
      </c>
      <c r="AD528" s="9">
        <f>IF('[1]Game Input'!$CK528&lt;&gt;"",'[1]Game Input'!$CK528,"")</f>
        <v>0</v>
      </c>
      <c r="AE528" s="8" t="s">
        <v>105</v>
      </c>
      <c r="AF528" s="8"/>
      <c r="AG528" s="8" t="s">
        <v>118</v>
      </c>
      <c r="AH528" s="8" t="s">
        <v>124</v>
      </c>
    </row>
    <row r="529" spans="1:34" x14ac:dyDescent="0.2">
      <c r="A529" s="6">
        <f>IF('[1]Game Input'!$A529&lt;&gt;"",'[1]Game Input'!$A529,"")</f>
        <v>43568</v>
      </c>
      <c r="B529" s="6" t="str">
        <f>IF(A529&gt;$B$1,VLOOKUP(MONTH($A529),DOTWMonth,2,FALSE),"")</f>
        <v>April</v>
      </c>
      <c r="C529" s="10" t="str">
        <f>IF(A529&gt;$B$1,VLOOKUP(WEEKDAY($A529),DOTWMonth,3,FALSE),"")</f>
        <v>Saturday</v>
      </c>
      <c r="D529" s="7">
        <f>IF('[1]Game Input'!$B529&lt;&gt;"",'[1]Game Input'!$B529,"")</f>
        <v>0.83680555555555547</v>
      </c>
      <c r="E529" s="7">
        <f>IF('[1]Game Input'!$C529&lt;&gt;"",'[1]Game Input'!$C529,"")</f>
        <v>0.79513888888888884</v>
      </c>
      <c r="F529" s="8" t="str">
        <f>IF('[1]Game Input'!$D529&lt;&gt;"",'[1]Game Input'!$D529,"")</f>
        <v>Daylight</v>
      </c>
      <c r="G529" s="8" t="str">
        <f>IF('[1]Game Input'!$G529&lt;&gt;"",'[1]Game Input'!$G529,"")</f>
        <v>WAT @ DUB</v>
      </c>
      <c r="H529" s="8" t="str">
        <f>IF('[1]Game Input'!$H529&lt;&gt;"",'[1]Game Input'!$H529,"")</f>
        <v>Vs. Non-Conference</v>
      </c>
      <c r="I529" s="8" t="str">
        <f>IF('[1]Game Input'!$I529&lt;&gt;"",'[1]Game Input'!$I529,"")</f>
        <v>WATERLOO</v>
      </c>
      <c r="J529" s="9">
        <f>IF('[1]Game Input'!$AC529&lt;&gt;"",'[1]Game Input'!$AC529,"")</f>
        <v>14</v>
      </c>
      <c r="K529" s="9">
        <f>IF('[1]Game Input'!$AD529&lt;&gt;"",'[1]Game Input'!$AD529,"")</f>
        <v>7</v>
      </c>
      <c r="L529" s="9">
        <f>IF('[1]Game Input'!$AJ529&lt;&gt;"",'[1]Game Input'!$AJ529,"")</f>
        <v>0</v>
      </c>
      <c r="M529" s="9">
        <f>IF('[1]Game Input'!$AK529&lt;&gt;"",'[1]Game Input'!$AK529,"")</f>
        <v>0</v>
      </c>
      <c r="N529" s="9">
        <f>IF('[1]Game Input'!$AN529&lt;&gt;"",'[1]Game Input'!$AN529,"")</f>
        <v>7</v>
      </c>
      <c r="O529" s="9">
        <f>IF('[1]Game Input'!$AO529&lt;&gt;"",'[1]Game Input'!$AO529,"")</f>
        <v>0</v>
      </c>
      <c r="P529" s="9">
        <f>IF('[1]Game Input'!$AP529&lt;&gt;"",'[1]Game Input'!$AP529,"")</f>
        <v>0</v>
      </c>
      <c r="Q529" s="9">
        <f>IF('[1]Game Input'!$AQ529&lt;&gt;"",'[1]Game Input'!$AQ529,"")</f>
        <v>0</v>
      </c>
      <c r="R529" s="9">
        <f>IF('[1]Game Input'!$AR529&lt;&gt;"",'[1]Game Input'!$AR529,"")</f>
        <v>0</v>
      </c>
      <c r="S529" s="9">
        <f>IF('[1]Game Input'!$AS529&lt;&gt;"",'[1]Game Input'!$AS529,"")</f>
        <v>0</v>
      </c>
      <c r="T529" s="10" t="str">
        <f>IF('[1]Game Input'!$BA529&lt;&gt;"",'[1]Game Input'!$BA529,"")</f>
        <v>DUBUQUE</v>
      </c>
      <c r="U529" s="9">
        <f>IF('[1]Game Input'!$BU529&lt;&gt;"",'[1]Game Input'!$BU529,"")</f>
        <v>25</v>
      </c>
      <c r="V529" s="9">
        <f>IF('[1]Game Input'!$BV529&lt;&gt;"",'[1]Game Input'!$BV529,"")</f>
        <v>7</v>
      </c>
      <c r="W529" s="9">
        <f>IF('[1]Game Input'!$CB529&lt;&gt;"",'[1]Game Input'!$CB529,"")</f>
        <v>0</v>
      </c>
      <c r="X529" s="9">
        <f>IF('[1]Game Input'!$CC529&lt;&gt;"",'[1]Game Input'!$CC529,"")</f>
        <v>0</v>
      </c>
      <c r="Y529" s="9">
        <f>IF('[1]Game Input'!$CF529&lt;&gt;"",'[1]Game Input'!$CF529,"")</f>
        <v>5</v>
      </c>
      <c r="Z529" s="9">
        <f>IF('[1]Game Input'!$CG529&lt;&gt;"",'[1]Game Input'!$CG529,"")</f>
        <v>1</v>
      </c>
      <c r="AA529" s="9">
        <f>IF('[1]Game Input'!$CH529&lt;&gt;"",'[1]Game Input'!$CH529,"")</f>
        <v>0</v>
      </c>
      <c r="AB529" s="9">
        <f>IF('[1]Game Input'!$CI529&lt;&gt;"",'[1]Game Input'!$CI529,"")</f>
        <v>1</v>
      </c>
      <c r="AC529" s="9">
        <f>IF('[1]Game Input'!$CJ529&lt;&gt;"",'[1]Game Input'!$CJ529,"")</f>
        <v>0</v>
      </c>
      <c r="AD529" s="9">
        <f>IF('[1]Game Input'!$CK529&lt;&gt;"",'[1]Game Input'!$CK529,"")</f>
        <v>0</v>
      </c>
      <c r="AE529" s="8" t="s">
        <v>97</v>
      </c>
      <c r="AF529" s="8" t="s">
        <v>131</v>
      </c>
      <c r="AG529" s="8" t="s">
        <v>119</v>
      </c>
      <c r="AH529" s="8" t="s">
        <v>115</v>
      </c>
    </row>
    <row r="530" spans="1:34" x14ac:dyDescent="0.2">
      <c r="A530" s="6">
        <f>IF('[1]Game Input'!$A530&lt;&gt;"",'[1]Game Input'!$A530,"")</f>
        <v>43568</v>
      </c>
      <c r="B530" s="6" t="str">
        <f>IF(A530&gt;$B$1,VLOOKUP(MONTH($A530),DOTWMonth,2,FALSE),"")</f>
        <v>April</v>
      </c>
      <c r="C530" s="10" t="str">
        <f>IF(A530&gt;$B$1,VLOOKUP(WEEKDAY($A530),DOTWMonth,3,FALSE),"")</f>
        <v>Saturday</v>
      </c>
      <c r="D530" s="7">
        <f>IF('[1]Game Input'!$B530&lt;&gt;"",'[1]Game Input'!$B530,"")</f>
        <v>0.83819444444444446</v>
      </c>
      <c r="E530" s="7">
        <f>IF('[1]Game Input'!$C530&lt;&gt;"",'[1]Game Input'!$C530,"")</f>
        <v>0.79652777777777783</v>
      </c>
      <c r="F530" s="8" t="str">
        <f>IF('[1]Game Input'!$D530&lt;&gt;"",'[1]Game Input'!$D530,"")</f>
        <v>Daylight</v>
      </c>
      <c r="G530" s="8" t="str">
        <f>IF('[1]Game Input'!$G530&lt;&gt;"",'[1]Game Input'!$G530,"")</f>
        <v>CR @ CIL</v>
      </c>
      <c r="H530" s="8" t="str">
        <f>IF('[1]Game Input'!$H530&lt;&gt;"",'[1]Game Input'!$H530,"")</f>
        <v>Vs. Conference</v>
      </c>
      <c r="I530" s="8" t="str">
        <f>IF('[1]Game Input'!$I530&lt;&gt;"",'[1]Game Input'!$I530,"")</f>
        <v>CEDAR RAPIDS</v>
      </c>
      <c r="J530" s="9">
        <f>IF('[1]Game Input'!$AC530&lt;&gt;"",'[1]Game Input'!$AC530,"")</f>
        <v>6</v>
      </c>
      <c r="K530" s="9">
        <f>IF('[1]Game Input'!$AD530&lt;&gt;"",'[1]Game Input'!$AD530,"")</f>
        <v>3</v>
      </c>
      <c r="L530" s="9">
        <f>IF('[1]Game Input'!$AJ530&lt;&gt;"",'[1]Game Input'!$AJ530,"")</f>
        <v>0</v>
      </c>
      <c r="M530" s="9">
        <f>IF('[1]Game Input'!$AK530&lt;&gt;"",'[1]Game Input'!$AK530,"")</f>
        <v>0</v>
      </c>
      <c r="N530" s="9">
        <f>IF('[1]Game Input'!$AN530&lt;&gt;"",'[1]Game Input'!$AN530,"")</f>
        <v>3</v>
      </c>
      <c r="O530" s="9">
        <f>IF('[1]Game Input'!$AO530&lt;&gt;"",'[1]Game Input'!$AO530,"")</f>
        <v>0</v>
      </c>
      <c r="P530" s="9">
        <f>IF('[1]Game Input'!$AP530&lt;&gt;"",'[1]Game Input'!$AP530,"")</f>
        <v>0</v>
      </c>
      <c r="Q530" s="9">
        <f>IF('[1]Game Input'!$AQ530&lt;&gt;"",'[1]Game Input'!$AQ530,"")</f>
        <v>0</v>
      </c>
      <c r="R530" s="9">
        <f>IF('[1]Game Input'!$AR530&lt;&gt;"",'[1]Game Input'!$AR530,"")</f>
        <v>0</v>
      </c>
      <c r="S530" s="9">
        <f>IF('[1]Game Input'!$AS530&lt;&gt;"",'[1]Game Input'!$AS530,"")</f>
        <v>0</v>
      </c>
      <c r="T530" s="10" t="str">
        <f>IF('[1]Game Input'!$BA530&lt;&gt;"",'[1]Game Input'!$BA530,"")</f>
        <v>CENTRAL ILLINOIS</v>
      </c>
      <c r="U530" s="9">
        <f>IF('[1]Game Input'!$BU530&lt;&gt;"",'[1]Game Input'!$BU530,"")</f>
        <v>26</v>
      </c>
      <c r="V530" s="9">
        <f>IF('[1]Game Input'!$BV530&lt;&gt;"",'[1]Game Input'!$BV530,"")</f>
        <v>5</v>
      </c>
      <c r="W530" s="9">
        <f>IF('[1]Game Input'!$CB530&lt;&gt;"",'[1]Game Input'!$CB530,"")</f>
        <v>0</v>
      </c>
      <c r="X530" s="9">
        <f>IF('[1]Game Input'!$CC530&lt;&gt;"",'[1]Game Input'!$CC530,"")</f>
        <v>0</v>
      </c>
      <c r="Y530" s="9">
        <f>IF('[1]Game Input'!$CF530&lt;&gt;"",'[1]Game Input'!$CF530,"")</f>
        <v>3</v>
      </c>
      <c r="Z530" s="9">
        <f>IF('[1]Game Input'!$CG530&lt;&gt;"",'[1]Game Input'!$CG530,"")</f>
        <v>0</v>
      </c>
      <c r="AA530" s="9">
        <f>IF('[1]Game Input'!$CH530&lt;&gt;"",'[1]Game Input'!$CH530,"")</f>
        <v>2</v>
      </c>
      <c r="AB530" s="9">
        <f>IF('[1]Game Input'!$CI530&lt;&gt;"",'[1]Game Input'!$CI530,"")</f>
        <v>0</v>
      </c>
      <c r="AC530" s="9">
        <f>IF('[1]Game Input'!$CJ530&lt;&gt;"",'[1]Game Input'!$CJ530,"")</f>
        <v>0</v>
      </c>
      <c r="AD530" s="9">
        <f>IF('[1]Game Input'!$CK530&lt;&gt;"",'[1]Game Input'!$CK530,"")</f>
        <v>0</v>
      </c>
      <c r="AE530" s="8" t="s">
        <v>127</v>
      </c>
      <c r="AF530" s="8"/>
      <c r="AG530" s="8" t="s">
        <v>122</v>
      </c>
      <c r="AH530" s="8" t="s">
        <v>108</v>
      </c>
    </row>
    <row r="531" spans="1:34" x14ac:dyDescent="0.2">
      <c r="A531" s="6" t="str">
        <f>IF('[1]Game Input'!$A531&lt;&gt;"",'[1]Game Input'!$A531,"")</f>
        <v/>
      </c>
      <c r="B531" s="6" t="e">
        <f>IF(A531&gt;$B$1,VLOOKUP(MONTH($A531),DOTWMonth,2,FALSE),"")</f>
        <v>#VALUE!</v>
      </c>
      <c r="C531" s="10" t="e">
        <f>IF(A531&gt;$B$1,VLOOKUP(WEEKDAY($A531),DOTWMonth,3,FALSE),"")</f>
        <v>#VALUE!</v>
      </c>
      <c r="D531" s="7" t="str">
        <f>IF('[1]Game Input'!$B531&lt;&gt;"",'[1]Game Input'!$B531,"")</f>
        <v/>
      </c>
      <c r="E531" s="7" t="str">
        <f>IF('[1]Game Input'!$C531&lt;&gt;"",'[1]Game Input'!$C531,"")</f>
        <v/>
      </c>
      <c r="F531" s="8" t="str">
        <f>IF('[1]Game Input'!$D531&lt;&gt;"",'[1]Game Input'!$D531,"")</f>
        <v/>
      </c>
      <c r="G531" s="8" t="str">
        <f>IF('[1]Game Input'!$G531&lt;&gt;"",'[1]Game Input'!$G531,"")</f>
        <v/>
      </c>
      <c r="H531" s="8" t="e">
        <f>IF('[1]Game Input'!$H531&lt;&gt;"",'[1]Game Input'!$H531,"")</f>
        <v>#N/A</v>
      </c>
      <c r="I531" s="8" t="str">
        <f>IF('[1]Game Input'!$I531&lt;&gt;"",'[1]Game Input'!$I531,"")</f>
        <v/>
      </c>
      <c r="J531" s="9">
        <f>IF('[1]Game Input'!$AC531&lt;&gt;"",'[1]Game Input'!$AC531,"")</f>
        <v>0</v>
      </c>
      <c r="K531" s="9">
        <f>IF('[1]Game Input'!$AD531&lt;&gt;"",'[1]Game Input'!$AD531,"")</f>
        <v>0</v>
      </c>
      <c r="L531" s="9" t="str">
        <f>IF('[1]Game Input'!$AJ531&lt;&gt;"",'[1]Game Input'!$AJ531,"")</f>
        <v/>
      </c>
      <c r="M531" s="9" t="str">
        <f>IF('[1]Game Input'!$AK531&lt;&gt;"",'[1]Game Input'!$AK531,"")</f>
        <v/>
      </c>
      <c r="N531" s="9" t="str">
        <f>IF('[1]Game Input'!$AN531&lt;&gt;"",'[1]Game Input'!$AN531,"")</f>
        <v/>
      </c>
      <c r="O531" s="9" t="str">
        <f>IF('[1]Game Input'!$AO531&lt;&gt;"",'[1]Game Input'!$AO531,"")</f>
        <v/>
      </c>
      <c r="P531" s="9" t="str">
        <f>IF('[1]Game Input'!$AP531&lt;&gt;"",'[1]Game Input'!$AP531,"")</f>
        <v/>
      </c>
      <c r="Q531" s="9" t="str">
        <f>IF('[1]Game Input'!$AQ531&lt;&gt;"",'[1]Game Input'!$AQ531,"")</f>
        <v/>
      </c>
      <c r="R531" s="9" t="str">
        <f>IF('[1]Game Input'!$AR531&lt;&gt;"",'[1]Game Input'!$AR531,"")</f>
        <v/>
      </c>
      <c r="S531" s="9">
        <f>IF('[1]Game Input'!$AS531&lt;&gt;"",'[1]Game Input'!$AS531,"")</f>
        <v>0</v>
      </c>
      <c r="T531" s="10" t="str">
        <f>IF('[1]Game Input'!$BA531&lt;&gt;"",'[1]Game Input'!$BA531,"")</f>
        <v/>
      </c>
      <c r="U531" s="9">
        <f>IF('[1]Game Input'!$BU531&lt;&gt;"",'[1]Game Input'!$BU531,"")</f>
        <v>0</v>
      </c>
      <c r="V531" s="9">
        <f>IF('[1]Game Input'!$BV531&lt;&gt;"",'[1]Game Input'!$BV531,"")</f>
        <v>0</v>
      </c>
      <c r="W531" s="9" t="str">
        <f>IF('[1]Game Input'!$CB531&lt;&gt;"",'[1]Game Input'!$CB531,"")</f>
        <v/>
      </c>
      <c r="X531" s="9" t="str">
        <f>IF('[1]Game Input'!$CC531&lt;&gt;"",'[1]Game Input'!$CC531,"")</f>
        <v/>
      </c>
      <c r="Y531" s="9" t="str">
        <f>IF('[1]Game Input'!$CF531&lt;&gt;"",'[1]Game Input'!$CF531,"")</f>
        <v/>
      </c>
      <c r="Z531" s="9" t="str">
        <f>IF('[1]Game Input'!$CG531&lt;&gt;"",'[1]Game Input'!$CG531,"")</f>
        <v/>
      </c>
      <c r="AA531" s="9" t="str">
        <f>IF('[1]Game Input'!$CH531&lt;&gt;"",'[1]Game Input'!$CH531,"")</f>
        <v/>
      </c>
      <c r="AB531" s="9" t="str">
        <f>IF('[1]Game Input'!$CI531&lt;&gt;"",'[1]Game Input'!$CI531,"")</f>
        <v/>
      </c>
      <c r="AC531" s="9" t="str">
        <f>IF('[1]Game Input'!$CJ531&lt;&gt;"",'[1]Game Input'!$CJ531,"")</f>
        <v/>
      </c>
      <c r="AD531" s="9">
        <f>IF('[1]Game Input'!$CK531&lt;&gt;"",'[1]Game Input'!$CK531,"")</f>
        <v>0</v>
      </c>
      <c r="AE531" s="8"/>
      <c r="AF531" s="8"/>
      <c r="AG531" s="8"/>
      <c r="AH531" s="8"/>
    </row>
    <row r="532" spans="1:34" x14ac:dyDescent="0.2">
      <c r="A532" s="6" t="str">
        <f>IF('[1]Game Input'!$A532&lt;&gt;"",'[1]Game Input'!$A532,"")</f>
        <v/>
      </c>
      <c r="B532" s="6" t="e">
        <f>IF(A532&gt;$B$1,VLOOKUP(MONTH($A532),DOTWMonth,2,FALSE),"")</f>
        <v>#VALUE!</v>
      </c>
      <c r="C532" s="10" t="e">
        <f>IF(A532&gt;$B$1,VLOOKUP(WEEKDAY($A532),DOTWMonth,3,FALSE),"")</f>
        <v>#VALUE!</v>
      </c>
      <c r="D532" s="7" t="str">
        <f>IF('[1]Game Input'!$B532&lt;&gt;"",'[1]Game Input'!$B532,"")</f>
        <v/>
      </c>
      <c r="E532" s="7" t="str">
        <f>IF('[1]Game Input'!$C532&lt;&gt;"",'[1]Game Input'!$C532,"")</f>
        <v/>
      </c>
      <c r="F532" s="8" t="str">
        <f>IF('[1]Game Input'!$D532&lt;&gt;"",'[1]Game Input'!$D532,"")</f>
        <v/>
      </c>
      <c r="G532" s="8" t="str">
        <f>IF('[1]Game Input'!$G532&lt;&gt;"",'[1]Game Input'!$G532,"")</f>
        <v/>
      </c>
      <c r="H532" s="8" t="e">
        <f>IF('[1]Game Input'!$H532&lt;&gt;"",'[1]Game Input'!$H532,"")</f>
        <v>#N/A</v>
      </c>
      <c r="I532" s="8" t="str">
        <f>IF('[1]Game Input'!$I532&lt;&gt;"",'[1]Game Input'!$I532,"")</f>
        <v/>
      </c>
      <c r="J532" s="9">
        <f>IF('[1]Game Input'!$AC532&lt;&gt;"",'[1]Game Input'!$AC532,"")</f>
        <v>0</v>
      </c>
      <c r="K532" s="9">
        <f>IF('[1]Game Input'!$AD532&lt;&gt;"",'[1]Game Input'!$AD532,"")</f>
        <v>0</v>
      </c>
      <c r="L532" s="9" t="str">
        <f>IF('[1]Game Input'!$AJ532&lt;&gt;"",'[1]Game Input'!$AJ532,"")</f>
        <v/>
      </c>
      <c r="M532" s="9" t="str">
        <f>IF('[1]Game Input'!$AK532&lt;&gt;"",'[1]Game Input'!$AK532,"")</f>
        <v/>
      </c>
      <c r="N532" s="9" t="str">
        <f>IF('[1]Game Input'!$AN532&lt;&gt;"",'[1]Game Input'!$AN532,"")</f>
        <v/>
      </c>
      <c r="O532" s="9" t="str">
        <f>IF('[1]Game Input'!$AO532&lt;&gt;"",'[1]Game Input'!$AO532,"")</f>
        <v/>
      </c>
      <c r="P532" s="9" t="str">
        <f>IF('[1]Game Input'!$AP532&lt;&gt;"",'[1]Game Input'!$AP532,"")</f>
        <v/>
      </c>
      <c r="Q532" s="9" t="str">
        <f>IF('[1]Game Input'!$AQ532&lt;&gt;"",'[1]Game Input'!$AQ532,"")</f>
        <v/>
      </c>
      <c r="R532" s="9" t="str">
        <f>IF('[1]Game Input'!$AR532&lt;&gt;"",'[1]Game Input'!$AR532,"")</f>
        <v/>
      </c>
      <c r="S532" s="9">
        <f>IF('[1]Game Input'!$AS532&lt;&gt;"",'[1]Game Input'!$AS532,"")</f>
        <v>0</v>
      </c>
      <c r="T532" s="10" t="str">
        <f>IF('[1]Game Input'!$BA532&lt;&gt;"",'[1]Game Input'!$BA532,"")</f>
        <v/>
      </c>
      <c r="U532" s="9">
        <f>IF('[1]Game Input'!$BU532&lt;&gt;"",'[1]Game Input'!$BU532,"")</f>
        <v>0</v>
      </c>
      <c r="V532" s="9">
        <f>IF('[1]Game Input'!$BV532&lt;&gt;"",'[1]Game Input'!$BV532,"")</f>
        <v>0</v>
      </c>
      <c r="W532" s="9" t="str">
        <f>IF('[1]Game Input'!$CB532&lt;&gt;"",'[1]Game Input'!$CB532,"")</f>
        <v/>
      </c>
      <c r="X532" s="9" t="str">
        <f>IF('[1]Game Input'!$CC532&lt;&gt;"",'[1]Game Input'!$CC532,"")</f>
        <v/>
      </c>
      <c r="Y532" s="9" t="str">
        <f>IF('[1]Game Input'!$CF532&lt;&gt;"",'[1]Game Input'!$CF532,"")</f>
        <v/>
      </c>
      <c r="Z532" s="9" t="str">
        <f>IF('[1]Game Input'!$CG532&lt;&gt;"",'[1]Game Input'!$CG532,"")</f>
        <v/>
      </c>
      <c r="AA532" s="9" t="str">
        <f>IF('[1]Game Input'!$CH532&lt;&gt;"",'[1]Game Input'!$CH532,"")</f>
        <v/>
      </c>
      <c r="AB532" s="9" t="str">
        <f>IF('[1]Game Input'!$CI532&lt;&gt;"",'[1]Game Input'!$CI532,"")</f>
        <v/>
      </c>
      <c r="AC532" s="9" t="str">
        <f>IF('[1]Game Input'!$CJ532&lt;&gt;"",'[1]Game Input'!$CJ532,"")</f>
        <v/>
      </c>
      <c r="AD532" s="9">
        <f>IF('[1]Game Input'!$CK532&lt;&gt;"",'[1]Game Input'!$CK532,"")</f>
        <v>0</v>
      </c>
      <c r="AE532" s="8"/>
      <c r="AF532" s="8"/>
      <c r="AG532" s="8"/>
      <c r="AH532" s="8"/>
    </row>
    <row r="533" spans="1:34" x14ac:dyDescent="0.2">
      <c r="A533" s="6" t="str">
        <f>IF('[1]Game Input'!$A533&lt;&gt;"",'[1]Game Input'!$A533,"")</f>
        <v/>
      </c>
      <c r="B533" s="6" t="e">
        <f>IF(A533&gt;$B$1,VLOOKUP(MONTH($A533),DOTWMonth,2,FALSE),"")</f>
        <v>#VALUE!</v>
      </c>
      <c r="C533" s="10" t="e">
        <f>IF(A533&gt;$B$1,VLOOKUP(WEEKDAY($A533),DOTWMonth,3,FALSE),"")</f>
        <v>#VALUE!</v>
      </c>
      <c r="D533" s="7" t="str">
        <f>IF('[1]Game Input'!$B533&lt;&gt;"",'[1]Game Input'!$B533,"")</f>
        <v/>
      </c>
      <c r="E533" s="7" t="str">
        <f>IF('[1]Game Input'!$C533&lt;&gt;"",'[1]Game Input'!$C533,"")</f>
        <v/>
      </c>
      <c r="F533" s="8" t="str">
        <f>IF('[1]Game Input'!$D533&lt;&gt;"",'[1]Game Input'!$D533,"")</f>
        <v/>
      </c>
      <c r="G533" s="8" t="str">
        <f>IF('[1]Game Input'!$G533&lt;&gt;"",'[1]Game Input'!$G533,"")</f>
        <v/>
      </c>
      <c r="H533" s="8" t="e">
        <f>IF('[1]Game Input'!$H533&lt;&gt;"",'[1]Game Input'!$H533,"")</f>
        <v>#N/A</v>
      </c>
      <c r="I533" s="8" t="str">
        <f>IF('[1]Game Input'!$I533&lt;&gt;"",'[1]Game Input'!$I533,"")</f>
        <v/>
      </c>
      <c r="J533" s="9">
        <f>IF('[1]Game Input'!$AC533&lt;&gt;"",'[1]Game Input'!$AC533,"")</f>
        <v>0</v>
      </c>
      <c r="K533" s="9">
        <f>IF('[1]Game Input'!$AD533&lt;&gt;"",'[1]Game Input'!$AD533,"")</f>
        <v>0</v>
      </c>
      <c r="L533" s="9" t="str">
        <f>IF('[1]Game Input'!$AJ533&lt;&gt;"",'[1]Game Input'!$AJ533,"")</f>
        <v/>
      </c>
      <c r="M533" s="9" t="str">
        <f>IF('[1]Game Input'!$AK533&lt;&gt;"",'[1]Game Input'!$AK533,"")</f>
        <v/>
      </c>
      <c r="N533" s="9" t="str">
        <f>IF('[1]Game Input'!$AN533&lt;&gt;"",'[1]Game Input'!$AN533,"")</f>
        <v/>
      </c>
      <c r="O533" s="9" t="str">
        <f>IF('[1]Game Input'!$AO533&lt;&gt;"",'[1]Game Input'!$AO533,"")</f>
        <v/>
      </c>
      <c r="P533" s="9" t="str">
        <f>IF('[1]Game Input'!$AP533&lt;&gt;"",'[1]Game Input'!$AP533,"")</f>
        <v/>
      </c>
      <c r="Q533" s="9" t="str">
        <f>IF('[1]Game Input'!$AQ533&lt;&gt;"",'[1]Game Input'!$AQ533,"")</f>
        <v/>
      </c>
      <c r="R533" s="9" t="str">
        <f>IF('[1]Game Input'!$AR533&lt;&gt;"",'[1]Game Input'!$AR533,"")</f>
        <v/>
      </c>
      <c r="S533" s="9">
        <f>IF('[1]Game Input'!$AS533&lt;&gt;"",'[1]Game Input'!$AS533,"")</f>
        <v>0</v>
      </c>
      <c r="T533" s="10" t="str">
        <f>IF('[1]Game Input'!$BA533&lt;&gt;"",'[1]Game Input'!$BA533,"")</f>
        <v/>
      </c>
      <c r="U533" s="9">
        <f>IF('[1]Game Input'!$BU533&lt;&gt;"",'[1]Game Input'!$BU533,"")</f>
        <v>0</v>
      </c>
      <c r="V533" s="9">
        <f>IF('[1]Game Input'!$BV533&lt;&gt;"",'[1]Game Input'!$BV533,"")</f>
        <v>0</v>
      </c>
      <c r="W533" s="9" t="str">
        <f>IF('[1]Game Input'!$CB533&lt;&gt;"",'[1]Game Input'!$CB533,"")</f>
        <v/>
      </c>
      <c r="X533" s="9" t="str">
        <f>IF('[1]Game Input'!$CC533&lt;&gt;"",'[1]Game Input'!$CC533,"")</f>
        <v/>
      </c>
      <c r="Y533" s="9" t="str">
        <f>IF('[1]Game Input'!$CF533&lt;&gt;"",'[1]Game Input'!$CF533,"")</f>
        <v/>
      </c>
      <c r="Z533" s="9" t="str">
        <f>IF('[1]Game Input'!$CG533&lt;&gt;"",'[1]Game Input'!$CG533,"")</f>
        <v/>
      </c>
      <c r="AA533" s="9" t="str">
        <f>IF('[1]Game Input'!$CH533&lt;&gt;"",'[1]Game Input'!$CH533,"")</f>
        <v/>
      </c>
      <c r="AB533" s="9" t="str">
        <f>IF('[1]Game Input'!$CI533&lt;&gt;"",'[1]Game Input'!$CI533,"")</f>
        <v/>
      </c>
      <c r="AC533" s="9" t="str">
        <f>IF('[1]Game Input'!$CJ533&lt;&gt;"",'[1]Game Input'!$CJ533,"")</f>
        <v/>
      </c>
      <c r="AD533" s="9">
        <f>IF('[1]Game Input'!$CK533&lt;&gt;"",'[1]Game Input'!$CK533,"")</f>
        <v>0</v>
      </c>
      <c r="AE533" s="8"/>
      <c r="AF533" s="8"/>
      <c r="AG533" s="8"/>
      <c r="AH533" s="8"/>
    </row>
    <row r="534" spans="1:34" x14ac:dyDescent="0.2">
      <c r="A534" s="6" t="str">
        <f>IF('[1]Game Input'!$A534&lt;&gt;"",'[1]Game Input'!$A534,"")</f>
        <v/>
      </c>
      <c r="B534" s="6" t="e">
        <f>IF(A534&gt;$B$1,VLOOKUP(MONTH($A534),DOTWMonth,2,FALSE),"")</f>
        <v>#VALUE!</v>
      </c>
      <c r="C534" s="10" t="e">
        <f>IF(A534&gt;$B$1,VLOOKUP(WEEKDAY($A534),DOTWMonth,3,FALSE),"")</f>
        <v>#VALUE!</v>
      </c>
      <c r="D534" s="7" t="str">
        <f>IF('[1]Game Input'!$B534&lt;&gt;"",'[1]Game Input'!$B534,"")</f>
        <v/>
      </c>
      <c r="E534" s="7" t="str">
        <f>IF('[1]Game Input'!$C534&lt;&gt;"",'[1]Game Input'!$C534,"")</f>
        <v/>
      </c>
      <c r="F534" s="8" t="str">
        <f>IF('[1]Game Input'!$D534&lt;&gt;"",'[1]Game Input'!$D534,"")</f>
        <v/>
      </c>
      <c r="G534" s="8" t="str">
        <f>IF('[1]Game Input'!$G534&lt;&gt;"",'[1]Game Input'!$G534,"")</f>
        <v/>
      </c>
      <c r="H534" s="8" t="e">
        <f>IF('[1]Game Input'!$H534&lt;&gt;"",'[1]Game Input'!$H534,"")</f>
        <v>#N/A</v>
      </c>
      <c r="I534" s="8" t="str">
        <f>IF('[1]Game Input'!$I534&lt;&gt;"",'[1]Game Input'!$I534,"")</f>
        <v/>
      </c>
      <c r="J534" s="9">
        <f>IF('[1]Game Input'!$AC534&lt;&gt;"",'[1]Game Input'!$AC534,"")</f>
        <v>0</v>
      </c>
      <c r="K534" s="9">
        <f>IF('[1]Game Input'!$AD534&lt;&gt;"",'[1]Game Input'!$AD534,"")</f>
        <v>0</v>
      </c>
      <c r="L534" s="9" t="str">
        <f>IF('[1]Game Input'!$AJ534&lt;&gt;"",'[1]Game Input'!$AJ534,"")</f>
        <v/>
      </c>
      <c r="M534" s="9" t="str">
        <f>IF('[1]Game Input'!$AK534&lt;&gt;"",'[1]Game Input'!$AK534,"")</f>
        <v/>
      </c>
      <c r="N534" s="9" t="str">
        <f>IF('[1]Game Input'!$AN534&lt;&gt;"",'[1]Game Input'!$AN534,"")</f>
        <v/>
      </c>
      <c r="O534" s="9" t="str">
        <f>IF('[1]Game Input'!$AO534&lt;&gt;"",'[1]Game Input'!$AO534,"")</f>
        <v/>
      </c>
      <c r="P534" s="9" t="str">
        <f>IF('[1]Game Input'!$AP534&lt;&gt;"",'[1]Game Input'!$AP534,"")</f>
        <v/>
      </c>
      <c r="Q534" s="9" t="str">
        <f>IF('[1]Game Input'!$AQ534&lt;&gt;"",'[1]Game Input'!$AQ534,"")</f>
        <v/>
      </c>
      <c r="R534" s="9" t="str">
        <f>IF('[1]Game Input'!$AR534&lt;&gt;"",'[1]Game Input'!$AR534,"")</f>
        <v/>
      </c>
      <c r="S534" s="9">
        <f>IF('[1]Game Input'!$AS534&lt;&gt;"",'[1]Game Input'!$AS534,"")</f>
        <v>0</v>
      </c>
      <c r="T534" s="10" t="str">
        <f>IF('[1]Game Input'!$BA534&lt;&gt;"",'[1]Game Input'!$BA534,"")</f>
        <v/>
      </c>
      <c r="U534" s="9">
        <f>IF('[1]Game Input'!$BU534&lt;&gt;"",'[1]Game Input'!$BU534,"")</f>
        <v>0</v>
      </c>
      <c r="V534" s="9">
        <f>IF('[1]Game Input'!$BV534&lt;&gt;"",'[1]Game Input'!$BV534,"")</f>
        <v>0</v>
      </c>
      <c r="W534" s="9" t="str">
        <f>IF('[1]Game Input'!$CB534&lt;&gt;"",'[1]Game Input'!$CB534,"")</f>
        <v/>
      </c>
      <c r="X534" s="9" t="str">
        <f>IF('[1]Game Input'!$CC534&lt;&gt;"",'[1]Game Input'!$CC534,"")</f>
        <v/>
      </c>
      <c r="Y534" s="9" t="str">
        <f>IF('[1]Game Input'!$CF534&lt;&gt;"",'[1]Game Input'!$CF534,"")</f>
        <v/>
      </c>
      <c r="Z534" s="9" t="str">
        <f>IF('[1]Game Input'!$CG534&lt;&gt;"",'[1]Game Input'!$CG534,"")</f>
        <v/>
      </c>
      <c r="AA534" s="9" t="str">
        <f>IF('[1]Game Input'!$CH534&lt;&gt;"",'[1]Game Input'!$CH534,"")</f>
        <v/>
      </c>
      <c r="AB534" s="9" t="str">
        <f>IF('[1]Game Input'!$CI534&lt;&gt;"",'[1]Game Input'!$CI534,"")</f>
        <v/>
      </c>
      <c r="AC534" s="9" t="str">
        <f>IF('[1]Game Input'!$CJ534&lt;&gt;"",'[1]Game Input'!$CJ534,"")</f>
        <v/>
      </c>
      <c r="AD534" s="9">
        <f>IF('[1]Game Input'!$CK534&lt;&gt;"",'[1]Game Input'!$CK534,"")</f>
        <v>0</v>
      </c>
      <c r="AE534" s="8"/>
      <c r="AF534" s="8"/>
      <c r="AG534" s="8"/>
      <c r="AH534" s="8"/>
    </row>
    <row r="535" spans="1:34" x14ac:dyDescent="0.2">
      <c r="A535" s="6" t="str">
        <f>IF('[1]Game Input'!$A535&lt;&gt;"",'[1]Game Input'!$A535,"")</f>
        <v/>
      </c>
      <c r="B535" s="6" t="e">
        <f>IF(A535&gt;$B$1,VLOOKUP(MONTH($A535),DOTWMonth,2,FALSE),"")</f>
        <v>#VALUE!</v>
      </c>
      <c r="C535" s="10" t="e">
        <f>IF(A535&gt;$B$1,VLOOKUP(WEEKDAY($A535),DOTWMonth,3,FALSE),"")</f>
        <v>#VALUE!</v>
      </c>
      <c r="D535" s="7" t="str">
        <f>IF('[1]Game Input'!$B535&lt;&gt;"",'[1]Game Input'!$B535,"")</f>
        <v/>
      </c>
      <c r="E535" s="7" t="str">
        <f>IF('[1]Game Input'!$C535&lt;&gt;"",'[1]Game Input'!$C535,"")</f>
        <v/>
      </c>
      <c r="F535" s="8" t="str">
        <f>IF('[1]Game Input'!$D535&lt;&gt;"",'[1]Game Input'!$D535,"")</f>
        <v/>
      </c>
      <c r="G535" s="8" t="str">
        <f>IF('[1]Game Input'!$G535&lt;&gt;"",'[1]Game Input'!$G535,"")</f>
        <v/>
      </c>
      <c r="H535" s="8" t="e">
        <f>IF('[1]Game Input'!$H535&lt;&gt;"",'[1]Game Input'!$H535,"")</f>
        <v>#N/A</v>
      </c>
      <c r="I535" s="8" t="str">
        <f>IF('[1]Game Input'!$I535&lt;&gt;"",'[1]Game Input'!$I535,"")</f>
        <v/>
      </c>
      <c r="J535" s="9">
        <f>IF('[1]Game Input'!$AC535&lt;&gt;"",'[1]Game Input'!$AC535,"")</f>
        <v>0</v>
      </c>
      <c r="K535" s="9">
        <f>IF('[1]Game Input'!$AD535&lt;&gt;"",'[1]Game Input'!$AD535,"")</f>
        <v>0</v>
      </c>
      <c r="L535" s="9" t="str">
        <f>IF('[1]Game Input'!$AJ535&lt;&gt;"",'[1]Game Input'!$AJ535,"")</f>
        <v/>
      </c>
      <c r="M535" s="9" t="str">
        <f>IF('[1]Game Input'!$AK535&lt;&gt;"",'[1]Game Input'!$AK535,"")</f>
        <v/>
      </c>
      <c r="N535" s="9" t="str">
        <f>IF('[1]Game Input'!$AN535&lt;&gt;"",'[1]Game Input'!$AN535,"")</f>
        <v/>
      </c>
      <c r="O535" s="9" t="str">
        <f>IF('[1]Game Input'!$AO535&lt;&gt;"",'[1]Game Input'!$AO535,"")</f>
        <v/>
      </c>
      <c r="P535" s="9" t="str">
        <f>IF('[1]Game Input'!$AP535&lt;&gt;"",'[1]Game Input'!$AP535,"")</f>
        <v/>
      </c>
      <c r="Q535" s="9" t="str">
        <f>IF('[1]Game Input'!$AQ535&lt;&gt;"",'[1]Game Input'!$AQ535,"")</f>
        <v/>
      </c>
      <c r="R535" s="9" t="str">
        <f>IF('[1]Game Input'!$AR535&lt;&gt;"",'[1]Game Input'!$AR535,"")</f>
        <v/>
      </c>
      <c r="S535" s="9">
        <f>IF('[1]Game Input'!$AS535&lt;&gt;"",'[1]Game Input'!$AS535,"")</f>
        <v>0</v>
      </c>
      <c r="T535" s="10" t="str">
        <f>IF('[1]Game Input'!$BA535&lt;&gt;"",'[1]Game Input'!$BA535,"")</f>
        <v/>
      </c>
      <c r="U535" s="9">
        <f>IF('[1]Game Input'!$BU535&lt;&gt;"",'[1]Game Input'!$BU535,"")</f>
        <v>0</v>
      </c>
      <c r="V535" s="9">
        <f>IF('[1]Game Input'!$BV535&lt;&gt;"",'[1]Game Input'!$BV535,"")</f>
        <v>0</v>
      </c>
      <c r="W535" s="9" t="str">
        <f>IF('[1]Game Input'!$CB535&lt;&gt;"",'[1]Game Input'!$CB535,"")</f>
        <v/>
      </c>
      <c r="X535" s="9" t="str">
        <f>IF('[1]Game Input'!$CC535&lt;&gt;"",'[1]Game Input'!$CC535,"")</f>
        <v/>
      </c>
      <c r="Y535" s="9" t="str">
        <f>IF('[1]Game Input'!$CF535&lt;&gt;"",'[1]Game Input'!$CF535,"")</f>
        <v/>
      </c>
      <c r="Z535" s="9" t="str">
        <f>IF('[1]Game Input'!$CG535&lt;&gt;"",'[1]Game Input'!$CG535,"")</f>
        <v/>
      </c>
      <c r="AA535" s="9" t="str">
        <f>IF('[1]Game Input'!$CH535&lt;&gt;"",'[1]Game Input'!$CH535,"")</f>
        <v/>
      </c>
      <c r="AB535" s="9" t="str">
        <f>IF('[1]Game Input'!$CI535&lt;&gt;"",'[1]Game Input'!$CI535,"")</f>
        <v/>
      </c>
      <c r="AC535" s="9" t="str">
        <f>IF('[1]Game Input'!$CJ535&lt;&gt;"",'[1]Game Input'!$CJ535,"")</f>
        <v/>
      </c>
      <c r="AD535" s="9">
        <f>IF('[1]Game Input'!$CK535&lt;&gt;"",'[1]Game Input'!$CK535,"")</f>
        <v>0</v>
      </c>
      <c r="AE535" s="8"/>
      <c r="AF535" s="8"/>
      <c r="AG535" s="8"/>
      <c r="AH535" s="8"/>
    </row>
    <row r="536" spans="1:34" x14ac:dyDescent="0.2">
      <c r="A536" s="6" t="str">
        <f>IF('[1]Game Input'!$A536&lt;&gt;"",'[1]Game Input'!$A536,"")</f>
        <v/>
      </c>
      <c r="B536" s="6" t="e">
        <f>IF(A536&gt;$B$1,VLOOKUP(MONTH($A536),DOTWMonth,2,FALSE),"")</f>
        <v>#VALUE!</v>
      </c>
      <c r="C536" s="10" t="e">
        <f>IF(A536&gt;$B$1,VLOOKUP(WEEKDAY($A536),DOTWMonth,3,FALSE),"")</f>
        <v>#VALUE!</v>
      </c>
      <c r="D536" s="7" t="str">
        <f>IF('[1]Game Input'!$B536&lt;&gt;"",'[1]Game Input'!$B536,"")</f>
        <v/>
      </c>
      <c r="E536" s="7" t="str">
        <f>IF('[1]Game Input'!$C536&lt;&gt;"",'[1]Game Input'!$C536,"")</f>
        <v/>
      </c>
      <c r="F536" s="8" t="str">
        <f>IF('[1]Game Input'!$D536&lt;&gt;"",'[1]Game Input'!$D536,"")</f>
        <v/>
      </c>
      <c r="G536" s="8" t="str">
        <f>IF('[1]Game Input'!$G536&lt;&gt;"",'[1]Game Input'!$G536,"")</f>
        <v/>
      </c>
      <c r="H536" s="8" t="e">
        <f>IF('[1]Game Input'!$H536&lt;&gt;"",'[1]Game Input'!$H536,"")</f>
        <v>#N/A</v>
      </c>
      <c r="I536" s="8" t="str">
        <f>IF('[1]Game Input'!$I536&lt;&gt;"",'[1]Game Input'!$I536,"")</f>
        <v/>
      </c>
      <c r="J536" s="9">
        <f>IF('[1]Game Input'!$AC536&lt;&gt;"",'[1]Game Input'!$AC536,"")</f>
        <v>0</v>
      </c>
      <c r="K536" s="9">
        <f>IF('[1]Game Input'!$AD536&lt;&gt;"",'[1]Game Input'!$AD536,"")</f>
        <v>0</v>
      </c>
      <c r="L536" s="9" t="str">
        <f>IF('[1]Game Input'!$AJ536&lt;&gt;"",'[1]Game Input'!$AJ536,"")</f>
        <v/>
      </c>
      <c r="M536" s="9" t="str">
        <f>IF('[1]Game Input'!$AK536&lt;&gt;"",'[1]Game Input'!$AK536,"")</f>
        <v/>
      </c>
      <c r="N536" s="9" t="str">
        <f>IF('[1]Game Input'!$AN536&lt;&gt;"",'[1]Game Input'!$AN536,"")</f>
        <v/>
      </c>
      <c r="O536" s="9" t="str">
        <f>IF('[1]Game Input'!$AO536&lt;&gt;"",'[1]Game Input'!$AO536,"")</f>
        <v/>
      </c>
      <c r="P536" s="9" t="str">
        <f>IF('[1]Game Input'!$AP536&lt;&gt;"",'[1]Game Input'!$AP536,"")</f>
        <v/>
      </c>
      <c r="Q536" s="9" t="str">
        <f>IF('[1]Game Input'!$AQ536&lt;&gt;"",'[1]Game Input'!$AQ536,"")</f>
        <v/>
      </c>
      <c r="R536" s="9" t="str">
        <f>IF('[1]Game Input'!$AR536&lt;&gt;"",'[1]Game Input'!$AR536,"")</f>
        <v/>
      </c>
      <c r="S536" s="9">
        <f>IF('[1]Game Input'!$AS536&lt;&gt;"",'[1]Game Input'!$AS536,"")</f>
        <v>0</v>
      </c>
      <c r="T536" s="10" t="str">
        <f>IF('[1]Game Input'!$BA536&lt;&gt;"",'[1]Game Input'!$BA536,"")</f>
        <v/>
      </c>
      <c r="U536" s="9">
        <f>IF('[1]Game Input'!$BU536&lt;&gt;"",'[1]Game Input'!$BU536,"")</f>
        <v>0</v>
      </c>
      <c r="V536" s="9">
        <f>IF('[1]Game Input'!$BV536&lt;&gt;"",'[1]Game Input'!$BV536,"")</f>
        <v>0</v>
      </c>
      <c r="W536" s="9" t="str">
        <f>IF('[1]Game Input'!$CB536&lt;&gt;"",'[1]Game Input'!$CB536,"")</f>
        <v/>
      </c>
      <c r="X536" s="9" t="str">
        <f>IF('[1]Game Input'!$CC536&lt;&gt;"",'[1]Game Input'!$CC536,"")</f>
        <v/>
      </c>
      <c r="Y536" s="9" t="str">
        <f>IF('[1]Game Input'!$CF536&lt;&gt;"",'[1]Game Input'!$CF536,"")</f>
        <v/>
      </c>
      <c r="Z536" s="9" t="str">
        <f>IF('[1]Game Input'!$CG536&lt;&gt;"",'[1]Game Input'!$CG536,"")</f>
        <v/>
      </c>
      <c r="AA536" s="9" t="str">
        <f>IF('[1]Game Input'!$CH536&lt;&gt;"",'[1]Game Input'!$CH536,"")</f>
        <v/>
      </c>
      <c r="AB536" s="9" t="str">
        <f>IF('[1]Game Input'!$CI536&lt;&gt;"",'[1]Game Input'!$CI536,"")</f>
        <v/>
      </c>
      <c r="AC536" s="9" t="str">
        <f>IF('[1]Game Input'!$CJ536&lt;&gt;"",'[1]Game Input'!$CJ536,"")</f>
        <v/>
      </c>
      <c r="AD536" s="9">
        <f>IF('[1]Game Input'!$CK536&lt;&gt;"",'[1]Game Input'!$CK536,"")</f>
        <v>0</v>
      </c>
      <c r="AE536" s="8"/>
      <c r="AF536" s="8"/>
      <c r="AG536" s="8"/>
      <c r="AH536" s="8"/>
    </row>
    <row r="537" spans="1:34" x14ac:dyDescent="0.2">
      <c r="A537" s="6" t="str">
        <f>IF('[1]Game Input'!$A537&lt;&gt;"",'[1]Game Input'!$A537,"")</f>
        <v/>
      </c>
      <c r="B537" s="6" t="e">
        <f>IF(A537&gt;$B$1,VLOOKUP(MONTH($A537),DOTWMonth,2,FALSE),"")</f>
        <v>#VALUE!</v>
      </c>
      <c r="C537" s="10" t="e">
        <f>IF(A537&gt;$B$1,VLOOKUP(WEEKDAY($A537),DOTWMonth,3,FALSE),"")</f>
        <v>#VALUE!</v>
      </c>
      <c r="D537" s="7" t="str">
        <f>IF('[1]Game Input'!$B537&lt;&gt;"",'[1]Game Input'!$B537,"")</f>
        <v/>
      </c>
      <c r="E537" s="7" t="str">
        <f>IF('[1]Game Input'!$C537&lt;&gt;"",'[1]Game Input'!$C537,"")</f>
        <v/>
      </c>
      <c r="F537" s="8" t="str">
        <f>IF('[1]Game Input'!$D537&lt;&gt;"",'[1]Game Input'!$D537,"")</f>
        <v/>
      </c>
      <c r="G537" s="8" t="str">
        <f>IF('[1]Game Input'!$G537&lt;&gt;"",'[1]Game Input'!$G537,"")</f>
        <v/>
      </c>
      <c r="H537" s="8" t="e">
        <f>IF('[1]Game Input'!$H537&lt;&gt;"",'[1]Game Input'!$H537,"")</f>
        <v>#N/A</v>
      </c>
      <c r="I537" s="8" t="str">
        <f>IF('[1]Game Input'!$I537&lt;&gt;"",'[1]Game Input'!$I537,"")</f>
        <v/>
      </c>
      <c r="J537" s="9">
        <f>IF('[1]Game Input'!$AC537&lt;&gt;"",'[1]Game Input'!$AC537,"")</f>
        <v>0</v>
      </c>
      <c r="K537" s="9">
        <f>IF('[1]Game Input'!$AD537&lt;&gt;"",'[1]Game Input'!$AD537,"")</f>
        <v>0</v>
      </c>
      <c r="L537" s="9" t="str">
        <f>IF('[1]Game Input'!$AJ537&lt;&gt;"",'[1]Game Input'!$AJ537,"")</f>
        <v/>
      </c>
      <c r="M537" s="9" t="str">
        <f>IF('[1]Game Input'!$AK537&lt;&gt;"",'[1]Game Input'!$AK537,"")</f>
        <v/>
      </c>
      <c r="N537" s="9" t="str">
        <f>IF('[1]Game Input'!$AN537&lt;&gt;"",'[1]Game Input'!$AN537,"")</f>
        <v/>
      </c>
      <c r="O537" s="9" t="str">
        <f>IF('[1]Game Input'!$AO537&lt;&gt;"",'[1]Game Input'!$AO537,"")</f>
        <v/>
      </c>
      <c r="P537" s="9" t="str">
        <f>IF('[1]Game Input'!$AP537&lt;&gt;"",'[1]Game Input'!$AP537,"")</f>
        <v/>
      </c>
      <c r="Q537" s="9" t="str">
        <f>IF('[1]Game Input'!$AQ537&lt;&gt;"",'[1]Game Input'!$AQ537,"")</f>
        <v/>
      </c>
      <c r="R537" s="9" t="str">
        <f>IF('[1]Game Input'!$AR537&lt;&gt;"",'[1]Game Input'!$AR537,"")</f>
        <v/>
      </c>
      <c r="S537" s="9">
        <f>IF('[1]Game Input'!$AS537&lt;&gt;"",'[1]Game Input'!$AS537,"")</f>
        <v>0</v>
      </c>
      <c r="T537" s="10" t="str">
        <f>IF('[1]Game Input'!$BA537&lt;&gt;"",'[1]Game Input'!$BA537,"")</f>
        <v/>
      </c>
      <c r="U537" s="9">
        <f>IF('[1]Game Input'!$BU537&lt;&gt;"",'[1]Game Input'!$BU537,"")</f>
        <v>0</v>
      </c>
      <c r="V537" s="9">
        <f>IF('[1]Game Input'!$BV537&lt;&gt;"",'[1]Game Input'!$BV537,"")</f>
        <v>0</v>
      </c>
      <c r="W537" s="9" t="str">
        <f>IF('[1]Game Input'!$CB537&lt;&gt;"",'[1]Game Input'!$CB537,"")</f>
        <v/>
      </c>
      <c r="X537" s="9" t="str">
        <f>IF('[1]Game Input'!$CC537&lt;&gt;"",'[1]Game Input'!$CC537,"")</f>
        <v/>
      </c>
      <c r="Y537" s="9" t="str">
        <f>IF('[1]Game Input'!$CF537&lt;&gt;"",'[1]Game Input'!$CF537,"")</f>
        <v/>
      </c>
      <c r="Z537" s="9" t="str">
        <f>IF('[1]Game Input'!$CG537&lt;&gt;"",'[1]Game Input'!$CG537,"")</f>
        <v/>
      </c>
      <c r="AA537" s="9" t="str">
        <f>IF('[1]Game Input'!$CH537&lt;&gt;"",'[1]Game Input'!$CH537,"")</f>
        <v/>
      </c>
      <c r="AB537" s="9" t="str">
        <f>IF('[1]Game Input'!$CI537&lt;&gt;"",'[1]Game Input'!$CI537,"")</f>
        <v/>
      </c>
      <c r="AC537" s="9" t="str">
        <f>IF('[1]Game Input'!$CJ537&lt;&gt;"",'[1]Game Input'!$CJ537,"")</f>
        <v/>
      </c>
      <c r="AD537" s="9">
        <f>IF('[1]Game Input'!$CK537&lt;&gt;"",'[1]Game Input'!$CK537,"")</f>
        <v>0</v>
      </c>
      <c r="AE537" s="8"/>
      <c r="AF537" s="8"/>
      <c r="AG537" s="8"/>
      <c r="AH537" s="8"/>
    </row>
    <row r="538" spans="1:34" x14ac:dyDescent="0.2">
      <c r="A538" s="6" t="str">
        <f>IF('[1]Game Input'!$A538&lt;&gt;"",'[1]Game Input'!$A538,"")</f>
        <v/>
      </c>
      <c r="B538" s="6" t="e">
        <f>IF(A538&gt;$B$1,VLOOKUP(MONTH($A538),DOTWMonth,2,FALSE),"")</f>
        <v>#VALUE!</v>
      </c>
      <c r="C538" s="10" t="e">
        <f>IF(A538&gt;$B$1,VLOOKUP(WEEKDAY($A538),DOTWMonth,3,FALSE),"")</f>
        <v>#VALUE!</v>
      </c>
      <c r="D538" s="7" t="str">
        <f>IF('[1]Game Input'!$B538&lt;&gt;"",'[1]Game Input'!$B538,"")</f>
        <v/>
      </c>
      <c r="E538" s="7" t="str">
        <f>IF('[1]Game Input'!$C538&lt;&gt;"",'[1]Game Input'!$C538,"")</f>
        <v/>
      </c>
      <c r="F538" s="8" t="str">
        <f>IF('[1]Game Input'!$D538&lt;&gt;"",'[1]Game Input'!$D538,"")</f>
        <v/>
      </c>
      <c r="G538" s="8" t="str">
        <f>IF('[1]Game Input'!$G538&lt;&gt;"",'[1]Game Input'!$G538,"")</f>
        <v/>
      </c>
      <c r="H538" s="8" t="e">
        <f>IF('[1]Game Input'!$H538&lt;&gt;"",'[1]Game Input'!$H538,"")</f>
        <v>#N/A</v>
      </c>
      <c r="I538" s="8" t="str">
        <f>IF('[1]Game Input'!$I538&lt;&gt;"",'[1]Game Input'!$I538,"")</f>
        <v/>
      </c>
      <c r="J538" s="9">
        <f>IF('[1]Game Input'!$AC538&lt;&gt;"",'[1]Game Input'!$AC538,"")</f>
        <v>0</v>
      </c>
      <c r="K538" s="9">
        <f>IF('[1]Game Input'!$AD538&lt;&gt;"",'[1]Game Input'!$AD538,"")</f>
        <v>0</v>
      </c>
      <c r="L538" s="9" t="str">
        <f>IF('[1]Game Input'!$AJ538&lt;&gt;"",'[1]Game Input'!$AJ538,"")</f>
        <v/>
      </c>
      <c r="M538" s="9" t="str">
        <f>IF('[1]Game Input'!$AK538&lt;&gt;"",'[1]Game Input'!$AK538,"")</f>
        <v/>
      </c>
      <c r="N538" s="9" t="str">
        <f>IF('[1]Game Input'!$AN538&lt;&gt;"",'[1]Game Input'!$AN538,"")</f>
        <v/>
      </c>
      <c r="O538" s="9" t="str">
        <f>IF('[1]Game Input'!$AO538&lt;&gt;"",'[1]Game Input'!$AO538,"")</f>
        <v/>
      </c>
      <c r="P538" s="9" t="str">
        <f>IF('[1]Game Input'!$AP538&lt;&gt;"",'[1]Game Input'!$AP538,"")</f>
        <v/>
      </c>
      <c r="Q538" s="9" t="str">
        <f>IF('[1]Game Input'!$AQ538&lt;&gt;"",'[1]Game Input'!$AQ538,"")</f>
        <v/>
      </c>
      <c r="R538" s="9" t="str">
        <f>IF('[1]Game Input'!$AR538&lt;&gt;"",'[1]Game Input'!$AR538,"")</f>
        <v/>
      </c>
      <c r="S538" s="9">
        <f>IF('[1]Game Input'!$AS538&lt;&gt;"",'[1]Game Input'!$AS538,"")</f>
        <v>0</v>
      </c>
      <c r="T538" s="10" t="str">
        <f>IF('[1]Game Input'!$BA538&lt;&gt;"",'[1]Game Input'!$BA538,"")</f>
        <v/>
      </c>
      <c r="U538" s="9">
        <f>IF('[1]Game Input'!$BU538&lt;&gt;"",'[1]Game Input'!$BU538,"")</f>
        <v>0</v>
      </c>
      <c r="V538" s="9">
        <f>IF('[1]Game Input'!$BV538&lt;&gt;"",'[1]Game Input'!$BV538,"")</f>
        <v>0</v>
      </c>
      <c r="W538" s="9" t="str">
        <f>IF('[1]Game Input'!$CB538&lt;&gt;"",'[1]Game Input'!$CB538,"")</f>
        <v/>
      </c>
      <c r="X538" s="9" t="str">
        <f>IF('[1]Game Input'!$CC538&lt;&gt;"",'[1]Game Input'!$CC538,"")</f>
        <v/>
      </c>
      <c r="Y538" s="9" t="str">
        <f>IF('[1]Game Input'!$CF538&lt;&gt;"",'[1]Game Input'!$CF538,"")</f>
        <v/>
      </c>
      <c r="Z538" s="9" t="str">
        <f>IF('[1]Game Input'!$CG538&lt;&gt;"",'[1]Game Input'!$CG538,"")</f>
        <v/>
      </c>
      <c r="AA538" s="9" t="str">
        <f>IF('[1]Game Input'!$CH538&lt;&gt;"",'[1]Game Input'!$CH538,"")</f>
        <v/>
      </c>
      <c r="AB538" s="9" t="str">
        <f>IF('[1]Game Input'!$CI538&lt;&gt;"",'[1]Game Input'!$CI538,"")</f>
        <v/>
      </c>
      <c r="AC538" s="9" t="str">
        <f>IF('[1]Game Input'!$CJ538&lt;&gt;"",'[1]Game Input'!$CJ538,"")</f>
        <v/>
      </c>
      <c r="AD538" s="9">
        <f>IF('[1]Game Input'!$CK538&lt;&gt;"",'[1]Game Input'!$CK538,"")</f>
        <v>0</v>
      </c>
      <c r="AE538" s="8"/>
      <c r="AF538" s="8"/>
      <c r="AG538" s="8"/>
      <c r="AH538" s="8"/>
    </row>
    <row r="539" spans="1:34" x14ac:dyDescent="0.2">
      <c r="A539" s="6" t="str">
        <f>IF('[1]Game Input'!$A539&lt;&gt;"",'[1]Game Input'!$A539,"")</f>
        <v/>
      </c>
      <c r="B539" s="6" t="e">
        <f>IF(A539&gt;$B$1,VLOOKUP(MONTH($A539),DOTWMonth,2,FALSE),"")</f>
        <v>#VALUE!</v>
      </c>
      <c r="C539" s="10" t="e">
        <f>IF(A539&gt;$B$1,VLOOKUP(WEEKDAY($A539),DOTWMonth,3,FALSE),"")</f>
        <v>#VALUE!</v>
      </c>
      <c r="D539" s="7" t="str">
        <f>IF('[1]Game Input'!$B539&lt;&gt;"",'[1]Game Input'!$B539,"")</f>
        <v/>
      </c>
      <c r="E539" s="7" t="str">
        <f>IF('[1]Game Input'!$C539&lt;&gt;"",'[1]Game Input'!$C539,"")</f>
        <v/>
      </c>
      <c r="F539" s="8" t="str">
        <f>IF('[1]Game Input'!$D539&lt;&gt;"",'[1]Game Input'!$D539,"")</f>
        <v/>
      </c>
      <c r="G539" s="8" t="str">
        <f>IF('[1]Game Input'!$G539&lt;&gt;"",'[1]Game Input'!$G539,"")</f>
        <v/>
      </c>
      <c r="H539" s="8" t="e">
        <f>IF('[1]Game Input'!$H539&lt;&gt;"",'[1]Game Input'!$H539,"")</f>
        <v>#N/A</v>
      </c>
      <c r="I539" s="8" t="str">
        <f>IF('[1]Game Input'!$I539&lt;&gt;"",'[1]Game Input'!$I539,"")</f>
        <v/>
      </c>
      <c r="J539" s="9">
        <f>IF('[1]Game Input'!$AC539&lt;&gt;"",'[1]Game Input'!$AC539,"")</f>
        <v>0</v>
      </c>
      <c r="K539" s="9">
        <f>IF('[1]Game Input'!$AD539&lt;&gt;"",'[1]Game Input'!$AD539,"")</f>
        <v>0</v>
      </c>
      <c r="L539" s="9" t="str">
        <f>IF('[1]Game Input'!$AJ539&lt;&gt;"",'[1]Game Input'!$AJ539,"")</f>
        <v/>
      </c>
      <c r="M539" s="9" t="str">
        <f>IF('[1]Game Input'!$AK539&lt;&gt;"",'[1]Game Input'!$AK539,"")</f>
        <v/>
      </c>
      <c r="N539" s="9" t="str">
        <f>IF('[1]Game Input'!$AN539&lt;&gt;"",'[1]Game Input'!$AN539,"")</f>
        <v/>
      </c>
      <c r="O539" s="9" t="str">
        <f>IF('[1]Game Input'!$AO539&lt;&gt;"",'[1]Game Input'!$AO539,"")</f>
        <v/>
      </c>
      <c r="P539" s="9" t="str">
        <f>IF('[1]Game Input'!$AP539&lt;&gt;"",'[1]Game Input'!$AP539,"")</f>
        <v/>
      </c>
      <c r="Q539" s="9" t="str">
        <f>IF('[1]Game Input'!$AQ539&lt;&gt;"",'[1]Game Input'!$AQ539,"")</f>
        <v/>
      </c>
      <c r="R539" s="9" t="str">
        <f>IF('[1]Game Input'!$AR539&lt;&gt;"",'[1]Game Input'!$AR539,"")</f>
        <v/>
      </c>
      <c r="S539" s="9">
        <f>IF('[1]Game Input'!$AS539&lt;&gt;"",'[1]Game Input'!$AS539,"")</f>
        <v>0</v>
      </c>
      <c r="T539" s="10" t="str">
        <f>IF('[1]Game Input'!$BA539&lt;&gt;"",'[1]Game Input'!$BA539,"")</f>
        <v/>
      </c>
      <c r="U539" s="9">
        <f>IF('[1]Game Input'!$BU539&lt;&gt;"",'[1]Game Input'!$BU539,"")</f>
        <v>0</v>
      </c>
      <c r="V539" s="9">
        <f>IF('[1]Game Input'!$BV539&lt;&gt;"",'[1]Game Input'!$BV539,"")</f>
        <v>0</v>
      </c>
      <c r="W539" s="9" t="str">
        <f>IF('[1]Game Input'!$CB539&lt;&gt;"",'[1]Game Input'!$CB539,"")</f>
        <v/>
      </c>
      <c r="X539" s="9" t="str">
        <f>IF('[1]Game Input'!$CC539&lt;&gt;"",'[1]Game Input'!$CC539,"")</f>
        <v/>
      </c>
      <c r="Y539" s="9" t="str">
        <f>IF('[1]Game Input'!$CF539&lt;&gt;"",'[1]Game Input'!$CF539,"")</f>
        <v/>
      </c>
      <c r="Z539" s="9" t="str">
        <f>IF('[1]Game Input'!$CG539&lt;&gt;"",'[1]Game Input'!$CG539,"")</f>
        <v/>
      </c>
      <c r="AA539" s="9" t="str">
        <f>IF('[1]Game Input'!$CH539&lt;&gt;"",'[1]Game Input'!$CH539,"")</f>
        <v/>
      </c>
      <c r="AB539" s="9" t="str">
        <f>IF('[1]Game Input'!$CI539&lt;&gt;"",'[1]Game Input'!$CI539,"")</f>
        <v/>
      </c>
      <c r="AC539" s="9" t="str">
        <f>IF('[1]Game Input'!$CJ539&lt;&gt;"",'[1]Game Input'!$CJ539,"")</f>
        <v/>
      </c>
      <c r="AD539" s="9">
        <f>IF('[1]Game Input'!$CK539&lt;&gt;"",'[1]Game Input'!$CK539,"")</f>
        <v>0</v>
      </c>
      <c r="AE539" s="8"/>
      <c r="AF539" s="8"/>
      <c r="AG539" s="8"/>
      <c r="AH539" s="8"/>
    </row>
    <row r="540" spans="1:34" x14ac:dyDescent="0.2">
      <c r="A540" s="6" t="str">
        <f>IF('[1]Game Input'!$A540&lt;&gt;"",'[1]Game Input'!$A540,"")</f>
        <v/>
      </c>
      <c r="B540" s="6" t="e">
        <f>IF(A540&gt;$B$1,VLOOKUP(MONTH($A540),DOTWMonth,2,FALSE),"")</f>
        <v>#VALUE!</v>
      </c>
      <c r="C540" s="10" t="e">
        <f>IF(A540&gt;$B$1,VLOOKUP(WEEKDAY($A540),DOTWMonth,3,FALSE),"")</f>
        <v>#VALUE!</v>
      </c>
      <c r="D540" s="7" t="str">
        <f>IF('[1]Game Input'!$B540&lt;&gt;"",'[1]Game Input'!$B540,"")</f>
        <v/>
      </c>
      <c r="E540" s="7" t="str">
        <f>IF('[1]Game Input'!$C540&lt;&gt;"",'[1]Game Input'!$C540,"")</f>
        <v/>
      </c>
      <c r="F540" s="8" t="str">
        <f>IF('[1]Game Input'!$D540&lt;&gt;"",'[1]Game Input'!$D540,"")</f>
        <v/>
      </c>
      <c r="G540" s="8" t="str">
        <f>IF('[1]Game Input'!$G540&lt;&gt;"",'[1]Game Input'!$G540,"")</f>
        <v/>
      </c>
      <c r="H540" s="8" t="e">
        <f>IF('[1]Game Input'!$H540&lt;&gt;"",'[1]Game Input'!$H540,"")</f>
        <v>#N/A</v>
      </c>
      <c r="I540" s="8" t="str">
        <f>IF('[1]Game Input'!$I540&lt;&gt;"",'[1]Game Input'!$I540,"")</f>
        <v/>
      </c>
      <c r="J540" s="9">
        <f>IF('[1]Game Input'!$AC540&lt;&gt;"",'[1]Game Input'!$AC540,"")</f>
        <v>0</v>
      </c>
      <c r="K540" s="9">
        <f>IF('[1]Game Input'!$AD540&lt;&gt;"",'[1]Game Input'!$AD540,"")</f>
        <v>0</v>
      </c>
      <c r="L540" s="9" t="str">
        <f>IF('[1]Game Input'!$AJ540&lt;&gt;"",'[1]Game Input'!$AJ540,"")</f>
        <v/>
      </c>
      <c r="M540" s="9" t="str">
        <f>IF('[1]Game Input'!$AK540&lt;&gt;"",'[1]Game Input'!$AK540,"")</f>
        <v/>
      </c>
      <c r="N540" s="9" t="str">
        <f>IF('[1]Game Input'!$AN540&lt;&gt;"",'[1]Game Input'!$AN540,"")</f>
        <v/>
      </c>
      <c r="O540" s="9" t="str">
        <f>IF('[1]Game Input'!$AO540&lt;&gt;"",'[1]Game Input'!$AO540,"")</f>
        <v/>
      </c>
      <c r="P540" s="9" t="str">
        <f>IF('[1]Game Input'!$AP540&lt;&gt;"",'[1]Game Input'!$AP540,"")</f>
        <v/>
      </c>
      <c r="Q540" s="9" t="str">
        <f>IF('[1]Game Input'!$AQ540&lt;&gt;"",'[1]Game Input'!$AQ540,"")</f>
        <v/>
      </c>
      <c r="R540" s="9" t="str">
        <f>IF('[1]Game Input'!$AR540&lt;&gt;"",'[1]Game Input'!$AR540,"")</f>
        <v/>
      </c>
      <c r="S540" s="9">
        <f>IF('[1]Game Input'!$AS540&lt;&gt;"",'[1]Game Input'!$AS540,"")</f>
        <v>0</v>
      </c>
      <c r="T540" s="10" t="str">
        <f>IF('[1]Game Input'!$BA540&lt;&gt;"",'[1]Game Input'!$BA540,"")</f>
        <v/>
      </c>
      <c r="U540" s="9">
        <f>IF('[1]Game Input'!$BU540&lt;&gt;"",'[1]Game Input'!$BU540,"")</f>
        <v>0</v>
      </c>
      <c r="V540" s="9">
        <f>IF('[1]Game Input'!$BV540&lt;&gt;"",'[1]Game Input'!$BV540,"")</f>
        <v>0</v>
      </c>
      <c r="W540" s="9" t="str">
        <f>IF('[1]Game Input'!$CB540&lt;&gt;"",'[1]Game Input'!$CB540,"")</f>
        <v/>
      </c>
      <c r="X540" s="9" t="str">
        <f>IF('[1]Game Input'!$CC540&lt;&gt;"",'[1]Game Input'!$CC540,"")</f>
        <v/>
      </c>
      <c r="Y540" s="9" t="str">
        <f>IF('[1]Game Input'!$CF540&lt;&gt;"",'[1]Game Input'!$CF540,"")</f>
        <v/>
      </c>
      <c r="Z540" s="9" t="str">
        <f>IF('[1]Game Input'!$CG540&lt;&gt;"",'[1]Game Input'!$CG540,"")</f>
        <v/>
      </c>
      <c r="AA540" s="9" t="str">
        <f>IF('[1]Game Input'!$CH540&lt;&gt;"",'[1]Game Input'!$CH540,"")</f>
        <v/>
      </c>
      <c r="AB540" s="9" t="str">
        <f>IF('[1]Game Input'!$CI540&lt;&gt;"",'[1]Game Input'!$CI540,"")</f>
        <v/>
      </c>
      <c r="AC540" s="9" t="str">
        <f>IF('[1]Game Input'!$CJ540&lt;&gt;"",'[1]Game Input'!$CJ540,"")</f>
        <v/>
      </c>
      <c r="AD540" s="9">
        <f>IF('[1]Game Input'!$CK540&lt;&gt;"",'[1]Game Input'!$CK540,"")</f>
        <v>0</v>
      </c>
      <c r="AE540" s="8"/>
      <c r="AF540" s="8"/>
      <c r="AG540" s="8"/>
      <c r="AH540" s="8"/>
    </row>
    <row r="541" spans="1:34" x14ac:dyDescent="0.2">
      <c r="A541" s="6" t="str">
        <f>IF('[1]Game Input'!$A541&lt;&gt;"",'[1]Game Input'!$A541,"")</f>
        <v/>
      </c>
      <c r="B541" s="6" t="e">
        <f>IF(A541&gt;$B$1,VLOOKUP(MONTH($A541),DOTWMonth,2,FALSE),"")</f>
        <v>#VALUE!</v>
      </c>
      <c r="C541" s="10" t="e">
        <f>IF(A541&gt;$B$1,VLOOKUP(WEEKDAY($A541),DOTWMonth,3,FALSE),"")</f>
        <v>#VALUE!</v>
      </c>
      <c r="D541" s="7" t="str">
        <f>IF('[1]Game Input'!$B541&lt;&gt;"",'[1]Game Input'!$B541,"")</f>
        <v/>
      </c>
      <c r="E541" s="7" t="str">
        <f>IF('[1]Game Input'!$C541&lt;&gt;"",'[1]Game Input'!$C541,"")</f>
        <v/>
      </c>
      <c r="F541" s="8" t="str">
        <f>IF('[1]Game Input'!$D541&lt;&gt;"",'[1]Game Input'!$D541,"")</f>
        <v/>
      </c>
      <c r="G541" s="8" t="str">
        <f>IF('[1]Game Input'!$G541&lt;&gt;"",'[1]Game Input'!$G541,"")</f>
        <v/>
      </c>
      <c r="H541" s="8" t="e">
        <f>IF('[1]Game Input'!$H541&lt;&gt;"",'[1]Game Input'!$H541,"")</f>
        <v>#N/A</v>
      </c>
      <c r="I541" s="8" t="str">
        <f>IF('[1]Game Input'!$I541&lt;&gt;"",'[1]Game Input'!$I541,"")</f>
        <v/>
      </c>
      <c r="J541" s="9">
        <f>IF('[1]Game Input'!$AC541&lt;&gt;"",'[1]Game Input'!$AC541,"")</f>
        <v>0</v>
      </c>
      <c r="K541" s="9">
        <f>IF('[1]Game Input'!$AD541&lt;&gt;"",'[1]Game Input'!$AD541,"")</f>
        <v>0</v>
      </c>
      <c r="L541" s="9" t="str">
        <f>IF('[1]Game Input'!$AJ541&lt;&gt;"",'[1]Game Input'!$AJ541,"")</f>
        <v/>
      </c>
      <c r="M541" s="9" t="str">
        <f>IF('[1]Game Input'!$AK541&lt;&gt;"",'[1]Game Input'!$AK541,"")</f>
        <v/>
      </c>
      <c r="N541" s="9" t="str">
        <f>IF('[1]Game Input'!$AN541&lt;&gt;"",'[1]Game Input'!$AN541,"")</f>
        <v/>
      </c>
      <c r="O541" s="9" t="str">
        <f>IF('[1]Game Input'!$AO541&lt;&gt;"",'[1]Game Input'!$AO541,"")</f>
        <v/>
      </c>
      <c r="P541" s="9" t="str">
        <f>IF('[1]Game Input'!$AP541&lt;&gt;"",'[1]Game Input'!$AP541,"")</f>
        <v/>
      </c>
      <c r="Q541" s="9" t="str">
        <f>IF('[1]Game Input'!$AQ541&lt;&gt;"",'[1]Game Input'!$AQ541,"")</f>
        <v/>
      </c>
      <c r="R541" s="9" t="str">
        <f>IF('[1]Game Input'!$AR541&lt;&gt;"",'[1]Game Input'!$AR541,"")</f>
        <v/>
      </c>
      <c r="S541" s="9">
        <f>IF('[1]Game Input'!$AS541&lt;&gt;"",'[1]Game Input'!$AS541,"")</f>
        <v>0</v>
      </c>
      <c r="T541" s="10" t="str">
        <f>IF('[1]Game Input'!$BA541&lt;&gt;"",'[1]Game Input'!$BA541,"")</f>
        <v/>
      </c>
      <c r="U541" s="9">
        <f>IF('[1]Game Input'!$BU541&lt;&gt;"",'[1]Game Input'!$BU541,"")</f>
        <v>0</v>
      </c>
      <c r="V541" s="9">
        <f>IF('[1]Game Input'!$BV541&lt;&gt;"",'[1]Game Input'!$BV541,"")</f>
        <v>0</v>
      </c>
      <c r="W541" s="9" t="str">
        <f>IF('[1]Game Input'!$CB541&lt;&gt;"",'[1]Game Input'!$CB541,"")</f>
        <v/>
      </c>
      <c r="X541" s="9" t="str">
        <f>IF('[1]Game Input'!$CC541&lt;&gt;"",'[1]Game Input'!$CC541,"")</f>
        <v/>
      </c>
      <c r="Y541" s="9" t="str">
        <f>IF('[1]Game Input'!$CF541&lt;&gt;"",'[1]Game Input'!$CF541,"")</f>
        <v/>
      </c>
      <c r="Z541" s="9" t="str">
        <f>IF('[1]Game Input'!$CG541&lt;&gt;"",'[1]Game Input'!$CG541,"")</f>
        <v/>
      </c>
      <c r="AA541" s="9" t="str">
        <f>IF('[1]Game Input'!$CH541&lt;&gt;"",'[1]Game Input'!$CH541,"")</f>
        <v/>
      </c>
      <c r="AB541" s="9" t="str">
        <f>IF('[1]Game Input'!$CI541&lt;&gt;"",'[1]Game Input'!$CI541,"")</f>
        <v/>
      </c>
      <c r="AC541" s="9" t="str">
        <f>IF('[1]Game Input'!$CJ541&lt;&gt;"",'[1]Game Input'!$CJ541,"")</f>
        <v/>
      </c>
      <c r="AD541" s="9">
        <f>IF('[1]Game Input'!$CK541&lt;&gt;"",'[1]Game Input'!$CK541,"")</f>
        <v>0</v>
      </c>
      <c r="AE541" s="8"/>
      <c r="AF541" s="8"/>
      <c r="AG541" s="8"/>
      <c r="AH541" s="8"/>
    </row>
    <row r="542" spans="1:34" x14ac:dyDescent="0.2">
      <c r="A542" s="6" t="str">
        <f>IF('[1]Game Input'!$A542&lt;&gt;"",'[1]Game Input'!$A542,"")</f>
        <v/>
      </c>
      <c r="B542" s="6" t="e">
        <f>IF(A542&gt;$B$1,VLOOKUP(MONTH($A542),DOTWMonth,2,FALSE),"")</f>
        <v>#VALUE!</v>
      </c>
      <c r="C542" s="10" t="e">
        <f>IF(A542&gt;$B$1,VLOOKUP(WEEKDAY($A542),DOTWMonth,3,FALSE),"")</f>
        <v>#VALUE!</v>
      </c>
      <c r="D542" s="7" t="str">
        <f>IF('[1]Game Input'!$B542&lt;&gt;"",'[1]Game Input'!$B542,"")</f>
        <v/>
      </c>
      <c r="E542" s="7" t="str">
        <f>IF('[1]Game Input'!$C542&lt;&gt;"",'[1]Game Input'!$C542,"")</f>
        <v/>
      </c>
      <c r="F542" s="8" t="str">
        <f>IF('[1]Game Input'!$D542&lt;&gt;"",'[1]Game Input'!$D542,"")</f>
        <v/>
      </c>
      <c r="G542" s="8" t="str">
        <f>IF('[1]Game Input'!$G542&lt;&gt;"",'[1]Game Input'!$G542,"")</f>
        <v/>
      </c>
      <c r="H542" s="8" t="e">
        <f>IF('[1]Game Input'!$H542&lt;&gt;"",'[1]Game Input'!$H542,"")</f>
        <v>#N/A</v>
      </c>
      <c r="I542" s="8" t="str">
        <f>IF('[1]Game Input'!$I542&lt;&gt;"",'[1]Game Input'!$I542,"")</f>
        <v/>
      </c>
      <c r="J542" s="9">
        <f>IF('[1]Game Input'!$AC542&lt;&gt;"",'[1]Game Input'!$AC542,"")</f>
        <v>0</v>
      </c>
      <c r="K542" s="9">
        <f>IF('[1]Game Input'!$AD542&lt;&gt;"",'[1]Game Input'!$AD542,"")</f>
        <v>0</v>
      </c>
      <c r="L542" s="9" t="str">
        <f>IF('[1]Game Input'!$AJ542&lt;&gt;"",'[1]Game Input'!$AJ542,"")</f>
        <v/>
      </c>
      <c r="M542" s="9" t="str">
        <f>IF('[1]Game Input'!$AK542&lt;&gt;"",'[1]Game Input'!$AK542,"")</f>
        <v/>
      </c>
      <c r="N542" s="9" t="str">
        <f>IF('[1]Game Input'!$AN542&lt;&gt;"",'[1]Game Input'!$AN542,"")</f>
        <v/>
      </c>
      <c r="O542" s="9" t="str">
        <f>IF('[1]Game Input'!$AO542&lt;&gt;"",'[1]Game Input'!$AO542,"")</f>
        <v/>
      </c>
      <c r="P542" s="9" t="str">
        <f>IF('[1]Game Input'!$AP542&lt;&gt;"",'[1]Game Input'!$AP542,"")</f>
        <v/>
      </c>
      <c r="Q542" s="9" t="str">
        <f>IF('[1]Game Input'!$AQ542&lt;&gt;"",'[1]Game Input'!$AQ542,"")</f>
        <v/>
      </c>
      <c r="R542" s="9" t="str">
        <f>IF('[1]Game Input'!$AR542&lt;&gt;"",'[1]Game Input'!$AR542,"")</f>
        <v/>
      </c>
      <c r="S542" s="9">
        <f>IF('[1]Game Input'!$AS542&lt;&gt;"",'[1]Game Input'!$AS542,"")</f>
        <v>0</v>
      </c>
      <c r="T542" s="10" t="str">
        <f>IF('[1]Game Input'!$BA542&lt;&gt;"",'[1]Game Input'!$BA542,"")</f>
        <v/>
      </c>
      <c r="U542" s="9">
        <f>IF('[1]Game Input'!$BU542&lt;&gt;"",'[1]Game Input'!$BU542,"")</f>
        <v>0</v>
      </c>
      <c r="V542" s="9">
        <f>IF('[1]Game Input'!$BV542&lt;&gt;"",'[1]Game Input'!$BV542,"")</f>
        <v>0</v>
      </c>
      <c r="W542" s="9" t="str">
        <f>IF('[1]Game Input'!$CB542&lt;&gt;"",'[1]Game Input'!$CB542,"")</f>
        <v/>
      </c>
      <c r="X542" s="9" t="str">
        <f>IF('[1]Game Input'!$CC542&lt;&gt;"",'[1]Game Input'!$CC542,"")</f>
        <v/>
      </c>
      <c r="Y542" s="9" t="str">
        <f>IF('[1]Game Input'!$CF542&lt;&gt;"",'[1]Game Input'!$CF542,"")</f>
        <v/>
      </c>
      <c r="Z542" s="9" t="str">
        <f>IF('[1]Game Input'!$CG542&lt;&gt;"",'[1]Game Input'!$CG542,"")</f>
        <v/>
      </c>
      <c r="AA542" s="9" t="str">
        <f>IF('[1]Game Input'!$CH542&lt;&gt;"",'[1]Game Input'!$CH542,"")</f>
        <v/>
      </c>
      <c r="AB542" s="9" t="str">
        <f>IF('[1]Game Input'!$CI542&lt;&gt;"",'[1]Game Input'!$CI542,"")</f>
        <v/>
      </c>
      <c r="AC542" s="9" t="str">
        <f>IF('[1]Game Input'!$CJ542&lt;&gt;"",'[1]Game Input'!$CJ542,"")</f>
        <v/>
      </c>
      <c r="AD542" s="9">
        <f>IF('[1]Game Input'!$CK542&lt;&gt;"",'[1]Game Input'!$CK542,"")</f>
        <v>0</v>
      </c>
      <c r="AE542" s="8"/>
      <c r="AF542" s="8"/>
      <c r="AG542" s="8"/>
      <c r="AH542" s="8"/>
    </row>
    <row r="543" spans="1:34" x14ac:dyDescent="0.2">
      <c r="A543" s="6" t="str">
        <f>IF('[1]Game Input'!$A543&lt;&gt;"",'[1]Game Input'!$A543,"")</f>
        <v/>
      </c>
      <c r="B543" s="6" t="e">
        <f>IF(A543&gt;$B$1,VLOOKUP(MONTH($A543),DOTWMonth,2,FALSE),"")</f>
        <v>#VALUE!</v>
      </c>
      <c r="C543" s="10" t="e">
        <f>IF(A543&gt;$B$1,VLOOKUP(WEEKDAY($A543),DOTWMonth,3,FALSE),"")</f>
        <v>#VALUE!</v>
      </c>
      <c r="D543" s="7" t="str">
        <f>IF('[1]Game Input'!$B543&lt;&gt;"",'[1]Game Input'!$B543,"")</f>
        <v/>
      </c>
      <c r="E543" s="7" t="str">
        <f>IF('[1]Game Input'!$C543&lt;&gt;"",'[1]Game Input'!$C543,"")</f>
        <v/>
      </c>
      <c r="F543" s="8" t="str">
        <f>IF('[1]Game Input'!$D543&lt;&gt;"",'[1]Game Input'!$D543,"")</f>
        <v/>
      </c>
      <c r="G543" s="8" t="str">
        <f>IF('[1]Game Input'!$G543&lt;&gt;"",'[1]Game Input'!$G543,"")</f>
        <v/>
      </c>
      <c r="H543" s="8" t="e">
        <f>IF('[1]Game Input'!$H543&lt;&gt;"",'[1]Game Input'!$H543,"")</f>
        <v>#N/A</v>
      </c>
      <c r="I543" s="8" t="str">
        <f>IF('[1]Game Input'!$I543&lt;&gt;"",'[1]Game Input'!$I543,"")</f>
        <v/>
      </c>
      <c r="J543" s="9">
        <f>IF('[1]Game Input'!$AC543&lt;&gt;"",'[1]Game Input'!$AC543,"")</f>
        <v>0</v>
      </c>
      <c r="K543" s="9">
        <f>IF('[1]Game Input'!$AD543&lt;&gt;"",'[1]Game Input'!$AD543,"")</f>
        <v>0</v>
      </c>
      <c r="L543" s="9" t="str">
        <f>IF('[1]Game Input'!$AJ543&lt;&gt;"",'[1]Game Input'!$AJ543,"")</f>
        <v/>
      </c>
      <c r="M543" s="9" t="str">
        <f>IF('[1]Game Input'!$AK543&lt;&gt;"",'[1]Game Input'!$AK543,"")</f>
        <v/>
      </c>
      <c r="N543" s="9" t="str">
        <f>IF('[1]Game Input'!$AN543&lt;&gt;"",'[1]Game Input'!$AN543,"")</f>
        <v/>
      </c>
      <c r="O543" s="9" t="str">
        <f>IF('[1]Game Input'!$AO543&lt;&gt;"",'[1]Game Input'!$AO543,"")</f>
        <v/>
      </c>
      <c r="P543" s="9" t="str">
        <f>IF('[1]Game Input'!$AP543&lt;&gt;"",'[1]Game Input'!$AP543,"")</f>
        <v/>
      </c>
      <c r="Q543" s="9" t="str">
        <f>IF('[1]Game Input'!$AQ543&lt;&gt;"",'[1]Game Input'!$AQ543,"")</f>
        <v/>
      </c>
      <c r="R543" s="9" t="str">
        <f>IF('[1]Game Input'!$AR543&lt;&gt;"",'[1]Game Input'!$AR543,"")</f>
        <v/>
      </c>
      <c r="S543" s="9">
        <f>IF('[1]Game Input'!$AS543&lt;&gt;"",'[1]Game Input'!$AS543,"")</f>
        <v>0</v>
      </c>
      <c r="T543" s="10" t="str">
        <f>IF('[1]Game Input'!$BA543&lt;&gt;"",'[1]Game Input'!$BA543,"")</f>
        <v/>
      </c>
      <c r="U543" s="9">
        <f>IF('[1]Game Input'!$BU543&lt;&gt;"",'[1]Game Input'!$BU543,"")</f>
        <v>0</v>
      </c>
      <c r="V543" s="9">
        <f>IF('[1]Game Input'!$BV543&lt;&gt;"",'[1]Game Input'!$BV543,"")</f>
        <v>0</v>
      </c>
      <c r="W543" s="9" t="str">
        <f>IF('[1]Game Input'!$CB543&lt;&gt;"",'[1]Game Input'!$CB543,"")</f>
        <v/>
      </c>
      <c r="X543" s="9" t="str">
        <f>IF('[1]Game Input'!$CC543&lt;&gt;"",'[1]Game Input'!$CC543,"")</f>
        <v/>
      </c>
      <c r="Y543" s="9" t="str">
        <f>IF('[1]Game Input'!$CF543&lt;&gt;"",'[1]Game Input'!$CF543,"")</f>
        <v/>
      </c>
      <c r="Z543" s="9" t="str">
        <f>IF('[1]Game Input'!$CG543&lt;&gt;"",'[1]Game Input'!$CG543,"")</f>
        <v/>
      </c>
      <c r="AA543" s="9" t="str">
        <f>IF('[1]Game Input'!$CH543&lt;&gt;"",'[1]Game Input'!$CH543,"")</f>
        <v/>
      </c>
      <c r="AB543" s="9" t="str">
        <f>IF('[1]Game Input'!$CI543&lt;&gt;"",'[1]Game Input'!$CI543,"")</f>
        <v/>
      </c>
      <c r="AC543" s="9" t="str">
        <f>IF('[1]Game Input'!$CJ543&lt;&gt;"",'[1]Game Input'!$CJ543,"")</f>
        <v/>
      </c>
      <c r="AD543" s="9">
        <f>IF('[1]Game Input'!$CK543&lt;&gt;"",'[1]Game Input'!$CK543,"")</f>
        <v>0</v>
      </c>
      <c r="AE543" s="8"/>
      <c r="AF543" s="8"/>
      <c r="AG543" s="8"/>
      <c r="AH543" s="8"/>
    </row>
  </sheetData>
  <autoFilter ref="A3:AH543" xr:uid="{858E671F-BC44-42AC-BFCD-8193E2EDA519}"/>
  <conditionalFormatting sqref="A4:C543">
    <cfRule type="cellIs" dxfId="5" priority="1" operator="equal">
      <formula>$A$1</formula>
    </cfRule>
  </conditionalFormatting>
  <conditionalFormatting sqref="A4:A543">
    <cfRule type="cellIs" dxfId="4" priority="2" operator="greaterThan">
      <formula>$A$1</formula>
    </cfRule>
  </conditionalFormatting>
  <dataValidations count="2">
    <dataValidation type="list" allowBlank="1" showInputMessage="1" showErrorMessage="1" sqref="AE4:AF543" xr:uid="{B1E10C80-480A-42DF-9B42-233F5D24CAFE}">
      <formula1>Referee</formula1>
    </dataValidation>
    <dataValidation type="list" allowBlank="1" showInputMessage="1" showErrorMessage="1" sqref="AG4:AH543" xr:uid="{302A9D4A-393A-419A-82F0-BDA62DECBB10}">
      <formula1>Linemen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025E0-D81F-446C-94A0-8C51FC9D9DE9}">
  <dimension ref="A1:AP12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7" sqref="A17"/>
    </sheetView>
  </sheetViews>
  <sheetFormatPr defaultColWidth="13.7109375" defaultRowHeight="12.75" x14ac:dyDescent="0.2"/>
  <cols>
    <col min="1" max="1" width="20.7109375" style="11" customWidth="1"/>
    <col min="2" max="16384" width="13.7109375" style="11"/>
  </cols>
  <sheetData>
    <row r="1" spans="1:42" s="17" customFormat="1" x14ac:dyDescent="0.2"/>
    <row r="2" spans="1:42" s="17" customFormat="1" x14ac:dyDescent="0.2"/>
    <row r="3" spans="1:42" s="17" customFormat="1" x14ac:dyDescent="0.2">
      <c r="B3" s="23" t="s">
        <v>50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 t="s">
        <v>49</v>
      </c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2" s="22" customFormat="1" ht="25.5" x14ac:dyDescent="0.2">
      <c r="A4" s="21" t="s">
        <v>46</v>
      </c>
      <c r="B4" s="21" t="s">
        <v>47</v>
      </c>
      <c r="C4" s="21" t="str">
        <f>IF([1]Info!$A$2&lt;&gt;"",[1]Info!$A$2,"")</f>
        <v>CEDAR RAPIDS</v>
      </c>
      <c r="D4" s="21" t="str">
        <f>IF([1]Info!$A$3&lt;&gt;"",[1]Info!$A$3,"")</f>
        <v>CENTRAL ILLINOIS</v>
      </c>
      <c r="E4" s="21" t="str">
        <f>IF([1]Info!$A$4&lt;&gt;"",[1]Info!$A$4,"")</f>
        <v>CHICAGO</v>
      </c>
      <c r="F4" s="21" t="str">
        <f>IF([1]Info!$A$5&lt;&gt;"",[1]Info!$A$5,"")</f>
        <v>DES MOINES</v>
      </c>
      <c r="G4" s="21" t="str">
        <f>IF([1]Info!$A$6&lt;&gt;"",[1]Info!$A$6,"")</f>
        <v>DUBUQUE</v>
      </c>
      <c r="H4" s="21" t="str">
        <f>IF([1]Info!$A$7&lt;&gt;"",[1]Info!$A$7,"")</f>
        <v>FARGO</v>
      </c>
      <c r="I4" s="21" t="str">
        <f>IF([1]Info!$A$8&lt;&gt;"",[1]Info!$A$8,"")</f>
        <v>GREEN BAY</v>
      </c>
      <c r="J4" s="21" t="str">
        <f>IF([1]Info!$A$9&lt;&gt;"",[1]Info!$A$9,"")</f>
        <v>LINCOLN</v>
      </c>
      <c r="K4" s="21" t="str">
        <f>IF([1]Info!$A$10&lt;&gt;"",[1]Info!$A$10,"")</f>
        <v>MADISON</v>
      </c>
      <c r="L4" s="21" t="str">
        <f>IF([1]Info!$A$11&lt;&gt;"",[1]Info!$A$11,"")</f>
        <v>MUSKEGON</v>
      </c>
      <c r="M4" s="21" t="str">
        <f>IF([1]Info!$A$12&lt;&gt;"",[1]Info!$A$12,"")</f>
        <v>OMAHA</v>
      </c>
      <c r="N4" s="21" t="str">
        <f>IF([1]Info!$A$13&lt;&gt;"",[1]Info!$A$13,"")</f>
        <v>SIOUX CITY</v>
      </c>
      <c r="O4" s="21" t="str">
        <f>IF([1]Info!$A$14&lt;&gt;"",[1]Info!$A$14,"")</f>
        <v>SIOUX FALLS</v>
      </c>
      <c r="P4" s="21" t="str">
        <f>IF([1]Info!$A$15&lt;&gt;"",[1]Info!$A$15,"")</f>
        <v>TEAM USA</v>
      </c>
      <c r="Q4" s="21" t="str">
        <f>IF([1]Info!$A$16&lt;&gt;"",[1]Info!$A$16,"")</f>
        <v>TRI-CITY</v>
      </c>
      <c r="R4" s="21" t="str">
        <f>IF([1]Info!$A$17&lt;&gt;"",[1]Info!$A$17,"")</f>
        <v>WATERLOO</v>
      </c>
      <c r="S4" s="21" t="str">
        <f>IF([1]Info!$A$18&lt;&gt;"",[1]Info!$A$18,"")</f>
        <v>YOUNGSTOWN</v>
      </c>
      <c r="T4" s="21" t="str">
        <f>IF([1]Info!$A$19&lt;&gt;"",[1]Info!$A$19,"")</f>
        <v/>
      </c>
      <c r="U4" s="21" t="str">
        <f>IF([1]Info!$A$20&lt;&gt;"",[1]Info!$A$20,"")</f>
        <v/>
      </c>
      <c r="V4" s="21" t="str">
        <f>IF([1]Info!$A$21&lt;&gt;"",[1]Info!$A$21,"")</f>
        <v/>
      </c>
      <c r="W4" s="21" t="str">
        <f>IF([1]Info!$A$2&lt;&gt;"",[1]Info!$A$2,"")</f>
        <v>CEDAR RAPIDS</v>
      </c>
      <c r="X4" s="21" t="str">
        <f>IF([1]Info!$A$3&lt;&gt;"",[1]Info!$A$3,"")</f>
        <v>CENTRAL ILLINOIS</v>
      </c>
      <c r="Y4" s="21" t="str">
        <f>IF([1]Info!$A$4&lt;&gt;"",[1]Info!$A$4,"")</f>
        <v>CHICAGO</v>
      </c>
      <c r="Z4" s="21" t="str">
        <f>IF([1]Info!$A$5&lt;&gt;"",[1]Info!$A$5,"")</f>
        <v>DES MOINES</v>
      </c>
      <c r="AA4" s="21" t="str">
        <f>IF([1]Info!$A$6&lt;&gt;"",[1]Info!$A$6,"")</f>
        <v>DUBUQUE</v>
      </c>
      <c r="AB4" s="21" t="str">
        <f>IF([1]Info!$A$7&lt;&gt;"",[1]Info!$A$7,"")</f>
        <v>FARGO</v>
      </c>
      <c r="AC4" s="21" t="str">
        <f>IF([1]Info!$A$8&lt;&gt;"",[1]Info!$A$8,"")</f>
        <v>GREEN BAY</v>
      </c>
      <c r="AD4" s="21" t="str">
        <f>IF([1]Info!$A$9&lt;&gt;"",[1]Info!$A$9,"")</f>
        <v>LINCOLN</v>
      </c>
      <c r="AE4" s="21" t="str">
        <f>IF([1]Info!$A$10&lt;&gt;"",[1]Info!$A$10,"")</f>
        <v>MADISON</v>
      </c>
      <c r="AF4" s="21" t="str">
        <f>IF([1]Info!$A$11&lt;&gt;"",[1]Info!$A$11,"")</f>
        <v>MUSKEGON</v>
      </c>
      <c r="AG4" s="21" t="str">
        <f>IF([1]Info!$A$12&lt;&gt;"",[1]Info!$A$12,"")</f>
        <v>OMAHA</v>
      </c>
      <c r="AH4" s="21" t="str">
        <f>IF([1]Info!$A$13&lt;&gt;"",[1]Info!$A$13,"")</f>
        <v>SIOUX CITY</v>
      </c>
      <c r="AI4" s="21" t="str">
        <f>IF([1]Info!$A$14&lt;&gt;"",[1]Info!$A$14,"")</f>
        <v>SIOUX FALLS</v>
      </c>
      <c r="AJ4" s="21" t="str">
        <f>IF([1]Info!$A$15&lt;&gt;"",[1]Info!$A$15,"")</f>
        <v>TEAM USA</v>
      </c>
      <c r="AK4" s="21" t="str">
        <f>IF([1]Info!$A$16&lt;&gt;"",[1]Info!$A$16,"")</f>
        <v>TRI-CITY</v>
      </c>
      <c r="AL4" s="21" t="str">
        <f>IF([1]Info!$A$17&lt;&gt;"",[1]Info!$A$17,"")</f>
        <v>WATERLOO</v>
      </c>
      <c r="AM4" s="21" t="str">
        <f>IF([1]Info!$A$18&lt;&gt;"",[1]Info!$A$18,"")</f>
        <v>YOUNGSTOWN</v>
      </c>
      <c r="AN4" s="21" t="str">
        <f>IF([1]Info!$A$19&lt;&gt;"",[1]Info!$A$19,"")</f>
        <v/>
      </c>
      <c r="AO4" s="21" t="str">
        <f>IF([1]Info!$A$20&lt;&gt;"",[1]Info!$A$20,"")</f>
        <v/>
      </c>
      <c r="AP4" s="21" t="str">
        <f>IF([1]Info!$A$21&lt;&gt;"",[1]Info!$A$21,"")</f>
        <v/>
      </c>
    </row>
    <row r="5" spans="1:42" x14ac:dyDescent="0.2">
      <c r="A5" s="8" t="str">
        <f>IF(Info!A2&lt;&gt;0,Info!A2,"")</f>
        <v>Anderson, Ken</v>
      </c>
      <c r="B5" s="8">
        <f>SUM(C5:V5)</f>
        <v>1</v>
      </c>
      <c r="C5" s="8">
        <f t="array" ref="C5">COUNT(IF(Referee1=$A5,IF(HomeTeam=C$4,1)))+COUNT(IF(Referee2=$A5,IF(HomeTeam=C$4,1)))</f>
        <v>0</v>
      </c>
      <c r="D5" s="8">
        <f t="array" ref="D5">COUNT(IF(Referee1=$A5,IF(HomeTeam=D$4,1)))+COUNT(IF(Referee2=$A5,IF(HomeTeam=D$4,1)))</f>
        <v>0</v>
      </c>
      <c r="E5" s="8">
        <f t="array" ref="E5">COUNT(IF(Referee1=$A5,IF(HomeTeam=E$4,1)))+COUNT(IF(Referee2=$A5,IF(HomeTeam=E$4,1)))</f>
        <v>0</v>
      </c>
      <c r="F5" s="8">
        <f t="array" ref="F5">COUNT(IF(Referee1=$A5,IF(HomeTeam=F$4,1)))+COUNT(IF(Referee2=$A5,IF(HomeTeam=F$4,1)))</f>
        <v>0</v>
      </c>
      <c r="G5" s="8">
        <f t="array" ref="G5">COUNT(IF(Referee1=$A5,IF(HomeTeam=G$4,1)))+COUNT(IF(Referee2=$A5,IF(HomeTeam=G$4,1)))</f>
        <v>0</v>
      </c>
      <c r="H5" s="8">
        <f t="array" ref="H5">COUNT(IF(Referee1=$A5,IF(HomeTeam=H$4,1)))+COUNT(IF(Referee2=$A5,IF(HomeTeam=H$4,1)))</f>
        <v>0</v>
      </c>
      <c r="I5" s="8">
        <f t="array" ref="I5">COUNT(IF(Referee1=$A5,IF(HomeTeam=I$4,1)))+COUNT(IF(Referee2=$A5,IF(HomeTeam=I$4,1)))</f>
        <v>0</v>
      </c>
      <c r="J5" s="8">
        <f t="array" ref="J5">COUNT(IF(Referee1=$A5,IF(HomeTeam=J$4,1)))+COUNT(IF(Referee2=$A5,IF(HomeTeam=J$4,1)))</f>
        <v>0</v>
      </c>
      <c r="K5" s="8">
        <f t="array" ref="K5">COUNT(IF(Referee1=$A5,IF(HomeTeam=K$4,1)))+COUNT(IF(Referee2=$A5,IF(HomeTeam=K$4,1)))</f>
        <v>0</v>
      </c>
      <c r="L5" s="8">
        <f t="array" ref="L5">COUNT(IF(Referee1=$A5,IF(HomeTeam=L$4,1)))+COUNT(IF(Referee2=$A5,IF(HomeTeam=L$4,1)))</f>
        <v>0</v>
      </c>
      <c r="M5" s="8">
        <f t="array" ref="M5">COUNT(IF(Referee1=$A5,IF(HomeTeam=M$4,1)))+COUNT(IF(Referee2=$A5,IF(HomeTeam=M$4,1)))</f>
        <v>0</v>
      </c>
      <c r="N5" s="8">
        <f t="array" ref="N5">COUNT(IF(Referee1=$A5,IF(HomeTeam=N$4,1)))+COUNT(IF(Referee2=$A5,IF(HomeTeam=N$4,1)))</f>
        <v>0</v>
      </c>
      <c r="O5" s="8">
        <f t="array" ref="O5">COUNT(IF(Referee1=$A5,IF(HomeTeam=O$4,1)))+COUNT(IF(Referee2=$A5,IF(HomeTeam=O$4,1)))</f>
        <v>1</v>
      </c>
      <c r="P5" s="8">
        <f t="array" ref="P5">COUNT(IF(Referee1=$A5,IF(HomeTeam=P$4,1)))+COUNT(IF(Referee2=$A5,IF(HomeTeam=P$4,1)))</f>
        <v>0</v>
      </c>
      <c r="Q5" s="8">
        <f t="array" ref="Q5">COUNT(IF(Referee1=$A5,IF(HomeTeam=Q$4,1)))+COUNT(IF(Referee2=$A5,IF(HomeTeam=Q$4,1)))</f>
        <v>0</v>
      </c>
      <c r="R5" s="8">
        <f t="array" ref="R5">COUNT(IF(Referee1=$A5,IF(HomeTeam=R$4,1)))+COUNT(IF(Referee2=$A5,IF(HomeTeam=R$4,1)))</f>
        <v>0</v>
      </c>
      <c r="S5" s="8">
        <f t="array" ref="S5">COUNT(IF(Referee1=$A5,IF(HomeTeam=S$4,1)))+COUNT(IF(Referee2=$A5,IF(HomeTeam=S$4,1)))</f>
        <v>0</v>
      </c>
      <c r="T5" s="8">
        <f t="array" ref="T5">COUNT(IF(Referee1=$A5,IF(HomeTeam=T$4,1)))+COUNT(IF(Referee2=$A5,IF(HomeTeam=T$4,1)))</f>
        <v>0</v>
      </c>
      <c r="U5" s="8">
        <f t="array" ref="U5">COUNT(IF(Referee1=$A5,IF(HomeTeam=U$4,1)))+COUNT(IF(Referee2=$A5,IF(HomeTeam=U$4,1)))</f>
        <v>0</v>
      </c>
      <c r="V5" s="8">
        <f t="array" ref="V5">COUNT(IF(Referee1=$A5,IF(HomeTeam=V$4,1)))+COUNT(IF(Referee2=$A5,IF(HomeTeam=V$4,1)))</f>
        <v>0</v>
      </c>
      <c r="W5" s="8">
        <f t="array" ref="W5">COUNT(IF(Referee1=$A5,IF(AwayTeam=W$4,1)))+COUNT(IF(Referee2=$A5,IF(AwayTeam=W$4,1)))</f>
        <v>0</v>
      </c>
      <c r="X5" s="8">
        <f t="array" ref="X5">COUNT(IF(Referee1=$A5,IF(AwayTeam=X$4,1)))+COUNT(IF(Referee2=$A5,IF(AwayTeam=X$4,1)))</f>
        <v>0</v>
      </c>
      <c r="Y5" s="8">
        <f t="array" ref="Y5">COUNT(IF(Referee1=$A5,IF(AwayTeam=Y$4,1)))+COUNT(IF(Referee2=$A5,IF(AwayTeam=Y$4,1)))</f>
        <v>0</v>
      </c>
      <c r="Z5" s="8">
        <f t="array" ref="Z5">COUNT(IF(Referee1=$A5,IF(AwayTeam=Z$4,1)))+COUNT(IF(Referee2=$A5,IF(AwayTeam=Z$4,1)))</f>
        <v>1</v>
      </c>
      <c r="AA5" s="8">
        <f t="array" ref="AA5">COUNT(IF(Referee1=$A5,IF(AwayTeam=AA$4,1)))+COUNT(IF(Referee2=$A5,IF(AwayTeam=AA$4,1)))</f>
        <v>0</v>
      </c>
      <c r="AB5" s="8">
        <f t="array" ref="AB5">COUNT(IF(Referee1=$A5,IF(AwayTeam=AB$4,1)))+COUNT(IF(Referee2=$A5,IF(AwayTeam=AB$4,1)))</f>
        <v>0</v>
      </c>
      <c r="AC5" s="8">
        <f t="array" ref="AC5">COUNT(IF(Referee1=$A5,IF(AwayTeam=AC$4,1)))+COUNT(IF(Referee2=$A5,IF(AwayTeam=AC$4,1)))</f>
        <v>0</v>
      </c>
      <c r="AD5" s="8">
        <f t="array" ref="AD5">COUNT(IF(Referee1=$A5,IF(AwayTeam=AD$4,1)))+COUNT(IF(Referee2=$A5,IF(AwayTeam=AD$4,1)))</f>
        <v>0</v>
      </c>
      <c r="AE5" s="8">
        <f t="array" ref="AE5">COUNT(IF(Referee1=$A5,IF(AwayTeam=AE$4,1)))+COUNT(IF(Referee2=$A5,IF(AwayTeam=AE$4,1)))</f>
        <v>0</v>
      </c>
      <c r="AF5" s="8">
        <f t="array" ref="AF5">COUNT(IF(Referee1=$A5,IF(AwayTeam=AF$4,1)))+COUNT(IF(Referee2=$A5,IF(AwayTeam=AF$4,1)))</f>
        <v>0</v>
      </c>
      <c r="AG5" s="8">
        <f t="array" ref="AG5">COUNT(IF(Referee1=$A5,IF(AwayTeam=AG$4,1)))+COUNT(IF(Referee2=$A5,IF(AwayTeam=AG$4,1)))</f>
        <v>0</v>
      </c>
      <c r="AH5" s="8">
        <f t="array" ref="AH5">COUNT(IF(Referee1=$A5,IF(AwayTeam=AH$4,1)))+COUNT(IF(Referee2=$A5,IF(AwayTeam=AH$4,1)))</f>
        <v>0</v>
      </c>
      <c r="AI5" s="8">
        <f t="array" ref="AI5">COUNT(IF(Referee1=$A5,IF(AwayTeam=AI$4,1)))+COUNT(IF(Referee2=$A5,IF(AwayTeam=AI$4,1)))</f>
        <v>0</v>
      </c>
      <c r="AJ5" s="8">
        <f t="array" ref="AJ5">COUNT(IF(Referee1=$A5,IF(AwayTeam=AJ$4,1)))+COUNT(IF(Referee2=$A5,IF(AwayTeam=AJ$4,1)))</f>
        <v>0</v>
      </c>
      <c r="AK5" s="8">
        <f t="array" ref="AK5">COUNT(IF(Referee1=$A5,IF(AwayTeam=AK$4,1)))+COUNT(IF(Referee2=$A5,IF(AwayTeam=AK$4,1)))</f>
        <v>0</v>
      </c>
      <c r="AL5" s="8">
        <f t="array" ref="AL5">COUNT(IF(Referee1=$A5,IF(AwayTeam=AL$4,1)))+COUNT(IF(Referee2=$A5,IF(AwayTeam=AL$4,1)))</f>
        <v>0</v>
      </c>
      <c r="AM5" s="8">
        <f t="array" ref="AM5">COUNT(IF(Referee1=$A5,IF(AwayTeam=AM$4,1)))+COUNT(IF(Referee2=$A5,IF(AwayTeam=AM$4,1)))</f>
        <v>0</v>
      </c>
      <c r="AN5" s="8">
        <f t="array" ref="AN5">COUNT(IF(Referee1=$A5,IF(AwayTeam=AN$4,1)))+COUNT(IF(Referee2=$A5,IF(AwayTeam=AN$4,1)))</f>
        <v>0</v>
      </c>
      <c r="AO5" s="8">
        <f t="array" ref="AO5">COUNT(IF(Referee1=$A5,IF(AwayTeam=AO$4,1)))+COUNT(IF(Referee2=$A5,IF(AwayTeam=AO$4,1)))</f>
        <v>0</v>
      </c>
      <c r="AP5" s="8">
        <f t="array" ref="AP5">COUNT(IF(Referee1=$A5,IF(AwayTeam=AP$4,1)))+COUNT(IF(Referee2=$A5,IF(AwayTeam=AP$4,1)))</f>
        <v>0</v>
      </c>
    </row>
    <row r="6" spans="1:42" x14ac:dyDescent="0.2">
      <c r="A6" s="8" t="str">
        <f>IF(Info!A3&lt;&gt;0,Info!A3,"")</f>
        <v>Anstett, Ted</v>
      </c>
      <c r="B6" s="8">
        <f t="shared" ref="B6:B64" si="0">SUM(C6:V6)</f>
        <v>9</v>
      </c>
      <c r="C6" s="8">
        <f t="array" ref="C6">COUNT(IF(Referee1=$A6,IF(HomeTeam=C$4,1)))+COUNT(IF(Referee2=$A6,IF(HomeTeam=C$4,1)))</f>
        <v>0</v>
      </c>
      <c r="D6" s="8">
        <f t="array" ref="D6">COUNT(IF(Referee1=$A6,IF(HomeTeam=D$4,1)))+COUNT(IF(Referee2=$A6,IF(HomeTeam=D$4,1)))</f>
        <v>2</v>
      </c>
      <c r="E6" s="8">
        <f t="array" ref="E6">COUNT(IF(Referee1=$A6,IF(HomeTeam=E$4,1)))+COUNT(IF(Referee2=$A6,IF(HomeTeam=E$4,1)))</f>
        <v>1</v>
      </c>
      <c r="F6" s="8">
        <f t="array" ref="F6">COUNT(IF(Referee1=$A6,IF(HomeTeam=F$4,1)))+COUNT(IF(Referee2=$A6,IF(HomeTeam=F$4,1)))</f>
        <v>2</v>
      </c>
      <c r="G6" s="8">
        <f t="array" ref="G6">COUNT(IF(Referee1=$A6,IF(HomeTeam=G$4,1)))+COUNT(IF(Referee2=$A6,IF(HomeTeam=G$4,1)))</f>
        <v>2</v>
      </c>
      <c r="H6" s="8">
        <f t="array" ref="H6">COUNT(IF(Referee1=$A6,IF(HomeTeam=H$4,1)))+COUNT(IF(Referee2=$A6,IF(HomeTeam=H$4,1)))</f>
        <v>0</v>
      </c>
      <c r="I6" s="8">
        <f t="array" ref="I6">COUNT(IF(Referee1=$A6,IF(HomeTeam=I$4,1)))+COUNT(IF(Referee2=$A6,IF(HomeTeam=I$4,1)))</f>
        <v>2</v>
      </c>
      <c r="J6" s="8">
        <f t="array" ref="J6">COUNT(IF(Referee1=$A6,IF(HomeTeam=J$4,1)))+COUNT(IF(Referee2=$A6,IF(HomeTeam=J$4,1)))</f>
        <v>0</v>
      </c>
      <c r="K6" s="8">
        <f t="array" ref="K6">COUNT(IF(Referee1=$A6,IF(HomeTeam=K$4,1)))+COUNT(IF(Referee2=$A6,IF(HomeTeam=K$4,1)))</f>
        <v>0</v>
      </c>
      <c r="L6" s="8">
        <f t="array" ref="L6">COUNT(IF(Referee1=$A6,IF(HomeTeam=L$4,1)))+COUNT(IF(Referee2=$A6,IF(HomeTeam=L$4,1)))</f>
        <v>0</v>
      </c>
      <c r="M6" s="8">
        <f t="array" ref="M6">COUNT(IF(Referee1=$A6,IF(HomeTeam=M$4,1)))+COUNT(IF(Referee2=$A6,IF(HomeTeam=M$4,1)))</f>
        <v>0</v>
      </c>
      <c r="N6" s="8">
        <f t="array" ref="N6">COUNT(IF(Referee1=$A6,IF(HomeTeam=N$4,1)))+COUNT(IF(Referee2=$A6,IF(HomeTeam=N$4,1)))</f>
        <v>0</v>
      </c>
      <c r="O6" s="8">
        <f t="array" ref="O6">COUNT(IF(Referee1=$A6,IF(HomeTeam=O$4,1)))+COUNT(IF(Referee2=$A6,IF(HomeTeam=O$4,1)))</f>
        <v>0</v>
      </c>
      <c r="P6" s="8">
        <f t="array" ref="P6">COUNT(IF(Referee1=$A6,IF(HomeTeam=P$4,1)))+COUNT(IF(Referee2=$A6,IF(HomeTeam=P$4,1)))</f>
        <v>0</v>
      </c>
      <c r="Q6" s="8">
        <f t="array" ref="Q6">COUNT(IF(Referee1=$A6,IF(HomeTeam=Q$4,1)))+COUNT(IF(Referee2=$A6,IF(HomeTeam=Q$4,1)))</f>
        <v>0</v>
      </c>
      <c r="R6" s="8">
        <f t="array" ref="R6">COUNT(IF(Referee1=$A6,IF(HomeTeam=R$4,1)))+COUNT(IF(Referee2=$A6,IF(HomeTeam=R$4,1)))</f>
        <v>0</v>
      </c>
      <c r="S6" s="8">
        <f t="array" ref="S6">COUNT(IF(Referee1=$A6,IF(HomeTeam=S$4,1)))+COUNT(IF(Referee2=$A6,IF(HomeTeam=S$4,1)))</f>
        <v>0</v>
      </c>
      <c r="T6" s="8">
        <f t="array" ref="T6">COUNT(IF(Referee1=$A6,IF(HomeTeam=T$4,1)))+COUNT(IF(Referee2=$A6,IF(HomeTeam=T$4,1)))</f>
        <v>0</v>
      </c>
      <c r="U6" s="8">
        <f t="array" ref="U6">COUNT(IF(Referee1=$A6,IF(HomeTeam=U$4,1)))+COUNT(IF(Referee2=$A6,IF(HomeTeam=U$4,1)))</f>
        <v>0</v>
      </c>
      <c r="V6" s="8">
        <f t="array" ref="V6">COUNT(IF(Referee1=$A6,IF(HomeTeam=V$4,1)))+COUNT(IF(Referee2=$A6,IF(HomeTeam=V$4,1)))</f>
        <v>0</v>
      </c>
      <c r="W6" s="8">
        <f t="array" ref="W6">COUNT(IF(Referee1=$A6,IF(AwayTeam=W$4,1)))+COUNT(IF(Referee2=$A6,IF(AwayTeam=W$4,1)))</f>
        <v>4</v>
      </c>
      <c r="X6" s="8">
        <f t="array" ref="X6">COUNT(IF(Referee1=$A6,IF(AwayTeam=X$4,1)))+COUNT(IF(Referee2=$A6,IF(AwayTeam=X$4,1)))</f>
        <v>2</v>
      </c>
      <c r="Y6" s="8">
        <f t="array" ref="Y6">COUNT(IF(Referee1=$A6,IF(AwayTeam=Y$4,1)))+COUNT(IF(Referee2=$A6,IF(AwayTeam=Y$4,1)))</f>
        <v>0</v>
      </c>
      <c r="Z6" s="8">
        <f t="array" ref="Z6">COUNT(IF(Referee1=$A6,IF(AwayTeam=Z$4,1)))+COUNT(IF(Referee2=$A6,IF(AwayTeam=Z$4,1)))</f>
        <v>1</v>
      </c>
      <c r="AA6" s="8">
        <f t="array" ref="AA6">COUNT(IF(Referee1=$A6,IF(AwayTeam=AA$4,1)))+COUNT(IF(Referee2=$A6,IF(AwayTeam=AA$4,1)))</f>
        <v>0</v>
      </c>
      <c r="AB6" s="8">
        <f t="array" ref="AB6">COUNT(IF(Referee1=$A6,IF(AwayTeam=AB$4,1)))+COUNT(IF(Referee2=$A6,IF(AwayTeam=AB$4,1)))</f>
        <v>0</v>
      </c>
      <c r="AC6" s="8">
        <f t="array" ref="AC6">COUNT(IF(Referee1=$A6,IF(AwayTeam=AC$4,1)))+COUNT(IF(Referee2=$A6,IF(AwayTeam=AC$4,1)))</f>
        <v>0</v>
      </c>
      <c r="AD6" s="8">
        <f t="array" ref="AD6">COUNT(IF(Referee1=$A6,IF(AwayTeam=AD$4,1)))+COUNT(IF(Referee2=$A6,IF(AwayTeam=AD$4,1)))</f>
        <v>0</v>
      </c>
      <c r="AE6" s="8">
        <f t="array" ref="AE6">COUNT(IF(Referee1=$A6,IF(AwayTeam=AE$4,1)))+COUNT(IF(Referee2=$A6,IF(AwayTeam=AE$4,1)))</f>
        <v>0</v>
      </c>
      <c r="AF6" s="8">
        <f t="array" ref="AF6">COUNT(IF(Referee1=$A6,IF(AwayTeam=AF$4,1)))+COUNT(IF(Referee2=$A6,IF(AwayTeam=AF$4,1)))</f>
        <v>0</v>
      </c>
      <c r="AG6" s="8">
        <f t="array" ref="AG6">COUNT(IF(Referee1=$A6,IF(AwayTeam=AG$4,1)))+COUNT(IF(Referee2=$A6,IF(AwayTeam=AG$4,1)))</f>
        <v>0</v>
      </c>
      <c r="AH6" s="8">
        <f t="array" ref="AH6">COUNT(IF(Referee1=$A6,IF(AwayTeam=AH$4,1)))+COUNT(IF(Referee2=$A6,IF(AwayTeam=AH$4,1)))</f>
        <v>1</v>
      </c>
      <c r="AI6" s="8">
        <f t="array" ref="AI6">COUNT(IF(Referee1=$A6,IF(AwayTeam=AI$4,1)))+COUNT(IF(Referee2=$A6,IF(AwayTeam=AI$4,1)))</f>
        <v>0</v>
      </c>
      <c r="AJ6" s="8">
        <f t="array" ref="AJ6">COUNT(IF(Referee1=$A6,IF(AwayTeam=AJ$4,1)))+COUNT(IF(Referee2=$A6,IF(AwayTeam=AJ$4,1)))</f>
        <v>1</v>
      </c>
      <c r="AK6" s="8">
        <f t="array" ref="AK6">COUNT(IF(Referee1=$A6,IF(AwayTeam=AK$4,1)))+COUNT(IF(Referee2=$A6,IF(AwayTeam=AK$4,1)))</f>
        <v>0</v>
      </c>
      <c r="AL6" s="8">
        <f t="array" ref="AL6">COUNT(IF(Referee1=$A6,IF(AwayTeam=AL$4,1)))+COUNT(IF(Referee2=$A6,IF(AwayTeam=AL$4,1)))</f>
        <v>0</v>
      </c>
      <c r="AM6" s="8">
        <f t="array" ref="AM6">COUNT(IF(Referee1=$A6,IF(AwayTeam=AM$4,1)))+COUNT(IF(Referee2=$A6,IF(AwayTeam=AM$4,1)))</f>
        <v>0</v>
      </c>
      <c r="AN6" s="8">
        <f t="array" ref="AN6">COUNT(IF(Referee1=$A6,IF(AwayTeam=AN$4,1)))+COUNT(IF(Referee2=$A6,IF(AwayTeam=AN$4,1)))</f>
        <v>0</v>
      </c>
      <c r="AO6" s="8">
        <f t="array" ref="AO6">COUNT(IF(Referee1=$A6,IF(AwayTeam=AO$4,1)))+COUNT(IF(Referee2=$A6,IF(AwayTeam=AO$4,1)))</f>
        <v>0</v>
      </c>
      <c r="AP6" s="8">
        <f t="array" ref="AP6">COUNT(IF(Referee1=$A6,IF(AwayTeam=AP$4,1)))+COUNT(IF(Referee2=$A6,IF(AwayTeam=AP$4,1)))</f>
        <v>0</v>
      </c>
    </row>
    <row r="7" spans="1:42" x14ac:dyDescent="0.2">
      <c r="A7" s="8" t="str">
        <f>IF(Info!A4&lt;&gt;0,Info!A4,"")</f>
        <v>Bloyer, Nolan</v>
      </c>
      <c r="B7" s="8">
        <f t="shared" si="0"/>
        <v>17</v>
      </c>
      <c r="C7" s="8">
        <f t="array" ref="C7">COUNT(IF(Referee1=$A7,IF(HomeTeam=C$4,1)))+COUNT(IF(Referee2=$A7,IF(HomeTeam=C$4,1)))</f>
        <v>4</v>
      </c>
      <c r="D7" s="8">
        <f t="array" ref="D7">COUNT(IF(Referee1=$A7,IF(HomeTeam=D$4,1)))+COUNT(IF(Referee2=$A7,IF(HomeTeam=D$4,1)))</f>
        <v>2</v>
      </c>
      <c r="E7" s="8">
        <f t="array" ref="E7">COUNT(IF(Referee1=$A7,IF(HomeTeam=E$4,1)))+COUNT(IF(Referee2=$A7,IF(HomeTeam=E$4,1)))</f>
        <v>1</v>
      </c>
      <c r="F7" s="8">
        <f t="array" ref="F7">COUNT(IF(Referee1=$A7,IF(HomeTeam=F$4,1)))+COUNT(IF(Referee2=$A7,IF(HomeTeam=F$4,1)))</f>
        <v>5</v>
      </c>
      <c r="G7" s="8">
        <f t="array" ref="G7">COUNT(IF(Referee1=$A7,IF(HomeTeam=G$4,1)))+COUNT(IF(Referee2=$A7,IF(HomeTeam=G$4,1)))</f>
        <v>0</v>
      </c>
      <c r="H7" s="8">
        <f t="array" ref="H7">COUNT(IF(Referee1=$A7,IF(HomeTeam=H$4,1)))+COUNT(IF(Referee2=$A7,IF(HomeTeam=H$4,1)))</f>
        <v>1</v>
      </c>
      <c r="I7" s="8">
        <f t="array" ref="I7">COUNT(IF(Referee1=$A7,IF(HomeTeam=I$4,1)))+COUNT(IF(Referee2=$A7,IF(HomeTeam=I$4,1)))</f>
        <v>1</v>
      </c>
      <c r="J7" s="8">
        <f t="array" ref="J7">COUNT(IF(Referee1=$A7,IF(HomeTeam=J$4,1)))+COUNT(IF(Referee2=$A7,IF(HomeTeam=J$4,1)))</f>
        <v>0</v>
      </c>
      <c r="K7" s="8">
        <f t="array" ref="K7">COUNT(IF(Referee1=$A7,IF(HomeTeam=K$4,1)))+COUNT(IF(Referee2=$A7,IF(HomeTeam=K$4,1)))</f>
        <v>0</v>
      </c>
      <c r="L7" s="8">
        <f t="array" ref="L7">COUNT(IF(Referee1=$A7,IF(HomeTeam=L$4,1)))+COUNT(IF(Referee2=$A7,IF(HomeTeam=L$4,1)))</f>
        <v>0</v>
      </c>
      <c r="M7" s="8">
        <f t="array" ref="M7">COUNT(IF(Referee1=$A7,IF(HomeTeam=M$4,1)))+COUNT(IF(Referee2=$A7,IF(HomeTeam=M$4,1)))</f>
        <v>0</v>
      </c>
      <c r="N7" s="8">
        <f t="array" ref="N7">COUNT(IF(Referee1=$A7,IF(HomeTeam=N$4,1)))+COUNT(IF(Referee2=$A7,IF(HomeTeam=N$4,1)))</f>
        <v>0</v>
      </c>
      <c r="O7" s="8">
        <f t="array" ref="O7">COUNT(IF(Referee1=$A7,IF(HomeTeam=O$4,1)))+COUNT(IF(Referee2=$A7,IF(HomeTeam=O$4,1)))</f>
        <v>2</v>
      </c>
      <c r="P7" s="8">
        <f t="array" ref="P7">COUNT(IF(Referee1=$A7,IF(HomeTeam=P$4,1)))+COUNT(IF(Referee2=$A7,IF(HomeTeam=P$4,1)))</f>
        <v>0</v>
      </c>
      <c r="Q7" s="8">
        <f t="array" ref="Q7">COUNT(IF(Referee1=$A7,IF(HomeTeam=Q$4,1)))+COUNT(IF(Referee2=$A7,IF(HomeTeam=Q$4,1)))</f>
        <v>1</v>
      </c>
      <c r="R7" s="8">
        <f t="array" ref="R7">COUNT(IF(Referee1=$A7,IF(HomeTeam=R$4,1)))+COUNT(IF(Referee2=$A7,IF(HomeTeam=R$4,1)))</f>
        <v>0</v>
      </c>
      <c r="S7" s="8">
        <f t="array" ref="S7">COUNT(IF(Referee1=$A7,IF(HomeTeam=S$4,1)))+COUNT(IF(Referee2=$A7,IF(HomeTeam=S$4,1)))</f>
        <v>0</v>
      </c>
      <c r="T7" s="8">
        <f t="array" ref="T7">COUNT(IF(Referee1=$A7,IF(HomeTeam=T$4,1)))+COUNT(IF(Referee2=$A7,IF(HomeTeam=T$4,1)))</f>
        <v>0</v>
      </c>
      <c r="U7" s="8">
        <f t="array" ref="U7">COUNT(IF(Referee1=$A7,IF(HomeTeam=U$4,1)))+COUNT(IF(Referee2=$A7,IF(HomeTeam=U$4,1)))</f>
        <v>0</v>
      </c>
      <c r="V7" s="8">
        <f t="array" ref="V7">COUNT(IF(Referee1=$A7,IF(HomeTeam=V$4,1)))+COUNT(IF(Referee2=$A7,IF(HomeTeam=V$4,1)))</f>
        <v>0</v>
      </c>
      <c r="W7" s="8">
        <f t="array" ref="W7">COUNT(IF(Referee1=$A7,IF(AwayTeam=W$4,1)))+COUNT(IF(Referee2=$A7,IF(AwayTeam=W$4,1)))</f>
        <v>3</v>
      </c>
      <c r="X7" s="8">
        <f t="array" ref="X7">COUNT(IF(Referee1=$A7,IF(AwayTeam=X$4,1)))+COUNT(IF(Referee2=$A7,IF(AwayTeam=X$4,1)))</f>
        <v>1</v>
      </c>
      <c r="Y7" s="8">
        <f t="array" ref="Y7">COUNT(IF(Referee1=$A7,IF(AwayTeam=Y$4,1)))+COUNT(IF(Referee2=$A7,IF(AwayTeam=Y$4,1)))</f>
        <v>0</v>
      </c>
      <c r="Z7" s="8">
        <f t="array" ref="Z7">COUNT(IF(Referee1=$A7,IF(AwayTeam=Z$4,1)))+COUNT(IF(Referee2=$A7,IF(AwayTeam=Z$4,1)))</f>
        <v>5</v>
      </c>
      <c r="AA7" s="8">
        <f t="array" ref="AA7">COUNT(IF(Referee1=$A7,IF(AwayTeam=AA$4,1)))+COUNT(IF(Referee2=$A7,IF(AwayTeam=AA$4,1)))</f>
        <v>0</v>
      </c>
      <c r="AB7" s="8">
        <f t="array" ref="AB7">COUNT(IF(Referee1=$A7,IF(AwayTeam=AB$4,1)))+COUNT(IF(Referee2=$A7,IF(AwayTeam=AB$4,1)))</f>
        <v>0</v>
      </c>
      <c r="AC7" s="8">
        <f t="array" ref="AC7">COUNT(IF(Referee1=$A7,IF(AwayTeam=AC$4,1)))+COUNT(IF(Referee2=$A7,IF(AwayTeam=AC$4,1)))</f>
        <v>2</v>
      </c>
      <c r="AD7" s="8">
        <f t="array" ref="AD7">COUNT(IF(Referee1=$A7,IF(AwayTeam=AD$4,1)))+COUNT(IF(Referee2=$A7,IF(AwayTeam=AD$4,1)))</f>
        <v>1</v>
      </c>
      <c r="AE7" s="8">
        <f t="array" ref="AE7">COUNT(IF(Referee1=$A7,IF(AwayTeam=AE$4,1)))+COUNT(IF(Referee2=$A7,IF(AwayTeam=AE$4,1)))</f>
        <v>0</v>
      </c>
      <c r="AF7" s="8">
        <f t="array" ref="AF7">COUNT(IF(Referee1=$A7,IF(AwayTeam=AF$4,1)))+COUNT(IF(Referee2=$A7,IF(AwayTeam=AF$4,1)))</f>
        <v>0</v>
      </c>
      <c r="AG7" s="8">
        <f t="array" ref="AG7">COUNT(IF(Referee1=$A7,IF(AwayTeam=AG$4,1)))+COUNT(IF(Referee2=$A7,IF(AwayTeam=AG$4,1)))</f>
        <v>1</v>
      </c>
      <c r="AH7" s="8">
        <f t="array" ref="AH7">COUNT(IF(Referee1=$A7,IF(AwayTeam=AH$4,1)))+COUNT(IF(Referee2=$A7,IF(AwayTeam=AH$4,1)))</f>
        <v>0</v>
      </c>
      <c r="AI7" s="8">
        <f t="array" ref="AI7">COUNT(IF(Referee1=$A7,IF(AwayTeam=AI$4,1)))+COUNT(IF(Referee2=$A7,IF(AwayTeam=AI$4,1)))</f>
        <v>2</v>
      </c>
      <c r="AJ7" s="8">
        <f t="array" ref="AJ7">COUNT(IF(Referee1=$A7,IF(AwayTeam=AJ$4,1)))+COUNT(IF(Referee2=$A7,IF(AwayTeam=AJ$4,1)))</f>
        <v>0</v>
      </c>
      <c r="AK7" s="8">
        <f t="array" ref="AK7">COUNT(IF(Referee1=$A7,IF(AwayTeam=AK$4,1)))+COUNT(IF(Referee2=$A7,IF(AwayTeam=AK$4,1)))</f>
        <v>1</v>
      </c>
      <c r="AL7" s="8">
        <f t="array" ref="AL7">COUNT(IF(Referee1=$A7,IF(AwayTeam=AL$4,1)))+COUNT(IF(Referee2=$A7,IF(AwayTeam=AL$4,1)))</f>
        <v>1</v>
      </c>
      <c r="AM7" s="8">
        <f t="array" ref="AM7">COUNT(IF(Referee1=$A7,IF(AwayTeam=AM$4,1)))+COUNT(IF(Referee2=$A7,IF(AwayTeam=AM$4,1)))</f>
        <v>0</v>
      </c>
      <c r="AN7" s="8">
        <f t="array" ref="AN7">COUNT(IF(Referee1=$A7,IF(AwayTeam=AN$4,1)))+COUNT(IF(Referee2=$A7,IF(AwayTeam=AN$4,1)))</f>
        <v>0</v>
      </c>
      <c r="AO7" s="8">
        <f t="array" ref="AO7">COUNT(IF(Referee1=$A7,IF(AwayTeam=AO$4,1)))+COUNT(IF(Referee2=$A7,IF(AwayTeam=AO$4,1)))</f>
        <v>0</v>
      </c>
      <c r="AP7" s="8">
        <f t="array" ref="AP7">COUNT(IF(Referee1=$A7,IF(AwayTeam=AP$4,1)))+COUNT(IF(Referee2=$A7,IF(AwayTeam=AP$4,1)))</f>
        <v>0</v>
      </c>
    </row>
    <row r="8" spans="1:42" x14ac:dyDescent="0.2">
      <c r="A8" s="8" t="str">
        <f>IF(Info!A5&lt;&gt;0,Info!A5,"")</f>
        <v>Corbett, Kevin</v>
      </c>
      <c r="B8" s="8">
        <f t="shared" si="0"/>
        <v>11</v>
      </c>
      <c r="C8" s="8">
        <f t="array" ref="C8">COUNT(IF(Referee1=$A8,IF(HomeTeam=C$4,1)))+COUNT(IF(Referee2=$A8,IF(HomeTeam=C$4,1)))</f>
        <v>1</v>
      </c>
      <c r="D8" s="8">
        <f t="array" ref="D8">COUNT(IF(Referee1=$A8,IF(HomeTeam=D$4,1)))+COUNT(IF(Referee2=$A8,IF(HomeTeam=D$4,1)))</f>
        <v>1</v>
      </c>
      <c r="E8" s="8">
        <f t="array" ref="E8">COUNT(IF(Referee1=$A8,IF(HomeTeam=E$4,1)))+COUNT(IF(Referee2=$A8,IF(HomeTeam=E$4,1)))</f>
        <v>1</v>
      </c>
      <c r="F8" s="8">
        <f t="array" ref="F8">COUNT(IF(Referee1=$A8,IF(HomeTeam=F$4,1)))+COUNT(IF(Referee2=$A8,IF(HomeTeam=F$4,1)))</f>
        <v>3</v>
      </c>
      <c r="G8" s="8">
        <f t="array" ref="G8">COUNT(IF(Referee1=$A8,IF(HomeTeam=G$4,1)))+COUNT(IF(Referee2=$A8,IF(HomeTeam=G$4,1)))</f>
        <v>0</v>
      </c>
      <c r="H8" s="8">
        <f t="array" ref="H8">COUNT(IF(Referee1=$A8,IF(HomeTeam=H$4,1)))+COUNT(IF(Referee2=$A8,IF(HomeTeam=H$4,1)))</f>
        <v>0</v>
      </c>
      <c r="I8" s="8">
        <f t="array" ref="I8">COUNT(IF(Referee1=$A8,IF(HomeTeam=I$4,1)))+COUNT(IF(Referee2=$A8,IF(HomeTeam=I$4,1)))</f>
        <v>1</v>
      </c>
      <c r="J8" s="8">
        <f t="array" ref="J8">COUNT(IF(Referee1=$A8,IF(HomeTeam=J$4,1)))+COUNT(IF(Referee2=$A8,IF(HomeTeam=J$4,1)))</f>
        <v>0</v>
      </c>
      <c r="K8" s="8">
        <f t="array" ref="K8">COUNT(IF(Referee1=$A8,IF(HomeTeam=K$4,1)))+COUNT(IF(Referee2=$A8,IF(HomeTeam=K$4,1)))</f>
        <v>0</v>
      </c>
      <c r="L8" s="8">
        <f t="array" ref="L8">COUNT(IF(Referee1=$A8,IF(HomeTeam=L$4,1)))+COUNT(IF(Referee2=$A8,IF(HomeTeam=L$4,1)))</f>
        <v>0</v>
      </c>
      <c r="M8" s="8">
        <f t="array" ref="M8">COUNT(IF(Referee1=$A8,IF(HomeTeam=M$4,1)))+COUNT(IF(Referee2=$A8,IF(HomeTeam=M$4,1)))</f>
        <v>1</v>
      </c>
      <c r="N8" s="8">
        <f t="array" ref="N8">COUNT(IF(Referee1=$A8,IF(HomeTeam=N$4,1)))+COUNT(IF(Referee2=$A8,IF(HomeTeam=N$4,1)))</f>
        <v>1</v>
      </c>
      <c r="O8" s="8">
        <f t="array" ref="O8">COUNT(IF(Referee1=$A8,IF(HomeTeam=O$4,1)))+COUNT(IF(Referee2=$A8,IF(HomeTeam=O$4,1)))</f>
        <v>1</v>
      </c>
      <c r="P8" s="8">
        <f t="array" ref="P8">COUNT(IF(Referee1=$A8,IF(HomeTeam=P$4,1)))+COUNT(IF(Referee2=$A8,IF(HomeTeam=P$4,1)))</f>
        <v>0</v>
      </c>
      <c r="Q8" s="8">
        <f t="array" ref="Q8">COUNT(IF(Referee1=$A8,IF(HomeTeam=Q$4,1)))+COUNT(IF(Referee2=$A8,IF(HomeTeam=Q$4,1)))</f>
        <v>0</v>
      </c>
      <c r="R8" s="8">
        <f t="array" ref="R8">COUNT(IF(Referee1=$A8,IF(HomeTeam=R$4,1)))+COUNT(IF(Referee2=$A8,IF(HomeTeam=R$4,1)))</f>
        <v>0</v>
      </c>
      <c r="S8" s="8">
        <f t="array" ref="S8">COUNT(IF(Referee1=$A8,IF(HomeTeam=S$4,1)))+COUNT(IF(Referee2=$A8,IF(HomeTeam=S$4,1)))</f>
        <v>1</v>
      </c>
      <c r="T8" s="8">
        <f t="array" ref="T8">COUNT(IF(Referee1=$A8,IF(HomeTeam=T$4,1)))+COUNT(IF(Referee2=$A8,IF(HomeTeam=T$4,1)))</f>
        <v>0</v>
      </c>
      <c r="U8" s="8">
        <f t="array" ref="U8">COUNT(IF(Referee1=$A8,IF(HomeTeam=U$4,1)))+COUNT(IF(Referee2=$A8,IF(HomeTeam=U$4,1)))</f>
        <v>0</v>
      </c>
      <c r="V8" s="8">
        <f t="array" ref="V8">COUNT(IF(Referee1=$A8,IF(HomeTeam=V$4,1)))+COUNT(IF(Referee2=$A8,IF(HomeTeam=V$4,1)))</f>
        <v>0</v>
      </c>
      <c r="W8" s="8">
        <f t="array" ref="W8">COUNT(IF(Referee1=$A8,IF(AwayTeam=W$4,1)))+COUNT(IF(Referee2=$A8,IF(AwayTeam=W$4,1)))</f>
        <v>2</v>
      </c>
      <c r="X8" s="8">
        <f t="array" ref="X8">COUNT(IF(Referee1=$A8,IF(AwayTeam=X$4,1)))+COUNT(IF(Referee2=$A8,IF(AwayTeam=X$4,1)))</f>
        <v>3</v>
      </c>
      <c r="Y8" s="8">
        <f t="array" ref="Y8">COUNT(IF(Referee1=$A8,IF(AwayTeam=Y$4,1)))+COUNT(IF(Referee2=$A8,IF(AwayTeam=Y$4,1)))</f>
        <v>0</v>
      </c>
      <c r="Z8" s="8">
        <f t="array" ref="Z8">COUNT(IF(Referee1=$A8,IF(AwayTeam=Z$4,1)))+COUNT(IF(Referee2=$A8,IF(AwayTeam=Z$4,1)))</f>
        <v>1</v>
      </c>
      <c r="AA8" s="8">
        <f t="array" ref="AA8">COUNT(IF(Referee1=$A8,IF(AwayTeam=AA$4,1)))+COUNT(IF(Referee2=$A8,IF(AwayTeam=AA$4,1)))</f>
        <v>0</v>
      </c>
      <c r="AB8" s="8">
        <f t="array" ref="AB8">COUNT(IF(Referee1=$A8,IF(AwayTeam=AB$4,1)))+COUNT(IF(Referee2=$A8,IF(AwayTeam=AB$4,1)))</f>
        <v>0</v>
      </c>
      <c r="AC8" s="8">
        <f t="array" ref="AC8">COUNT(IF(Referee1=$A8,IF(AwayTeam=AC$4,1)))+COUNT(IF(Referee2=$A8,IF(AwayTeam=AC$4,1)))</f>
        <v>0</v>
      </c>
      <c r="AD8" s="8">
        <f t="array" ref="AD8">COUNT(IF(Referee1=$A8,IF(AwayTeam=AD$4,1)))+COUNT(IF(Referee2=$A8,IF(AwayTeam=AD$4,1)))</f>
        <v>2</v>
      </c>
      <c r="AE8" s="8">
        <f t="array" ref="AE8">COUNT(IF(Referee1=$A8,IF(AwayTeam=AE$4,1)))+COUNT(IF(Referee2=$A8,IF(AwayTeam=AE$4,1)))</f>
        <v>0</v>
      </c>
      <c r="AF8" s="8">
        <f t="array" ref="AF8">COUNT(IF(Referee1=$A8,IF(AwayTeam=AF$4,1)))+COUNT(IF(Referee2=$A8,IF(AwayTeam=AF$4,1)))</f>
        <v>0</v>
      </c>
      <c r="AG8" s="8">
        <f t="array" ref="AG8">COUNT(IF(Referee1=$A8,IF(AwayTeam=AG$4,1)))+COUNT(IF(Referee2=$A8,IF(AwayTeam=AG$4,1)))</f>
        <v>2</v>
      </c>
      <c r="AH8" s="8">
        <f t="array" ref="AH8">COUNT(IF(Referee1=$A8,IF(AwayTeam=AH$4,1)))+COUNT(IF(Referee2=$A8,IF(AwayTeam=AH$4,1)))</f>
        <v>0</v>
      </c>
      <c r="AI8" s="8">
        <f t="array" ref="AI8">COUNT(IF(Referee1=$A8,IF(AwayTeam=AI$4,1)))+COUNT(IF(Referee2=$A8,IF(AwayTeam=AI$4,1)))</f>
        <v>0</v>
      </c>
      <c r="AJ8" s="8">
        <f t="array" ref="AJ8">COUNT(IF(Referee1=$A8,IF(AwayTeam=AJ$4,1)))+COUNT(IF(Referee2=$A8,IF(AwayTeam=AJ$4,1)))</f>
        <v>1</v>
      </c>
      <c r="AK8" s="8">
        <f t="array" ref="AK8">COUNT(IF(Referee1=$A8,IF(AwayTeam=AK$4,1)))+COUNT(IF(Referee2=$A8,IF(AwayTeam=AK$4,1)))</f>
        <v>0</v>
      </c>
      <c r="AL8" s="8">
        <f t="array" ref="AL8">COUNT(IF(Referee1=$A8,IF(AwayTeam=AL$4,1)))+COUNT(IF(Referee2=$A8,IF(AwayTeam=AL$4,1)))</f>
        <v>0</v>
      </c>
      <c r="AM8" s="8">
        <f t="array" ref="AM8">COUNT(IF(Referee1=$A8,IF(AwayTeam=AM$4,1)))+COUNT(IF(Referee2=$A8,IF(AwayTeam=AM$4,1)))</f>
        <v>0</v>
      </c>
      <c r="AN8" s="8">
        <f t="array" ref="AN8">COUNT(IF(Referee1=$A8,IF(AwayTeam=AN$4,1)))+COUNT(IF(Referee2=$A8,IF(AwayTeam=AN$4,1)))</f>
        <v>0</v>
      </c>
      <c r="AO8" s="8">
        <f t="array" ref="AO8">COUNT(IF(Referee1=$A8,IF(AwayTeam=AO$4,1)))+COUNT(IF(Referee2=$A8,IF(AwayTeam=AO$4,1)))</f>
        <v>0</v>
      </c>
      <c r="AP8" s="8">
        <f t="array" ref="AP8">COUNT(IF(Referee1=$A8,IF(AwayTeam=AP$4,1)))+COUNT(IF(Referee2=$A8,IF(AwayTeam=AP$4,1)))</f>
        <v>0</v>
      </c>
    </row>
    <row r="9" spans="1:42" x14ac:dyDescent="0.2">
      <c r="A9" s="8" t="str">
        <f>IF(Info!A6&lt;&gt;0,Info!A6,"")</f>
        <v>Esposito, Robert</v>
      </c>
      <c r="B9" s="8">
        <f t="shared" si="0"/>
        <v>4</v>
      </c>
      <c r="C9" s="8">
        <f t="array" ref="C9">COUNT(IF(Referee1=$A9,IF(HomeTeam=C$4,1)))+COUNT(IF(Referee2=$A9,IF(HomeTeam=C$4,1)))</f>
        <v>0</v>
      </c>
      <c r="D9" s="8">
        <f t="array" ref="D9">COUNT(IF(Referee1=$A9,IF(HomeTeam=D$4,1)))+COUNT(IF(Referee2=$A9,IF(HomeTeam=D$4,1)))</f>
        <v>0</v>
      </c>
      <c r="E9" s="8">
        <f t="array" ref="E9">COUNT(IF(Referee1=$A9,IF(HomeTeam=E$4,1)))+COUNT(IF(Referee2=$A9,IF(HomeTeam=E$4,1)))</f>
        <v>0</v>
      </c>
      <c r="F9" s="8">
        <f t="array" ref="F9">COUNT(IF(Referee1=$A9,IF(HomeTeam=F$4,1)))+COUNT(IF(Referee2=$A9,IF(HomeTeam=F$4,1)))</f>
        <v>0</v>
      </c>
      <c r="G9" s="8">
        <f t="array" ref="G9">COUNT(IF(Referee1=$A9,IF(HomeTeam=G$4,1)))+COUNT(IF(Referee2=$A9,IF(HomeTeam=G$4,1)))</f>
        <v>1</v>
      </c>
      <c r="H9" s="8">
        <f t="array" ref="H9">COUNT(IF(Referee1=$A9,IF(HomeTeam=H$4,1)))+COUNT(IF(Referee2=$A9,IF(HomeTeam=H$4,1)))</f>
        <v>1</v>
      </c>
      <c r="I9" s="8">
        <f t="array" ref="I9">COUNT(IF(Referee1=$A9,IF(HomeTeam=I$4,1)))+COUNT(IF(Referee2=$A9,IF(HomeTeam=I$4,1)))</f>
        <v>0</v>
      </c>
      <c r="J9" s="8">
        <f t="array" ref="J9">COUNT(IF(Referee1=$A9,IF(HomeTeam=J$4,1)))+COUNT(IF(Referee2=$A9,IF(HomeTeam=J$4,1)))</f>
        <v>1</v>
      </c>
      <c r="K9" s="8">
        <f t="array" ref="K9">COUNT(IF(Referee1=$A9,IF(HomeTeam=K$4,1)))+COUNT(IF(Referee2=$A9,IF(HomeTeam=K$4,1)))</f>
        <v>0</v>
      </c>
      <c r="L9" s="8">
        <f t="array" ref="L9">COUNT(IF(Referee1=$A9,IF(HomeTeam=L$4,1)))+COUNT(IF(Referee2=$A9,IF(HomeTeam=L$4,1)))</f>
        <v>0</v>
      </c>
      <c r="M9" s="8">
        <f t="array" ref="M9">COUNT(IF(Referee1=$A9,IF(HomeTeam=M$4,1)))+COUNT(IF(Referee2=$A9,IF(HomeTeam=M$4,1)))</f>
        <v>0</v>
      </c>
      <c r="N9" s="8">
        <f t="array" ref="N9">COUNT(IF(Referee1=$A9,IF(HomeTeam=N$4,1)))+COUNT(IF(Referee2=$A9,IF(HomeTeam=N$4,1)))</f>
        <v>0</v>
      </c>
      <c r="O9" s="8">
        <f t="array" ref="O9">COUNT(IF(Referee1=$A9,IF(HomeTeam=O$4,1)))+COUNT(IF(Referee2=$A9,IF(HomeTeam=O$4,1)))</f>
        <v>1</v>
      </c>
      <c r="P9" s="8">
        <f t="array" ref="P9">COUNT(IF(Referee1=$A9,IF(HomeTeam=P$4,1)))+COUNT(IF(Referee2=$A9,IF(HomeTeam=P$4,1)))</f>
        <v>0</v>
      </c>
      <c r="Q9" s="8">
        <f t="array" ref="Q9">COUNT(IF(Referee1=$A9,IF(HomeTeam=Q$4,1)))+COUNT(IF(Referee2=$A9,IF(HomeTeam=Q$4,1)))</f>
        <v>0</v>
      </c>
      <c r="R9" s="8">
        <f t="array" ref="R9">COUNT(IF(Referee1=$A9,IF(HomeTeam=R$4,1)))+COUNT(IF(Referee2=$A9,IF(HomeTeam=R$4,1)))</f>
        <v>0</v>
      </c>
      <c r="S9" s="8">
        <f t="array" ref="S9">COUNT(IF(Referee1=$A9,IF(HomeTeam=S$4,1)))+COUNT(IF(Referee2=$A9,IF(HomeTeam=S$4,1)))</f>
        <v>0</v>
      </c>
      <c r="T9" s="8">
        <f t="array" ref="T9">COUNT(IF(Referee1=$A9,IF(HomeTeam=T$4,1)))+COUNT(IF(Referee2=$A9,IF(HomeTeam=T$4,1)))</f>
        <v>0</v>
      </c>
      <c r="U9" s="8">
        <f t="array" ref="U9">COUNT(IF(Referee1=$A9,IF(HomeTeam=U$4,1)))+COUNT(IF(Referee2=$A9,IF(HomeTeam=U$4,1)))</f>
        <v>0</v>
      </c>
      <c r="V9" s="8">
        <f t="array" ref="V9">COUNT(IF(Referee1=$A9,IF(HomeTeam=V$4,1)))+COUNT(IF(Referee2=$A9,IF(HomeTeam=V$4,1)))</f>
        <v>0</v>
      </c>
      <c r="W9" s="8">
        <f t="array" ref="W9">COUNT(IF(Referee1=$A9,IF(AwayTeam=W$4,1)))+COUNT(IF(Referee2=$A9,IF(AwayTeam=W$4,1)))</f>
        <v>2</v>
      </c>
      <c r="X9" s="8">
        <f t="array" ref="X9">COUNT(IF(Referee1=$A9,IF(AwayTeam=X$4,1)))+COUNT(IF(Referee2=$A9,IF(AwayTeam=X$4,1)))</f>
        <v>0</v>
      </c>
      <c r="Y9" s="8">
        <f t="array" ref="Y9">COUNT(IF(Referee1=$A9,IF(AwayTeam=Y$4,1)))+COUNT(IF(Referee2=$A9,IF(AwayTeam=Y$4,1)))</f>
        <v>0</v>
      </c>
      <c r="Z9" s="8">
        <f t="array" ref="Z9">COUNT(IF(Referee1=$A9,IF(AwayTeam=Z$4,1)))+COUNT(IF(Referee2=$A9,IF(AwayTeam=Z$4,1)))</f>
        <v>2</v>
      </c>
      <c r="AA9" s="8">
        <f t="array" ref="AA9">COUNT(IF(Referee1=$A9,IF(AwayTeam=AA$4,1)))+COUNT(IF(Referee2=$A9,IF(AwayTeam=AA$4,1)))</f>
        <v>0</v>
      </c>
      <c r="AB9" s="8">
        <f t="array" ref="AB9">COUNT(IF(Referee1=$A9,IF(AwayTeam=AB$4,1)))+COUNT(IF(Referee2=$A9,IF(AwayTeam=AB$4,1)))</f>
        <v>0</v>
      </c>
      <c r="AC9" s="8">
        <f t="array" ref="AC9">COUNT(IF(Referee1=$A9,IF(AwayTeam=AC$4,1)))+COUNT(IF(Referee2=$A9,IF(AwayTeam=AC$4,1)))</f>
        <v>0</v>
      </c>
      <c r="AD9" s="8">
        <f t="array" ref="AD9">COUNT(IF(Referee1=$A9,IF(AwayTeam=AD$4,1)))+COUNT(IF(Referee2=$A9,IF(AwayTeam=AD$4,1)))</f>
        <v>0</v>
      </c>
      <c r="AE9" s="8">
        <f t="array" ref="AE9">COUNT(IF(Referee1=$A9,IF(AwayTeam=AE$4,1)))+COUNT(IF(Referee2=$A9,IF(AwayTeam=AE$4,1)))</f>
        <v>0</v>
      </c>
      <c r="AF9" s="8">
        <f t="array" ref="AF9">COUNT(IF(Referee1=$A9,IF(AwayTeam=AF$4,1)))+COUNT(IF(Referee2=$A9,IF(AwayTeam=AF$4,1)))</f>
        <v>0</v>
      </c>
      <c r="AG9" s="8">
        <f t="array" ref="AG9">COUNT(IF(Referee1=$A9,IF(AwayTeam=AG$4,1)))+COUNT(IF(Referee2=$A9,IF(AwayTeam=AG$4,1)))</f>
        <v>0</v>
      </c>
      <c r="AH9" s="8">
        <f t="array" ref="AH9">COUNT(IF(Referee1=$A9,IF(AwayTeam=AH$4,1)))+COUNT(IF(Referee2=$A9,IF(AwayTeam=AH$4,1)))</f>
        <v>0</v>
      </c>
      <c r="AI9" s="8">
        <f t="array" ref="AI9">COUNT(IF(Referee1=$A9,IF(AwayTeam=AI$4,1)))+COUNT(IF(Referee2=$A9,IF(AwayTeam=AI$4,1)))</f>
        <v>0</v>
      </c>
      <c r="AJ9" s="8">
        <f t="array" ref="AJ9">COUNT(IF(Referee1=$A9,IF(AwayTeam=AJ$4,1)))+COUNT(IF(Referee2=$A9,IF(AwayTeam=AJ$4,1)))</f>
        <v>0</v>
      </c>
      <c r="AK9" s="8">
        <f t="array" ref="AK9">COUNT(IF(Referee1=$A9,IF(AwayTeam=AK$4,1)))+COUNT(IF(Referee2=$A9,IF(AwayTeam=AK$4,1)))</f>
        <v>0</v>
      </c>
      <c r="AL9" s="8">
        <f t="array" ref="AL9">COUNT(IF(Referee1=$A9,IF(AwayTeam=AL$4,1)))+COUNT(IF(Referee2=$A9,IF(AwayTeam=AL$4,1)))</f>
        <v>0</v>
      </c>
      <c r="AM9" s="8">
        <f t="array" ref="AM9">COUNT(IF(Referee1=$A9,IF(AwayTeam=AM$4,1)))+COUNT(IF(Referee2=$A9,IF(AwayTeam=AM$4,1)))</f>
        <v>0</v>
      </c>
      <c r="AN9" s="8">
        <f t="array" ref="AN9">COUNT(IF(Referee1=$A9,IF(AwayTeam=AN$4,1)))+COUNT(IF(Referee2=$A9,IF(AwayTeam=AN$4,1)))</f>
        <v>0</v>
      </c>
      <c r="AO9" s="8">
        <f t="array" ref="AO9">COUNT(IF(Referee1=$A9,IF(AwayTeam=AO$4,1)))+COUNT(IF(Referee2=$A9,IF(AwayTeam=AO$4,1)))</f>
        <v>0</v>
      </c>
      <c r="AP9" s="8">
        <f t="array" ref="AP9">COUNT(IF(Referee1=$A9,IF(AwayTeam=AP$4,1)))+COUNT(IF(Referee2=$A9,IF(AwayTeam=AP$4,1)))</f>
        <v>0</v>
      </c>
    </row>
    <row r="10" spans="1:42" x14ac:dyDescent="0.2">
      <c r="A10" s="8" t="str">
        <f>IF(Info!A7&lt;&gt;0,Info!A7,"")</f>
        <v>Fernandez, Sean</v>
      </c>
      <c r="B10" s="8">
        <f t="shared" si="0"/>
        <v>2</v>
      </c>
      <c r="C10" s="8">
        <f t="array" ref="C10">COUNT(IF(Referee1=$A10,IF(HomeTeam=C$4,1)))+COUNT(IF(Referee2=$A10,IF(HomeTeam=C$4,1)))</f>
        <v>0</v>
      </c>
      <c r="D10" s="8">
        <f t="array" ref="D10">COUNT(IF(Referee1=$A10,IF(HomeTeam=D$4,1)))+COUNT(IF(Referee2=$A10,IF(HomeTeam=D$4,1)))</f>
        <v>0</v>
      </c>
      <c r="E10" s="8">
        <f t="array" ref="E10">COUNT(IF(Referee1=$A10,IF(HomeTeam=E$4,1)))+COUNT(IF(Referee2=$A10,IF(HomeTeam=E$4,1)))</f>
        <v>0</v>
      </c>
      <c r="F10" s="8">
        <f t="array" ref="F10">COUNT(IF(Referee1=$A10,IF(HomeTeam=F$4,1)))+COUNT(IF(Referee2=$A10,IF(HomeTeam=F$4,1)))</f>
        <v>0</v>
      </c>
      <c r="G10" s="8">
        <f t="array" ref="G10">COUNT(IF(Referee1=$A10,IF(HomeTeam=G$4,1)))+COUNT(IF(Referee2=$A10,IF(HomeTeam=G$4,1)))</f>
        <v>0</v>
      </c>
      <c r="H10" s="8">
        <f t="array" ref="H10">COUNT(IF(Referee1=$A10,IF(HomeTeam=H$4,1)))+COUNT(IF(Referee2=$A10,IF(HomeTeam=H$4,1)))</f>
        <v>0</v>
      </c>
      <c r="I10" s="8">
        <f t="array" ref="I10">COUNT(IF(Referee1=$A10,IF(HomeTeam=I$4,1)))+COUNT(IF(Referee2=$A10,IF(HomeTeam=I$4,1)))</f>
        <v>0</v>
      </c>
      <c r="J10" s="8">
        <f t="array" ref="J10">COUNT(IF(Referee1=$A10,IF(HomeTeam=J$4,1)))+COUNT(IF(Referee2=$A10,IF(HomeTeam=J$4,1)))</f>
        <v>0</v>
      </c>
      <c r="K10" s="8">
        <f t="array" ref="K10">COUNT(IF(Referee1=$A10,IF(HomeTeam=K$4,1)))+COUNT(IF(Referee2=$A10,IF(HomeTeam=K$4,1)))</f>
        <v>0</v>
      </c>
      <c r="L10" s="8">
        <f t="array" ref="L10">COUNT(IF(Referee1=$A10,IF(HomeTeam=L$4,1)))+COUNT(IF(Referee2=$A10,IF(HomeTeam=L$4,1)))</f>
        <v>0</v>
      </c>
      <c r="M10" s="8">
        <f t="array" ref="M10">COUNT(IF(Referee1=$A10,IF(HomeTeam=M$4,1)))+COUNT(IF(Referee2=$A10,IF(HomeTeam=M$4,1)))</f>
        <v>0</v>
      </c>
      <c r="N10" s="8">
        <f t="array" ref="N10">COUNT(IF(Referee1=$A10,IF(HomeTeam=N$4,1)))+COUNT(IF(Referee2=$A10,IF(HomeTeam=N$4,1)))</f>
        <v>0</v>
      </c>
      <c r="O10" s="8">
        <f t="array" ref="O10">COUNT(IF(Referee1=$A10,IF(HomeTeam=O$4,1)))+COUNT(IF(Referee2=$A10,IF(HomeTeam=O$4,1)))</f>
        <v>0</v>
      </c>
      <c r="P10" s="8">
        <f t="array" ref="P10">COUNT(IF(Referee1=$A10,IF(HomeTeam=P$4,1)))+COUNT(IF(Referee2=$A10,IF(HomeTeam=P$4,1)))</f>
        <v>0</v>
      </c>
      <c r="Q10" s="8">
        <f t="array" ref="Q10">COUNT(IF(Referee1=$A10,IF(HomeTeam=Q$4,1)))+COUNT(IF(Referee2=$A10,IF(HomeTeam=Q$4,1)))</f>
        <v>0</v>
      </c>
      <c r="R10" s="8">
        <f t="array" ref="R10">COUNT(IF(Referee1=$A10,IF(HomeTeam=R$4,1)))+COUNT(IF(Referee2=$A10,IF(HomeTeam=R$4,1)))</f>
        <v>0</v>
      </c>
      <c r="S10" s="8">
        <f t="array" ref="S10">COUNT(IF(Referee1=$A10,IF(HomeTeam=S$4,1)))+COUNT(IF(Referee2=$A10,IF(HomeTeam=S$4,1)))</f>
        <v>2</v>
      </c>
      <c r="T10" s="8">
        <f t="array" ref="T10">COUNT(IF(Referee1=$A10,IF(HomeTeam=T$4,1)))+COUNT(IF(Referee2=$A10,IF(HomeTeam=T$4,1)))</f>
        <v>0</v>
      </c>
      <c r="U10" s="8">
        <f t="array" ref="U10">COUNT(IF(Referee1=$A10,IF(HomeTeam=U$4,1)))+COUNT(IF(Referee2=$A10,IF(HomeTeam=U$4,1)))</f>
        <v>0</v>
      </c>
      <c r="V10" s="8">
        <f t="array" ref="V10">COUNT(IF(Referee1=$A10,IF(HomeTeam=V$4,1)))+COUNT(IF(Referee2=$A10,IF(HomeTeam=V$4,1)))</f>
        <v>0</v>
      </c>
      <c r="W10" s="8">
        <f t="array" ref="W10">COUNT(IF(Referee1=$A10,IF(AwayTeam=W$4,1)))+COUNT(IF(Referee2=$A10,IF(AwayTeam=W$4,1)))</f>
        <v>2</v>
      </c>
      <c r="X10" s="8">
        <f t="array" ref="X10">COUNT(IF(Referee1=$A10,IF(AwayTeam=X$4,1)))+COUNT(IF(Referee2=$A10,IF(AwayTeam=X$4,1)))</f>
        <v>0</v>
      </c>
      <c r="Y10" s="8">
        <f t="array" ref="Y10">COUNT(IF(Referee1=$A10,IF(AwayTeam=Y$4,1)))+COUNT(IF(Referee2=$A10,IF(AwayTeam=Y$4,1)))</f>
        <v>0</v>
      </c>
      <c r="Z10" s="8">
        <f t="array" ref="Z10">COUNT(IF(Referee1=$A10,IF(AwayTeam=Z$4,1)))+COUNT(IF(Referee2=$A10,IF(AwayTeam=Z$4,1)))</f>
        <v>0</v>
      </c>
      <c r="AA10" s="8">
        <f t="array" ref="AA10">COUNT(IF(Referee1=$A10,IF(AwayTeam=AA$4,1)))+COUNT(IF(Referee2=$A10,IF(AwayTeam=AA$4,1)))</f>
        <v>0</v>
      </c>
      <c r="AB10" s="8">
        <f t="array" ref="AB10">COUNT(IF(Referee1=$A10,IF(AwayTeam=AB$4,1)))+COUNT(IF(Referee2=$A10,IF(AwayTeam=AB$4,1)))</f>
        <v>0</v>
      </c>
      <c r="AC10" s="8">
        <f t="array" ref="AC10">COUNT(IF(Referee1=$A10,IF(AwayTeam=AC$4,1)))+COUNT(IF(Referee2=$A10,IF(AwayTeam=AC$4,1)))</f>
        <v>0</v>
      </c>
      <c r="AD10" s="8">
        <f t="array" ref="AD10">COUNT(IF(Referee1=$A10,IF(AwayTeam=AD$4,1)))+COUNT(IF(Referee2=$A10,IF(AwayTeam=AD$4,1)))</f>
        <v>0</v>
      </c>
      <c r="AE10" s="8">
        <f t="array" ref="AE10">COUNT(IF(Referee1=$A10,IF(AwayTeam=AE$4,1)))+COUNT(IF(Referee2=$A10,IF(AwayTeam=AE$4,1)))</f>
        <v>0</v>
      </c>
      <c r="AF10" s="8">
        <f t="array" ref="AF10">COUNT(IF(Referee1=$A10,IF(AwayTeam=AF$4,1)))+COUNT(IF(Referee2=$A10,IF(AwayTeam=AF$4,1)))</f>
        <v>0</v>
      </c>
      <c r="AG10" s="8">
        <f t="array" ref="AG10">COUNT(IF(Referee1=$A10,IF(AwayTeam=AG$4,1)))+COUNT(IF(Referee2=$A10,IF(AwayTeam=AG$4,1)))</f>
        <v>0</v>
      </c>
      <c r="AH10" s="8">
        <f t="array" ref="AH10">COUNT(IF(Referee1=$A10,IF(AwayTeam=AH$4,1)))+COUNT(IF(Referee2=$A10,IF(AwayTeam=AH$4,1)))</f>
        <v>0</v>
      </c>
      <c r="AI10" s="8">
        <f t="array" ref="AI10">COUNT(IF(Referee1=$A10,IF(AwayTeam=AI$4,1)))+COUNT(IF(Referee2=$A10,IF(AwayTeam=AI$4,1)))</f>
        <v>0</v>
      </c>
      <c r="AJ10" s="8">
        <f t="array" ref="AJ10">COUNT(IF(Referee1=$A10,IF(AwayTeam=AJ$4,1)))+COUNT(IF(Referee2=$A10,IF(AwayTeam=AJ$4,1)))</f>
        <v>0</v>
      </c>
      <c r="AK10" s="8">
        <f t="array" ref="AK10">COUNT(IF(Referee1=$A10,IF(AwayTeam=AK$4,1)))+COUNT(IF(Referee2=$A10,IF(AwayTeam=AK$4,1)))</f>
        <v>0</v>
      </c>
      <c r="AL10" s="8">
        <f t="array" ref="AL10">COUNT(IF(Referee1=$A10,IF(AwayTeam=AL$4,1)))+COUNT(IF(Referee2=$A10,IF(AwayTeam=AL$4,1)))</f>
        <v>0</v>
      </c>
      <c r="AM10" s="8">
        <f t="array" ref="AM10">COUNT(IF(Referee1=$A10,IF(AwayTeam=AM$4,1)))+COUNT(IF(Referee2=$A10,IF(AwayTeam=AM$4,1)))</f>
        <v>0</v>
      </c>
      <c r="AN10" s="8">
        <f t="array" ref="AN10">COUNT(IF(Referee1=$A10,IF(AwayTeam=AN$4,1)))+COUNT(IF(Referee2=$A10,IF(AwayTeam=AN$4,1)))</f>
        <v>0</v>
      </c>
      <c r="AO10" s="8">
        <f t="array" ref="AO10">COUNT(IF(Referee1=$A10,IF(AwayTeam=AO$4,1)))+COUNT(IF(Referee2=$A10,IF(AwayTeam=AO$4,1)))</f>
        <v>0</v>
      </c>
      <c r="AP10" s="8">
        <f t="array" ref="AP10">COUNT(IF(Referee1=$A10,IF(AwayTeam=AP$4,1)))+COUNT(IF(Referee2=$A10,IF(AwayTeam=AP$4,1)))</f>
        <v>0</v>
      </c>
    </row>
    <row r="11" spans="1:42" x14ac:dyDescent="0.2">
      <c r="A11" s="8" t="str">
        <f>IF(Info!A8&lt;&gt;0,Info!A8,"")</f>
        <v>Fleming, Cameron</v>
      </c>
      <c r="B11" s="8">
        <f t="shared" si="0"/>
        <v>8</v>
      </c>
      <c r="C11" s="8">
        <f t="array" ref="C11">COUNT(IF(Referee1=$A11,IF(HomeTeam=C$4,1)))+COUNT(IF(Referee2=$A11,IF(HomeTeam=C$4,1)))</f>
        <v>0</v>
      </c>
      <c r="D11" s="8">
        <f t="array" ref="D11">COUNT(IF(Referee1=$A11,IF(HomeTeam=D$4,1)))+COUNT(IF(Referee2=$A11,IF(HomeTeam=D$4,1)))</f>
        <v>5</v>
      </c>
      <c r="E11" s="8">
        <f t="array" ref="E11">COUNT(IF(Referee1=$A11,IF(HomeTeam=E$4,1)))+COUNT(IF(Referee2=$A11,IF(HomeTeam=E$4,1)))</f>
        <v>0</v>
      </c>
      <c r="F11" s="8">
        <f t="array" ref="F11">COUNT(IF(Referee1=$A11,IF(HomeTeam=F$4,1)))+COUNT(IF(Referee2=$A11,IF(HomeTeam=F$4,1)))</f>
        <v>2</v>
      </c>
      <c r="G11" s="8">
        <f t="array" ref="G11">COUNT(IF(Referee1=$A11,IF(HomeTeam=G$4,1)))+COUNT(IF(Referee2=$A11,IF(HomeTeam=G$4,1)))</f>
        <v>0</v>
      </c>
      <c r="H11" s="8">
        <f t="array" ref="H11">COUNT(IF(Referee1=$A11,IF(HomeTeam=H$4,1)))+COUNT(IF(Referee2=$A11,IF(HomeTeam=H$4,1)))</f>
        <v>0</v>
      </c>
      <c r="I11" s="8">
        <f t="array" ref="I11">COUNT(IF(Referee1=$A11,IF(HomeTeam=I$4,1)))+COUNT(IF(Referee2=$A11,IF(HomeTeam=I$4,1)))</f>
        <v>0</v>
      </c>
      <c r="J11" s="8">
        <f t="array" ref="J11">COUNT(IF(Referee1=$A11,IF(HomeTeam=J$4,1)))+COUNT(IF(Referee2=$A11,IF(HomeTeam=J$4,1)))</f>
        <v>0</v>
      </c>
      <c r="K11" s="8">
        <f t="array" ref="K11">COUNT(IF(Referee1=$A11,IF(HomeTeam=K$4,1)))+COUNT(IF(Referee2=$A11,IF(HomeTeam=K$4,1)))</f>
        <v>0</v>
      </c>
      <c r="L11" s="8">
        <f t="array" ref="L11">COUNT(IF(Referee1=$A11,IF(HomeTeam=L$4,1)))+COUNT(IF(Referee2=$A11,IF(HomeTeam=L$4,1)))</f>
        <v>0</v>
      </c>
      <c r="M11" s="8">
        <f t="array" ref="M11">COUNT(IF(Referee1=$A11,IF(HomeTeam=M$4,1)))+COUNT(IF(Referee2=$A11,IF(HomeTeam=M$4,1)))</f>
        <v>1</v>
      </c>
      <c r="N11" s="8">
        <f t="array" ref="N11">COUNT(IF(Referee1=$A11,IF(HomeTeam=N$4,1)))+COUNT(IF(Referee2=$A11,IF(HomeTeam=N$4,1)))</f>
        <v>0</v>
      </c>
      <c r="O11" s="8">
        <f t="array" ref="O11">COUNT(IF(Referee1=$A11,IF(HomeTeam=O$4,1)))+COUNT(IF(Referee2=$A11,IF(HomeTeam=O$4,1)))</f>
        <v>0</v>
      </c>
      <c r="P11" s="8">
        <f t="array" ref="P11">COUNT(IF(Referee1=$A11,IF(HomeTeam=P$4,1)))+COUNT(IF(Referee2=$A11,IF(HomeTeam=P$4,1)))</f>
        <v>0</v>
      </c>
      <c r="Q11" s="8">
        <f t="array" ref="Q11">COUNT(IF(Referee1=$A11,IF(HomeTeam=Q$4,1)))+COUNT(IF(Referee2=$A11,IF(HomeTeam=Q$4,1)))</f>
        <v>0</v>
      </c>
      <c r="R11" s="8">
        <f t="array" ref="R11">COUNT(IF(Referee1=$A11,IF(HomeTeam=R$4,1)))+COUNT(IF(Referee2=$A11,IF(HomeTeam=R$4,1)))</f>
        <v>0</v>
      </c>
      <c r="S11" s="8">
        <f t="array" ref="S11">COUNT(IF(Referee1=$A11,IF(HomeTeam=S$4,1)))+COUNT(IF(Referee2=$A11,IF(HomeTeam=S$4,1)))</f>
        <v>0</v>
      </c>
      <c r="T11" s="8">
        <f t="array" ref="T11">COUNT(IF(Referee1=$A11,IF(HomeTeam=T$4,1)))+COUNT(IF(Referee2=$A11,IF(HomeTeam=T$4,1)))</f>
        <v>0</v>
      </c>
      <c r="U11" s="8">
        <f t="array" ref="U11">COUNT(IF(Referee1=$A11,IF(HomeTeam=U$4,1)))+COUNT(IF(Referee2=$A11,IF(HomeTeam=U$4,1)))</f>
        <v>0</v>
      </c>
      <c r="V11" s="8">
        <f t="array" ref="V11">COUNT(IF(Referee1=$A11,IF(HomeTeam=V$4,1)))+COUNT(IF(Referee2=$A11,IF(HomeTeam=V$4,1)))</f>
        <v>0</v>
      </c>
      <c r="W11" s="8">
        <f t="array" ref="W11">COUNT(IF(Referee1=$A11,IF(AwayTeam=W$4,1)))+COUNT(IF(Referee2=$A11,IF(AwayTeam=W$4,1)))</f>
        <v>0</v>
      </c>
      <c r="X11" s="8">
        <f t="array" ref="X11">COUNT(IF(Referee1=$A11,IF(AwayTeam=X$4,1)))+COUNT(IF(Referee2=$A11,IF(AwayTeam=X$4,1)))</f>
        <v>0</v>
      </c>
      <c r="Y11" s="8">
        <f t="array" ref="Y11">COUNT(IF(Referee1=$A11,IF(AwayTeam=Y$4,1)))+COUNT(IF(Referee2=$A11,IF(AwayTeam=Y$4,1)))</f>
        <v>0</v>
      </c>
      <c r="Z11" s="8">
        <f t="array" ref="Z11">COUNT(IF(Referee1=$A11,IF(AwayTeam=Z$4,1)))+COUNT(IF(Referee2=$A11,IF(AwayTeam=Z$4,1)))</f>
        <v>0</v>
      </c>
      <c r="AA11" s="8">
        <f t="array" ref="AA11">COUNT(IF(Referee1=$A11,IF(AwayTeam=AA$4,1)))+COUNT(IF(Referee2=$A11,IF(AwayTeam=AA$4,1)))</f>
        <v>0</v>
      </c>
      <c r="AB11" s="8">
        <f t="array" ref="AB11">COUNT(IF(Referee1=$A11,IF(AwayTeam=AB$4,1)))+COUNT(IF(Referee2=$A11,IF(AwayTeam=AB$4,1)))</f>
        <v>0</v>
      </c>
      <c r="AC11" s="8">
        <f t="array" ref="AC11">COUNT(IF(Referee1=$A11,IF(AwayTeam=AC$4,1)))+COUNT(IF(Referee2=$A11,IF(AwayTeam=AC$4,1)))</f>
        <v>1</v>
      </c>
      <c r="AD11" s="8">
        <f t="array" ref="AD11">COUNT(IF(Referee1=$A11,IF(AwayTeam=AD$4,1)))+COUNT(IF(Referee2=$A11,IF(AwayTeam=AD$4,1)))</f>
        <v>0</v>
      </c>
      <c r="AE11" s="8">
        <f t="array" ref="AE11">COUNT(IF(Referee1=$A11,IF(AwayTeam=AE$4,1)))+COUNT(IF(Referee2=$A11,IF(AwayTeam=AE$4,1)))</f>
        <v>2</v>
      </c>
      <c r="AF11" s="8">
        <f t="array" ref="AF11">COUNT(IF(Referee1=$A11,IF(AwayTeam=AF$4,1)))+COUNT(IF(Referee2=$A11,IF(AwayTeam=AF$4,1)))</f>
        <v>1</v>
      </c>
      <c r="AG11" s="8">
        <f t="array" ref="AG11">COUNT(IF(Referee1=$A11,IF(AwayTeam=AG$4,1)))+COUNT(IF(Referee2=$A11,IF(AwayTeam=AG$4,1)))</f>
        <v>0</v>
      </c>
      <c r="AH11" s="8">
        <f t="array" ref="AH11">COUNT(IF(Referee1=$A11,IF(AwayTeam=AH$4,1)))+COUNT(IF(Referee2=$A11,IF(AwayTeam=AH$4,1)))</f>
        <v>0</v>
      </c>
      <c r="AI11" s="8">
        <f t="array" ref="AI11">COUNT(IF(Referee1=$A11,IF(AwayTeam=AI$4,1)))+COUNT(IF(Referee2=$A11,IF(AwayTeam=AI$4,1)))</f>
        <v>0</v>
      </c>
      <c r="AJ11" s="8">
        <f t="array" ref="AJ11">COUNT(IF(Referee1=$A11,IF(AwayTeam=AJ$4,1)))+COUNT(IF(Referee2=$A11,IF(AwayTeam=AJ$4,1)))</f>
        <v>1</v>
      </c>
      <c r="AK11" s="8">
        <f t="array" ref="AK11">COUNT(IF(Referee1=$A11,IF(AwayTeam=AK$4,1)))+COUNT(IF(Referee2=$A11,IF(AwayTeam=AK$4,1)))</f>
        <v>1</v>
      </c>
      <c r="AL11" s="8">
        <f t="array" ref="AL11">COUNT(IF(Referee1=$A11,IF(AwayTeam=AL$4,1)))+COUNT(IF(Referee2=$A11,IF(AwayTeam=AL$4,1)))</f>
        <v>1</v>
      </c>
      <c r="AM11" s="8">
        <f t="array" ref="AM11">COUNT(IF(Referee1=$A11,IF(AwayTeam=AM$4,1)))+COUNT(IF(Referee2=$A11,IF(AwayTeam=AM$4,1)))</f>
        <v>1</v>
      </c>
      <c r="AN11" s="8">
        <f t="array" ref="AN11">COUNT(IF(Referee1=$A11,IF(AwayTeam=AN$4,1)))+COUNT(IF(Referee2=$A11,IF(AwayTeam=AN$4,1)))</f>
        <v>0</v>
      </c>
      <c r="AO11" s="8">
        <f t="array" ref="AO11">COUNT(IF(Referee1=$A11,IF(AwayTeam=AO$4,1)))+COUNT(IF(Referee2=$A11,IF(AwayTeam=AO$4,1)))</f>
        <v>0</v>
      </c>
      <c r="AP11" s="8">
        <f t="array" ref="AP11">COUNT(IF(Referee1=$A11,IF(AwayTeam=AP$4,1)))+COUNT(IF(Referee2=$A11,IF(AwayTeam=AP$4,1)))</f>
        <v>0</v>
      </c>
    </row>
    <row r="12" spans="1:42" x14ac:dyDescent="0.2">
      <c r="A12" s="8" t="str">
        <f>IF(Info!A9&lt;&gt;0,Info!A9,"")</f>
        <v>Gruhl, Logan</v>
      </c>
      <c r="B12" s="8">
        <f t="shared" si="0"/>
        <v>18</v>
      </c>
      <c r="C12" s="8">
        <f t="array" ref="C12">COUNT(IF(Referee1=$A12,IF(HomeTeam=C$4,1)))+COUNT(IF(Referee2=$A12,IF(HomeTeam=C$4,1)))</f>
        <v>4</v>
      </c>
      <c r="D12" s="8">
        <f t="array" ref="D12">COUNT(IF(Referee1=$A12,IF(HomeTeam=D$4,1)))+COUNT(IF(Referee2=$A12,IF(HomeTeam=D$4,1)))</f>
        <v>4</v>
      </c>
      <c r="E12" s="8">
        <f t="array" ref="E12">COUNT(IF(Referee1=$A12,IF(HomeTeam=E$4,1)))+COUNT(IF(Referee2=$A12,IF(HomeTeam=E$4,1)))</f>
        <v>0</v>
      </c>
      <c r="F12" s="8">
        <f t="array" ref="F12">COUNT(IF(Referee1=$A12,IF(HomeTeam=F$4,1)))+COUNT(IF(Referee2=$A12,IF(HomeTeam=F$4,1)))</f>
        <v>2</v>
      </c>
      <c r="G12" s="8">
        <f t="array" ref="G12">COUNT(IF(Referee1=$A12,IF(HomeTeam=G$4,1)))+COUNT(IF(Referee2=$A12,IF(HomeTeam=G$4,1)))</f>
        <v>1</v>
      </c>
      <c r="H12" s="8">
        <f t="array" ref="H12">COUNT(IF(Referee1=$A12,IF(HomeTeam=H$4,1)))+COUNT(IF(Referee2=$A12,IF(HomeTeam=H$4,1)))</f>
        <v>0</v>
      </c>
      <c r="I12" s="8">
        <f t="array" ref="I12">COUNT(IF(Referee1=$A12,IF(HomeTeam=I$4,1)))+COUNT(IF(Referee2=$A12,IF(HomeTeam=I$4,1)))</f>
        <v>1</v>
      </c>
      <c r="J12" s="8">
        <f t="array" ref="J12">COUNT(IF(Referee1=$A12,IF(HomeTeam=J$4,1)))+COUNT(IF(Referee2=$A12,IF(HomeTeam=J$4,1)))</f>
        <v>3</v>
      </c>
      <c r="K12" s="8">
        <f t="array" ref="K12">COUNT(IF(Referee1=$A12,IF(HomeTeam=K$4,1)))+COUNT(IF(Referee2=$A12,IF(HomeTeam=K$4,1)))</f>
        <v>1</v>
      </c>
      <c r="L12" s="8">
        <f t="array" ref="L12">COUNT(IF(Referee1=$A12,IF(HomeTeam=L$4,1)))+COUNT(IF(Referee2=$A12,IF(HomeTeam=L$4,1)))</f>
        <v>1</v>
      </c>
      <c r="M12" s="8">
        <f t="array" ref="M12">COUNT(IF(Referee1=$A12,IF(HomeTeam=M$4,1)))+COUNT(IF(Referee2=$A12,IF(HomeTeam=M$4,1)))</f>
        <v>0</v>
      </c>
      <c r="N12" s="8">
        <f t="array" ref="N12">COUNT(IF(Referee1=$A12,IF(HomeTeam=N$4,1)))+COUNT(IF(Referee2=$A12,IF(HomeTeam=N$4,1)))</f>
        <v>1</v>
      </c>
      <c r="O12" s="8">
        <f t="array" ref="O12">COUNT(IF(Referee1=$A12,IF(HomeTeam=O$4,1)))+COUNT(IF(Referee2=$A12,IF(HomeTeam=O$4,1)))</f>
        <v>0</v>
      </c>
      <c r="P12" s="8">
        <f t="array" ref="P12">COUNT(IF(Referee1=$A12,IF(HomeTeam=P$4,1)))+COUNT(IF(Referee2=$A12,IF(HomeTeam=P$4,1)))</f>
        <v>0</v>
      </c>
      <c r="Q12" s="8">
        <f t="array" ref="Q12">COUNT(IF(Referee1=$A12,IF(HomeTeam=Q$4,1)))+COUNT(IF(Referee2=$A12,IF(HomeTeam=Q$4,1)))</f>
        <v>0</v>
      </c>
      <c r="R12" s="8">
        <f t="array" ref="R12">COUNT(IF(Referee1=$A12,IF(HomeTeam=R$4,1)))+COUNT(IF(Referee2=$A12,IF(HomeTeam=R$4,1)))</f>
        <v>0</v>
      </c>
      <c r="S12" s="8">
        <f t="array" ref="S12">COUNT(IF(Referee1=$A12,IF(HomeTeam=S$4,1)))+COUNT(IF(Referee2=$A12,IF(HomeTeam=S$4,1)))</f>
        <v>0</v>
      </c>
      <c r="T12" s="8">
        <f t="array" ref="T12">COUNT(IF(Referee1=$A12,IF(HomeTeam=T$4,1)))+COUNT(IF(Referee2=$A12,IF(HomeTeam=T$4,1)))</f>
        <v>0</v>
      </c>
      <c r="U12" s="8">
        <f t="array" ref="U12">COUNT(IF(Referee1=$A12,IF(HomeTeam=U$4,1)))+COUNT(IF(Referee2=$A12,IF(HomeTeam=U$4,1)))</f>
        <v>0</v>
      </c>
      <c r="V12" s="8">
        <f t="array" ref="V12">COUNT(IF(Referee1=$A12,IF(HomeTeam=V$4,1)))+COUNT(IF(Referee2=$A12,IF(HomeTeam=V$4,1)))</f>
        <v>0</v>
      </c>
      <c r="W12" s="8">
        <f t="array" ref="W12">COUNT(IF(Referee1=$A12,IF(AwayTeam=W$4,1)))+COUNT(IF(Referee2=$A12,IF(AwayTeam=W$4,1)))</f>
        <v>1</v>
      </c>
      <c r="X12" s="8">
        <f t="array" ref="X12">COUNT(IF(Referee1=$A12,IF(AwayTeam=X$4,1)))+COUNT(IF(Referee2=$A12,IF(AwayTeam=X$4,1)))</f>
        <v>1</v>
      </c>
      <c r="Y12" s="8">
        <f t="array" ref="Y12">COUNT(IF(Referee1=$A12,IF(AwayTeam=Y$4,1)))+COUNT(IF(Referee2=$A12,IF(AwayTeam=Y$4,1)))</f>
        <v>4</v>
      </c>
      <c r="Z12" s="8">
        <f t="array" ref="Z12">COUNT(IF(Referee1=$A12,IF(AwayTeam=Z$4,1)))+COUNT(IF(Referee2=$A12,IF(AwayTeam=Z$4,1)))</f>
        <v>3</v>
      </c>
      <c r="AA12" s="8">
        <f t="array" ref="AA12">COUNT(IF(Referee1=$A12,IF(AwayTeam=AA$4,1)))+COUNT(IF(Referee2=$A12,IF(AwayTeam=AA$4,1)))</f>
        <v>2</v>
      </c>
      <c r="AB12" s="8">
        <f t="array" ref="AB12">COUNT(IF(Referee1=$A12,IF(AwayTeam=AB$4,1)))+COUNT(IF(Referee2=$A12,IF(AwayTeam=AB$4,1)))</f>
        <v>0</v>
      </c>
      <c r="AC12" s="8">
        <f t="array" ref="AC12">COUNT(IF(Referee1=$A12,IF(AwayTeam=AC$4,1)))+COUNT(IF(Referee2=$A12,IF(AwayTeam=AC$4,1)))</f>
        <v>0</v>
      </c>
      <c r="AD12" s="8">
        <f t="array" ref="AD12">COUNT(IF(Referee1=$A12,IF(AwayTeam=AD$4,1)))+COUNT(IF(Referee2=$A12,IF(AwayTeam=AD$4,1)))</f>
        <v>0</v>
      </c>
      <c r="AE12" s="8">
        <f t="array" ref="AE12">COUNT(IF(Referee1=$A12,IF(AwayTeam=AE$4,1)))+COUNT(IF(Referee2=$A12,IF(AwayTeam=AE$4,1)))</f>
        <v>0</v>
      </c>
      <c r="AF12" s="8">
        <f t="array" ref="AF12">COUNT(IF(Referee1=$A12,IF(AwayTeam=AF$4,1)))+COUNT(IF(Referee2=$A12,IF(AwayTeam=AF$4,1)))</f>
        <v>3</v>
      </c>
      <c r="AG12" s="8">
        <f t="array" ref="AG12">COUNT(IF(Referee1=$A12,IF(AwayTeam=AG$4,1)))+COUNT(IF(Referee2=$A12,IF(AwayTeam=AG$4,1)))</f>
        <v>1</v>
      </c>
      <c r="AH12" s="8">
        <f t="array" ref="AH12">COUNT(IF(Referee1=$A12,IF(AwayTeam=AH$4,1)))+COUNT(IF(Referee2=$A12,IF(AwayTeam=AH$4,1)))</f>
        <v>1</v>
      </c>
      <c r="AI12" s="8">
        <f t="array" ref="AI12">COUNT(IF(Referee1=$A12,IF(AwayTeam=AI$4,1)))+COUNT(IF(Referee2=$A12,IF(AwayTeam=AI$4,1)))</f>
        <v>1</v>
      </c>
      <c r="AJ12" s="8">
        <f t="array" ref="AJ12">COUNT(IF(Referee1=$A12,IF(AwayTeam=AJ$4,1)))+COUNT(IF(Referee2=$A12,IF(AwayTeam=AJ$4,1)))</f>
        <v>0</v>
      </c>
      <c r="AK12" s="8">
        <f t="array" ref="AK12">COUNT(IF(Referee1=$A12,IF(AwayTeam=AK$4,1)))+COUNT(IF(Referee2=$A12,IF(AwayTeam=AK$4,1)))</f>
        <v>1</v>
      </c>
      <c r="AL12" s="8">
        <f t="array" ref="AL12">COUNT(IF(Referee1=$A12,IF(AwayTeam=AL$4,1)))+COUNT(IF(Referee2=$A12,IF(AwayTeam=AL$4,1)))</f>
        <v>0</v>
      </c>
      <c r="AM12" s="8">
        <f t="array" ref="AM12">COUNT(IF(Referee1=$A12,IF(AwayTeam=AM$4,1)))+COUNT(IF(Referee2=$A12,IF(AwayTeam=AM$4,1)))</f>
        <v>0</v>
      </c>
      <c r="AN12" s="8">
        <f t="array" ref="AN12">COUNT(IF(Referee1=$A12,IF(AwayTeam=AN$4,1)))+COUNT(IF(Referee2=$A12,IF(AwayTeam=AN$4,1)))</f>
        <v>0</v>
      </c>
      <c r="AO12" s="8">
        <f t="array" ref="AO12">COUNT(IF(Referee1=$A12,IF(AwayTeam=AO$4,1)))+COUNT(IF(Referee2=$A12,IF(AwayTeam=AO$4,1)))</f>
        <v>0</v>
      </c>
      <c r="AP12" s="8">
        <f t="array" ref="AP12">COUNT(IF(Referee1=$A12,IF(AwayTeam=AP$4,1)))+COUNT(IF(Referee2=$A12,IF(AwayTeam=AP$4,1)))</f>
        <v>0</v>
      </c>
    </row>
    <row r="13" spans="1:42" x14ac:dyDescent="0.2">
      <c r="A13" s="8" t="str">
        <f>IF(Info!A10&lt;&gt;0,Info!A10,"")</f>
        <v>Hankes, Brian</v>
      </c>
      <c r="B13" s="8">
        <f t="shared" si="0"/>
        <v>18</v>
      </c>
      <c r="C13" s="8">
        <f t="array" ref="C13">COUNT(IF(Referee1=$A13,IF(HomeTeam=C$4,1)))+COUNT(IF(Referee2=$A13,IF(HomeTeam=C$4,1)))</f>
        <v>3</v>
      </c>
      <c r="D13" s="8">
        <f t="array" ref="D13">COUNT(IF(Referee1=$A13,IF(HomeTeam=D$4,1)))+COUNT(IF(Referee2=$A13,IF(HomeTeam=D$4,1)))</f>
        <v>1</v>
      </c>
      <c r="E13" s="8">
        <f t="array" ref="E13">COUNT(IF(Referee1=$A13,IF(HomeTeam=E$4,1)))+COUNT(IF(Referee2=$A13,IF(HomeTeam=E$4,1)))</f>
        <v>0</v>
      </c>
      <c r="F13" s="8">
        <f t="array" ref="F13">COUNT(IF(Referee1=$A13,IF(HomeTeam=F$4,1)))+COUNT(IF(Referee2=$A13,IF(HomeTeam=F$4,1)))</f>
        <v>4</v>
      </c>
      <c r="G13" s="8">
        <f t="array" ref="G13">COUNT(IF(Referee1=$A13,IF(HomeTeam=G$4,1)))+COUNT(IF(Referee2=$A13,IF(HomeTeam=G$4,1)))</f>
        <v>2</v>
      </c>
      <c r="H13" s="8">
        <f t="array" ref="H13">COUNT(IF(Referee1=$A13,IF(HomeTeam=H$4,1)))+COUNT(IF(Referee2=$A13,IF(HomeTeam=H$4,1)))</f>
        <v>0</v>
      </c>
      <c r="I13" s="8">
        <f t="array" ref="I13">COUNT(IF(Referee1=$A13,IF(HomeTeam=I$4,1)))+COUNT(IF(Referee2=$A13,IF(HomeTeam=I$4,1)))</f>
        <v>1</v>
      </c>
      <c r="J13" s="8">
        <f t="array" ref="J13">COUNT(IF(Referee1=$A13,IF(HomeTeam=J$4,1)))+COUNT(IF(Referee2=$A13,IF(HomeTeam=J$4,1)))</f>
        <v>0</v>
      </c>
      <c r="K13" s="8">
        <f t="array" ref="K13">COUNT(IF(Referee1=$A13,IF(HomeTeam=K$4,1)))+COUNT(IF(Referee2=$A13,IF(HomeTeam=K$4,1)))</f>
        <v>1</v>
      </c>
      <c r="L13" s="8">
        <f t="array" ref="L13">COUNT(IF(Referee1=$A13,IF(HomeTeam=L$4,1)))+COUNT(IF(Referee2=$A13,IF(HomeTeam=L$4,1)))</f>
        <v>0</v>
      </c>
      <c r="M13" s="8">
        <f t="array" ref="M13">COUNT(IF(Referee1=$A13,IF(HomeTeam=M$4,1)))+COUNT(IF(Referee2=$A13,IF(HomeTeam=M$4,1)))</f>
        <v>1</v>
      </c>
      <c r="N13" s="8">
        <f t="array" ref="N13">COUNT(IF(Referee1=$A13,IF(HomeTeam=N$4,1)))+COUNT(IF(Referee2=$A13,IF(HomeTeam=N$4,1)))</f>
        <v>1</v>
      </c>
      <c r="O13" s="8">
        <f t="array" ref="O13">COUNT(IF(Referee1=$A13,IF(HomeTeam=O$4,1)))+COUNT(IF(Referee2=$A13,IF(HomeTeam=O$4,1)))</f>
        <v>1</v>
      </c>
      <c r="P13" s="8">
        <f t="array" ref="P13">COUNT(IF(Referee1=$A13,IF(HomeTeam=P$4,1)))+COUNT(IF(Referee2=$A13,IF(HomeTeam=P$4,1)))</f>
        <v>0</v>
      </c>
      <c r="Q13" s="8">
        <f t="array" ref="Q13">COUNT(IF(Referee1=$A13,IF(HomeTeam=Q$4,1)))+COUNT(IF(Referee2=$A13,IF(HomeTeam=Q$4,1)))</f>
        <v>1</v>
      </c>
      <c r="R13" s="8">
        <f t="array" ref="R13">COUNT(IF(Referee1=$A13,IF(HomeTeam=R$4,1)))+COUNT(IF(Referee2=$A13,IF(HomeTeam=R$4,1)))</f>
        <v>1</v>
      </c>
      <c r="S13" s="8">
        <f t="array" ref="S13">COUNT(IF(Referee1=$A13,IF(HomeTeam=S$4,1)))+COUNT(IF(Referee2=$A13,IF(HomeTeam=S$4,1)))</f>
        <v>1</v>
      </c>
      <c r="T13" s="8">
        <f t="array" ref="T13">COUNT(IF(Referee1=$A13,IF(HomeTeam=T$4,1)))+COUNT(IF(Referee2=$A13,IF(HomeTeam=T$4,1)))</f>
        <v>0</v>
      </c>
      <c r="U13" s="8">
        <f t="array" ref="U13">COUNT(IF(Referee1=$A13,IF(HomeTeam=U$4,1)))+COUNT(IF(Referee2=$A13,IF(HomeTeam=U$4,1)))</f>
        <v>0</v>
      </c>
      <c r="V13" s="8">
        <f t="array" ref="V13">COUNT(IF(Referee1=$A13,IF(HomeTeam=V$4,1)))+COUNT(IF(Referee2=$A13,IF(HomeTeam=V$4,1)))</f>
        <v>0</v>
      </c>
      <c r="W13" s="8">
        <f t="array" ref="W13">COUNT(IF(Referee1=$A13,IF(AwayTeam=W$4,1)))+COUNT(IF(Referee2=$A13,IF(AwayTeam=W$4,1)))</f>
        <v>2</v>
      </c>
      <c r="X13" s="8">
        <f t="array" ref="X13">COUNT(IF(Referee1=$A13,IF(AwayTeam=X$4,1)))+COUNT(IF(Referee2=$A13,IF(AwayTeam=X$4,1)))</f>
        <v>3</v>
      </c>
      <c r="Y13" s="8">
        <f t="array" ref="Y13">COUNT(IF(Referee1=$A13,IF(AwayTeam=Y$4,1)))+COUNT(IF(Referee2=$A13,IF(AwayTeam=Y$4,1)))</f>
        <v>2</v>
      </c>
      <c r="Z13" s="8">
        <f t="array" ref="Z13">COUNT(IF(Referee1=$A13,IF(AwayTeam=Z$4,1)))+COUNT(IF(Referee2=$A13,IF(AwayTeam=Z$4,1)))</f>
        <v>3</v>
      </c>
      <c r="AA13" s="8">
        <f t="array" ref="AA13">COUNT(IF(Referee1=$A13,IF(AwayTeam=AA$4,1)))+COUNT(IF(Referee2=$A13,IF(AwayTeam=AA$4,1)))</f>
        <v>1</v>
      </c>
      <c r="AB13" s="8">
        <f t="array" ref="AB13">COUNT(IF(Referee1=$A13,IF(AwayTeam=AB$4,1)))+COUNT(IF(Referee2=$A13,IF(AwayTeam=AB$4,1)))</f>
        <v>1</v>
      </c>
      <c r="AC13" s="8">
        <f t="array" ref="AC13">COUNT(IF(Referee1=$A13,IF(AwayTeam=AC$4,1)))+COUNT(IF(Referee2=$A13,IF(AwayTeam=AC$4,1)))</f>
        <v>0</v>
      </c>
      <c r="AD13" s="8">
        <f t="array" ref="AD13">COUNT(IF(Referee1=$A13,IF(AwayTeam=AD$4,1)))+COUNT(IF(Referee2=$A13,IF(AwayTeam=AD$4,1)))</f>
        <v>1</v>
      </c>
      <c r="AE13" s="8">
        <f t="array" ref="AE13">COUNT(IF(Referee1=$A13,IF(AwayTeam=AE$4,1)))+COUNT(IF(Referee2=$A13,IF(AwayTeam=AE$4,1)))</f>
        <v>1</v>
      </c>
      <c r="AF13" s="8">
        <f t="array" ref="AF13">COUNT(IF(Referee1=$A13,IF(AwayTeam=AF$4,1)))+COUNT(IF(Referee2=$A13,IF(AwayTeam=AF$4,1)))</f>
        <v>0</v>
      </c>
      <c r="AG13" s="8">
        <f t="array" ref="AG13">COUNT(IF(Referee1=$A13,IF(AwayTeam=AG$4,1)))+COUNT(IF(Referee2=$A13,IF(AwayTeam=AG$4,1)))</f>
        <v>0</v>
      </c>
      <c r="AH13" s="8">
        <f t="array" ref="AH13">COUNT(IF(Referee1=$A13,IF(AwayTeam=AH$4,1)))+COUNT(IF(Referee2=$A13,IF(AwayTeam=AH$4,1)))</f>
        <v>1</v>
      </c>
      <c r="AI13" s="8">
        <f t="array" ref="AI13">COUNT(IF(Referee1=$A13,IF(AwayTeam=AI$4,1)))+COUNT(IF(Referee2=$A13,IF(AwayTeam=AI$4,1)))</f>
        <v>0</v>
      </c>
      <c r="AJ13" s="8">
        <f t="array" ref="AJ13">COUNT(IF(Referee1=$A13,IF(AwayTeam=AJ$4,1)))+COUNT(IF(Referee2=$A13,IF(AwayTeam=AJ$4,1)))</f>
        <v>0</v>
      </c>
      <c r="AK13" s="8">
        <f t="array" ref="AK13">COUNT(IF(Referee1=$A13,IF(AwayTeam=AK$4,1)))+COUNT(IF(Referee2=$A13,IF(AwayTeam=AK$4,1)))</f>
        <v>1</v>
      </c>
      <c r="AL13" s="8">
        <f t="array" ref="AL13">COUNT(IF(Referee1=$A13,IF(AwayTeam=AL$4,1)))+COUNT(IF(Referee2=$A13,IF(AwayTeam=AL$4,1)))</f>
        <v>2</v>
      </c>
      <c r="AM13" s="8">
        <f t="array" ref="AM13">COUNT(IF(Referee1=$A13,IF(AwayTeam=AM$4,1)))+COUNT(IF(Referee2=$A13,IF(AwayTeam=AM$4,1)))</f>
        <v>0</v>
      </c>
      <c r="AN13" s="8">
        <f t="array" ref="AN13">COUNT(IF(Referee1=$A13,IF(AwayTeam=AN$4,1)))+COUNT(IF(Referee2=$A13,IF(AwayTeam=AN$4,1)))</f>
        <v>0</v>
      </c>
      <c r="AO13" s="8">
        <f t="array" ref="AO13">COUNT(IF(Referee1=$A13,IF(AwayTeam=AO$4,1)))+COUNT(IF(Referee2=$A13,IF(AwayTeam=AO$4,1)))</f>
        <v>0</v>
      </c>
      <c r="AP13" s="8">
        <f t="array" ref="AP13">COUNT(IF(Referee1=$A13,IF(AwayTeam=AP$4,1)))+COUNT(IF(Referee2=$A13,IF(AwayTeam=AP$4,1)))</f>
        <v>0</v>
      </c>
    </row>
    <row r="14" spans="1:42" x14ac:dyDescent="0.2">
      <c r="A14" s="8" t="str">
        <f>IF(Info!A11&lt;&gt;0,Info!A11,"")</f>
        <v>Heidemann, Sam</v>
      </c>
      <c r="B14" s="8">
        <f t="shared" si="0"/>
        <v>7</v>
      </c>
      <c r="C14" s="8">
        <f t="array" ref="C14">COUNT(IF(Referee1=$A14,IF(HomeTeam=C$4,1)))+COUNT(IF(Referee2=$A14,IF(HomeTeam=C$4,1)))</f>
        <v>1</v>
      </c>
      <c r="D14" s="8">
        <f t="array" ref="D14">COUNT(IF(Referee1=$A14,IF(HomeTeam=D$4,1)))+COUNT(IF(Referee2=$A14,IF(HomeTeam=D$4,1)))</f>
        <v>3</v>
      </c>
      <c r="E14" s="8">
        <f t="array" ref="E14">COUNT(IF(Referee1=$A14,IF(HomeTeam=E$4,1)))+COUNT(IF(Referee2=$A14,IF(HomeTeam=E$4,1)))</f>
        <v>1</v>
      </c>
      <c r="F14" s="8">
        <f t="array" ref="F14">COUNT(IF(Referee1=$A14,IF(HomeTeam=F$4,1)))+COUNT(IF(Referee2=$A14,IF(HomeTeam=F$4,1)))</f>
        <v>1</v>
      </c>
      <c r="G14" s="8">
        <f t="array" ref="G14">COUNT(IF(Referee1=$A14,IF(HomeTeam=G$4,1)))+COUNT(IF(Referee2=$A14,IF(HomeTeam=G$4,1)))</f>
        <v>0</v>
      </c>
      <c r="H14" s="8">
        <f t="array" ref="H14">COUNT(IF(Referee1=$A14,IF(HomeTeam=H$4,1)))+COUNT(IF(Referee2=$A14,IF(HomeTeam=H$4,1)))</f>
        <v>0</v>
      </c>
      <c r="I14" s="8">
        <f t="array" ref="I14">COUNT(IF(Referee1=$A14,IF(HomeTeam=I$4,1)))+COUNT(IF(Referee2=$A14,IF(HomeTeam=I$4,1)))</f>
        <v>0</v>
      </c>
      <c r="J14" s="8">
        <f t="array" ref="J14">COUNT(IF(Referee1=$A14,IF(HomeTeam=J$4,1)))+COUNT(IF(Referee2=$A14,IF(HomeTeam=J$4,1)))</f>
        <v>0</v>
      </c>
      <c r="K14" s="8">
        <f t="array" ref="K14">COUNT(IF(Referee1=$A14,IF(HomeTeam=K$4,1)))+COUNT(IF(Referee2=$A14,IF(HomeTeam=K$4,1)))</f>
        <v>0</v>
      </c>
      <c r="L14" s="8">
        <f t="array" ref="L14">COUNT(IF(Referee1=$A14,IF(HomeTeam=L$4,1)))+COUNT(IF(Referee2=$A14,IF(HomeTeam=L$4,1)))</f>
        <v>0</v>
      </c>
      <c r="M14" s="8">
        <f t="array" ref="M14">COUNT(IF(Referee1=$A14,IF(HomeTeam=M$4,1)))+COUNT(IF(Referee2=$A14,IF(HomeTeam=M$4,1)))</f>
        <v>1</v>
      </c>
      <c r="N14" s="8">
        <f t="array" ref="N14">COUNT(IF(Referee1=$A14,IF(HomeTeam=N$4,1)))+COUNT(IF(Referee2=$A14,IF(HomeTeam=N$4,1)))</f>
        <v>0</v>
      </c>
      <c r="O14" s="8">
        <f t="array" ref="O14">COUNT(IF(Referee1=$A14,IF(HomeTeam=O$4,1)))+COUNT(IF(Referee2=$A14,IF(HomeTeam=O$4,1)))</f>
        <v>0</v>
      </c>
      <c r="P14" s="8">
        <f t="array" ref="P14">COUNT(IF(Referee1=$A14,IF(HomeTeam=P$4,1)))+COUNT(IF(Referee2=$A14,IF(HomeTeam=P$4,1)))</f>
        <v>0</v>
      </c>
      <c r="Q14" s="8">
        <f t="array" ref="Q14">COUNT(IF(Referee1=$A14,IF(HomeTeam=Q$4,1)))+COUNT(IF(Referee2=$A14,IF(HomeTeam=Q$4,1)))</f>
        <v>0</v>
      </c>
      <c r="R14" s="8">
        <f t="array" ref="R14">COUNT(IF(Referee1=$A14,IF(HomeTeam=R$4,1)))+COUNT(IF(Referee2=$A14,IF(HomeTeam=R$4,1)))</f>
        <v>0</v>
      </c>
      <c r="S14" s="8">
        <f t="array" ref="S14">COUNT(IF(Referee1=$A14,IF(HomeTeam=S$4,1)))+COUNT(IF(Referee2=$A14,IF(HomeTeam=S$4,1)))</f>
        <v>0</v>
      </c>
      <c r="T14" s="8">
        <f t="array" ref="T14">COUNT(IF(Referee1=$A14,IF(HomeTeam=T$4,1)))+COUNT(IF(Referee2=$A14,IF(HomeTeam=T$4,1)))</f>
        <v>0</v>
      </c>
      <c r="U14" s="8">
        <f t="array" ref="U14">COUNT(IF(Referee1=$A14,IF(HomeTeam=U$4,1)))+COUNT(IF(Referee2=$A14,IF(HomeTeam=U$4,1)))</f>
        <v>0</v>
      </c>
      <c r="V14" s="8">
        <f t="array" ref="V14">COUNT(IF(Referee1=$A14,IF(HomeTeam=V$4,1)))+COUNT(IF(Referee2=$A14,IF(HomeTeam=V$4,1)))</f>
        <v>0</v>
      </c>
      <c r="W14" s="8">
        <f t="array" ref="W14">COUNT(IF(Referee1=$A14,IF(AwayTeam=W$4,1)))+COUNT(IF(Referee2=$A14,IF(AwayTeam=W$4,1)))</f>
        <v>0</v>
      </c>
      <c r="X14" s="8">
        <f t="array" ref="X14">COUNT(IF(Referee1=$A14,IF(AwayTeam=X$4,1)))+COUNT(IF(Referee2=$A14,IF(AwayTeam=X$4,1)))</f>
        <v>1</v>
      </c>
      <c r="Y14" s="8">
        <f t="array" ref="Y14">COUNT(IF(Referee1=$A14,IF(AwayTeam=Y$4,1)))+COUNT(IF(Referee2=$A14,IF(AwayTeam=Y$4,1)))</f>
        <v>1</v>
      </c>
      <c r="Z14" s="8">
        <f t="array" ref="Z14">COUNT(IF(Referee1=$A14,IF(AwayTeam=Z$4,1)))+COUNT(IF(Referee2=$A14,IF(AwayTeam=Z$4,1)))</f>
        <v>1</v>
      </c>
      <c r="AA14" s="8">
        <f t="array" ref="AA14">COUNT(IF(Referee1=$A14,IF(AwayTeam=AA$4,1)))+COUNT(IF(Referee2=$A14,IF(AwayTeam=AA$4,1)))</f>
        <v>1</v>
      </c>
      <c r="AB14" s="8">
        <f t="array" ref="AB14">COUNT(IF(Referee1=$A14,IF(AwayTeam=AB$4,1)))+COUNT(IF(Referee2=$A14,IF(AwayTeam=AB$4,1)))</f>
        <v>0</v>
      </c>
      <c r="AC14" s="8">
        <f t="array" ref="AC14">COUNT(IF(Referee1=$A14,IF(AwayTeam=AC$4,1)))+COUNT(IF(Referee2=$A14,IF(AwayTeam=AC$4,1)))</f>
        <v>0</v>
      </c>
      <c r="AD14" s="8">
        <f t="array" ref="AD14">COUNT(IF(Referee1=$A14,IF(AwayTeam=AD$4,1)))+COUNT(IF(Referee2=$A14,IF(AwayTeam=AD$4,1)))</f>
        <v>1</v>
      </c>
      <c r="AE14" s="8">
        <f t="array" ref="AE14">COUNT(IF(Referee1=$A14,IF(AwayTeam=AE$4,1)))+COUNT(IF(Referee2=$A14,IF(AwayTeam=AE$4,1)))</f>
        <v>1</v>
      </c>
      <c r="AF14" s="8">
        <f t="array" ref="AF14">COUNT(IF(Referee1=$A14,IF(AwayTeam=AF$4,1)))+COUNT(IF(Referee2=$A14,IF(AwayTeam=AF$4,1)))</f>
        <v>1</v>
      </c>
      <c r="AG14" s="8">
        <f t="array" ref="AG14">COUNT(IF(Referee1=$A14,IF(AwayTeam=AG$4,1)))+COUNT(IF(Referee2=$A14,IF(AwayTeam=AG$4,1)))</f>
        <v>0</v>
      </c>
      <c r="AH14" s="8">
        <f t="array" ref="AH14">COUNT(IF(Referee1=$A14,IF(AwayTeam=AH$4,1)))+COUNT(IF(Referee2=$A14,IF(AwayTeam=AH$4,1)))</f>
        <v>0</v>
      </c>
      <c r="AI14" s="8">
        <f t="array" ref="AI14">COUNT(IF(Referee1=$A14,IF(AwayTeam=AI$4,1)))+COUNT(IF(Referee2=$A14,IF(AwayTeam=AI$4,1)))</f>
        <v>0</v>
      </c>
      <c r="AJ14" s="8">
        <f t="array" ref="AJ14">COUNT(IF(Referee1=$A14,IF(AwayTeam=AJ$4,1)))+COUNT(IF(Referee2=$A14,IF(AwayTeam=AJ$4,1)))</f>
        <v>0</v>
      </c>
      <c r="AK14" s="8">
        <f t="array" ref="AK14">COUNT(IF(Referee1=$A14,IF(AwayTeam=AK$4,1)))+COUNT(IF(Referee2=$A14,IF(AwayTeam=AK$4,1)))</f>
        <v>0</v>
      </c>
      <c r="AL14" s="8">
        <f t="array" ref="AL14">COUNT(IF(Referee1=$A14,IF(AwayTeam=AL$4,1)))+COUNT(IF(Referee2=$A14,IF(AwayTeam=AL$4,1)))</f>
        <v>0</v>
      </c>
      <c r="AM14" s="8">
        <f t="array" ref="AM14">COUNT(IF(Referee1=$A14,IF(AwayTeam=AM$4,1)))+COUNT(IF(Referee2=$A14,IF(AwayTeam=AM$4,1)))</f>
        <v>0</v>
      </c>
      <c r="AN14" s="8">
        <f t="array" ref="AN14">COUNT(IF(Referee1=$A14,IF(AwayTeam=AN$4,1)))+COUNT(IF(Referee2=$A14,IF(AwayTeam=AN$4,1)))</f>
        <v>0</v>
      </c>
      <c r="AO14" s="8">
        <f t="array" ref="AO14">COUNT(IF(Referee1=$A14,IF(AwayTeam=AO$4,1)))+COUNT(IF(Referee2=$A14,IF(AwayTeam=AO$4,1)))</f>
        <v>0</v>
      </c>
      <c r="AP14" s="8">
        <f t="array" ref="AP14">COUNT(IF(Referee1=$A14,IF(AwayTeam=AP$4,1)))+COUNT(IF(Referee2=$A14,IF(AwayTeam=AP$4,1)))</f>
        <v>0</v>
      </c>
    </row>
    <row r="15" spans="1:42" x14ac:dyDescent="0.2">
      <c r="A15" s="8" t="str">
        <f>IF(Info!A12&lt;&gt;0,Info!A12,"")</f>
        <v>Helbig, Kody</v>
      </c>
      <c r="B15" s="8">
        <f t="shared" si="0"/>
        <v>8</v>
      </c>
      <c r="C15" s="8">
        <f t="array" ref="C15">COUNT(IF(Referee1=$A15,IF(HomeTeam=C$4,1)))+COUNT(IF(Referee2=$A15,IF(HomeTeam=C$4,1)))</f>
        <v>0</v>
      </c>
      <c r="D15" s="8">
        <f t="array" ref="D15">COUNT(IF(Referee1=$A15,IF(HomeTeam=D$4,1)))+COUNT(IF(Referee2=$A15,IF(HomeTeam=D$4,1)))</f>
        <v>0</v>
      </c>
      <c r="E15" s="8">
        <f t="array" ref="E15">COUNT(IF(Referee1=$A15,IF(HomeTeam=E$4,1)))+COUNT(IF(Referee2=$A15,IF(HomeTeam=E$4,1)))</f>
        <v>1</v>
      </c>
      <c r="F15" s="8">
        <f t="array" ref="F15">COUNT(IF(Referee1=$A15,IF(HomeTeam=F$4,1)))+COUNT(IF(Referee2=$A15,IF(HomeTeam=F$4,1)))</f>
        <v>0</v>
      </c>
      <c r="G15" s="8">
        <f t="array" ref="G15">COUNT(IF(Referee1=$A15,IF(HomeTeam=G$4,1)))+COUNT(IF(Referee2=$A15,IF(HomeTeam=G$4,1)))</f>
        <v>1</v>
      </c>
      <c r="H15" s="8">
        <f t="array" ref="H15">COUNT(IF(Referee1=$A15,IF(HomeTeam=H$4,1)))+COUNT(IF(Referee2=$A15,IF(HomeTeam=H$4,1)))</f>
        <v>0</v>
      </c>
      <c r="I15" s="8">
        <f t="array" ref="I15">COUNT(IF(Referee1=$A15,IF(HomeTeam=I$4,1)))+COUNT(IF(Referee2=$A15,IF(HomeTeam=I$4,1)))</f>
        <v>1</v>
      </c>
      <c r="J15" s="8">
        <f t="array" ref="J15">COUNT(IF(Referee1=$A15,IF(HomeTeam=J$4,1)))+COUNT(IF(Referee2=$A15,IF(HomeTeam=J$4,1)))</f>
        <v>1</v>
      </c>
      <c r="K15" s="8">
        <f t="array" ref="K15">COUNT(IF(Referee1=$A15,IF(HomeTeam=K$4,1)))+COUNT(IF(Referee2=$A15,IF(HomeTeam=K$4,1)))</f>
        <v>0</v>
      </c>
      <c r="L15" s="8">
        <f t="array" ref="L15">COUNT(IF(Referee1=$A15,IF(HomeTeam=L$4,1)))+COUNT(IF(Referee2=$A15,IF(HomeTeam=L$4,1)))</f>
        <v>0</v>
      </c>
      <c r="M15" s="8">
        <f t="array" ref="M15">COUNT(IF(Referee1=$A15,IF(HomeTeam=M$4,1)))+COUNT(IF(Referee2=$A15,IF(HomeTeam=M$4,1)))</f>
        <v>0</v>
      </c>
      <c r="N15" s="8">
        <f t="array" ref="N15">COUNT(IF(Referee1=$A15,IF(HomeTeam=N$4,1)))+COUNT(IF(Referee2=$A15,IF(HomeTeam=N$4,1)))</f>
        <v>0</v>
      </c>
      <c r="O15" s="8">
        <f t="array" ref="O15">COUNT(IF(Referee1=$A15,IF(HomeTeam=O$4,1)))+COUNT(IF(Referee2=$A15,IF(HomeTeam=O$4,1)))</f>
        <v>0</v>
      </c>
      <c r="P15" s="8">
        <f t="array" ref="P15">COUNT(IF(Referee1=$A15,IF(HomeTeam=P$4,1)))+COUNT(IF(Referee2=$A15,IF(HomeTeam=P$4,1)))</f>
        <v>0</v>
      </c>
      <c r="Q15" s="8">
        <f t="array" ref="Q15">COUNT(IF(Referee1=$A15,IF(HomeTeam=Q$4,1)))+COUNT(IF(Referee2=$A15,IF(HomeTeam=Q$4,1)))</f>
        <v>0</v>
      </c>
      <c r="R15" s="8">
        <f t="array" ref="R15">COUNT(IF(Referee1=$A15,IF(HomeTeam=R$4,1)))+COUNT(IF(Referee2=$A15,IF(HomeTeam=R$4,1)))</f>
        <v>1</v>
      </c>
      <c r="S15" s="8">
        <f t="array" ref="S15">COUNT(IF(Referee1=$A15,IF(HomeTeam=S$4,1)))+COUNT(IF(Referee2=$A15,IF(HomeTeam=S$4,1)))</f>
        <v>3</v>
      </c>
      <c r="T15" s="8">
        <f t="array" ref="T15">COUNT(IF(Referee1=$A15,IF(HomeTeam=T$4,1)))+COUNT(IF(Referee2=$A15,IF(HomeTeam=T$4,1)))</f>
        <v>0</v>
      </c>
      <c r="U15" s="8">
        <f t="array" ref="U15">COUNT(IF(Referee1=$A15,IF(HomeTeam=U$4,1)))+COUNT(IF(Referee2=$A15,IF(HomeTeam=U$4,1)))</f>
        <v>0</v>
      </c>
      <c r="V15" s="8">
        <f t="array" ref="V15">COUNT(IF(Referee1=$A15,IF(HomeTeam=V$4,1)))+COUNT(IF(Referee2=$A15,IF(HomeTeam=V$4,1)))</f>
        <v>0</v>
      </c>
      <c r="W15" s="8">
        <f t="array" ref="W15">COUNT(IF(Referee1=$A15,IF(AwayTeam=W$4,1)))+COUNT(IF(Referee2=$A15,IF(AwayTeam=W$4,1)))</f>
        <v>4</v>
      </c>
      <c r="X15" s="8">
        <f t="array" ref="X15">COUNT(IF(Referee1=$A15,IF(AwayTeam=X$4,1)))+COUNT(IF(Referee2=$A15,IF(AwayTeam=X$4,1)))</f>
        <v>2</v>
      </c>
      <c r="Y15" s="8">
        <f t="array" ref="Y15">COUNT(IF(Referee1=$A15,IF(AwayTeam=Y$4,1)))+COUNT(IF(Referee2=$A15,IF(AwayTeam=Y$4,1)))</f>
        <v>1</v>
      </c>
      <c r="Z15" s="8">
        <f t="array" ref="Z15">COUNT(IF(Referee1=$A15,IF(AwayTeam=Z$4,1)))+COUNT(IF(Referee2=$A15,IF(AwayTeam=Z$4,1)))</f>
        <v>0</v>
      </c>
      <c r="AA15" s="8">
        <f t="array" ref="AA15">COUNT(IF(Referee1=$A15,IF(AwayTeam=AA$4,1)))+COUNT(IF(Referee2=$A15,IF(AwayTeam=AA$4,1)))</f>
        <v>0</v>
      </c>
      <c r="AB15" s="8">
        <f t="array" ref="AB15">COUNT(IF(Referee1=$A15,IF(AwayTeam=AB$4,1)))+COUNT(IF(Referee2=$A15,IF(AwayTeam=AB$4,1)))</f>
        <v>0</v>
      </c>
      <c r="AC15" s="8">
        <f t="array" ref="AC15">COUNT(IF(Referee1=$A15,IF(AwayTeam=AC$4,1)))+COUNT(IF(Referee2=$A15,IF(AwayTeam=AC$4,1)))</f>
        <v>1</v>
      </c>
      <c r="AD15" s="8">
        <f t="array" ref="AD15">COUNT(IF(Referee1=$A15,IF(AwayTeam=AD$4,1)))+COUNT(IF(Referee2=$A15,IF(AwayTeam=AD$4,1)))</f>
        <v>0</v>
      </c>
      <c r="AE15" s="8">
        <f t="array" ref="AE15">COUNT(IF(Referee1=$A15,IF(AwayTeam=AE$4,1)))+COUNT(IF(Referee2=$A15,IF(AwayTeam=AE$4,1)))</f>
        <v>0</v>
      </c>
      <c r="AF15" s="8">
        <f t="array" ref="AF15">COUNT(IF(Referee1=$A15,IF(AwayTeam=AF$4,1)))+COUNT(IF(Referee2=$A15,IF(AwayTeam=AF$4,1)))</f>
        <v>0</v>
      </c>
      <c r="AG15" s="8">
        <f t="array" ref="AG15">COUNT(IF(Referee1=$A15,IF(AwayTeam=AG$4,1)))+COUNT(IF(Referee2=$A15,IF(AwayTeam=AG$4,1)))</f>
        <v>0</v>
      </c>
      <c r="AH15" s="8">
        <f t="array" ref="AH15">COUNT(IF(Referee1=$A15,IF(AwayTeam=AH$4,1)))+COUNT(IF(Referee2=$A15,IF(AwayTeam=AH$4,1)))</f>
        <v>0</v>
      </c>
      <c r="AI15" s="8">
        <f t="array" ref="AI15">COUNT(IF(Referee1=$A15,IF(AwayTeam=AI$4,1)))+COUNT(IF(Referee2=$A15,IF(AwayTeam=AI$4,1)))</f>
        <v>0</v>
      </c>
      <c r="AJ15" s="8">
        <f t="array" ref="AJ15">COUNT(IF(Referee1=$A15,IF(AwayTeam=AJ$4,1)))+COUNT(IF(Referee2=$A15,IF(AwayTeam=AJ$4,1)))</f>
        <v>0</v>
      </c>
      <c r="AK15" s="8">
        <f t="array" ref="AK15">COUNT(IF(Referee1=$A15,IF(AwayTeam=AK$4,1)))+COUNT(IF(Referee2=$A15,IF(AwayTeam=AK$4,1)))</f>
        <v>0</v>
      </c>
      <c r="AL15" s="8">
        <f t="array" ref="AL15">COUNT(IF(Referee1=$A15,IF(AwayTeam=AL$4,1)))+COUNT(IF(Referee2=$A15,IF(AwayTeam=AL$4,1)))</f>
        <v>0</v>
      </c>
      <c r="AM15" s="8">
        <f t="array" ref="AM15">COUNT(IF(Referee1=$A15,IF(AwayTeam=AM$4,1)))+COUNT(IF(Referee2=$A15,IF(AwayTeam=AM$4,1)))</f>
        <v>0</v>
      </c>
      <c r="AN15" s="8">
        <f t="array" ref="AN15">COUNT(IF(Referee1=$A15,IF(AwayTeam=AN$4,1)))+COUNT(IF(Referee2=$A15,IF(AwayTeam=AN$4,1)))</f>
        <v>0</v>
      </c>
      <c r="AO15" s="8">
        <f t="array" ref="AO15">COUNT(IF(Referee1=$A15,IF(AwayTeam=AO$4,1)))+COUNT(IF(Referee2=$A15,IF(AwayTeam=AO$4,1)))</f>
        <v>0</v>
      </c>
      <c r="AP15" s="8">
        <f t="array" ref="AP15">COUNT(IF(Referee1=$A15,IF(AwayTeam=AP$4,1)))+COUNT(IF(Referee2=$A15,IF(AwayTeam=AP$4,1)))</f>
        <v>0</v>
      </c>
    </row>
    <row r="16" spans="1:42" x14ac:dyDescent="0.2">
      <c r="A16" s="8" t="str">
        <f>IF(Info!A13&lt;&gt;0,Info!A13,"")</f>
        <v>Jackson, Jake</v>
      </c>
      <c r="B16" s="8">
        <f t="shared" si="0"/>
        <v>20</v>
      </c>
      <c r="C16" s="8">
        <f t="array" ref="C16">COUNT(IF(Referee1=$A16,IF(HomeTeam=C$4,1)))+COUNT(IF(Referee2=$A16,IF(HomeTeam=C$4,1)))</f>
        <v>4</v>
      </c>
      <c r="D16" s="8">
        <f t="array" ref="D16">COUNT(IF(Referee1=$A16,IF(HomeTeam=D$4,1)))+COUNT(IF(Referee2=$A16,IF(HomeTeam=D$4,1)))</f>
        <v>1</v>
      </c>
      <c r="E16" s="8">
        <f t="array" ref="E16">COUNT(IF(Referee1=$A16,IF(HomeTeam=E$4,1)))+COUNT(IF(Referee2=$A16,IF(HomeTeam=E$4,1)))</f>
        <v>1</v>
      </c>
      <c r="F16" s="8">
        <f t="array" ref="F16">COUNT(IF(Referee1=$A16,IF(HomeTeam=F$4,1)))+COUNT(IF(Referee2=$A16,IF(HomeTeam=F$4,1)))</f>
        <v>2</v>
      </c>
      <c r="G16" s="8">
        <f t="array" ref="G16">COUNT(IF(Referee1=$A16,IF(HomeTeam=G$4,1)))+COUNT(IF(Referee2=$A16,IF(HomeTeam=G$4,1)))</f>
        <v>2</v>
      </c>
      <c r="H16" s="8">
        <f t="array" ref="H16">COUNT(IF(Referee1=$A16,IF(HomeTeam=H$4,1)))+COUNT(IF(Referee2=$A16,IF(HomeTeam=H$4,1)))</f>
        <v>2</v>
      </c>
      <c r="I16" s="8">
        <f t="array" ref="I16">COUNT(IF(Referee1=$A16,IF(HomeTeam=I$4,1)))+COUNT(IF(Referee2=$A16,IF(HomeTeam=I$4,1)))</f>
        <v>0</v>
      </c>
      <c r="J16" s="8">
        <f t="array" ref="J16">COUNT(IF(Referee1=$A16,IF(HomeTeam=J$4,1)))+COUNT(IF(Referee2=$A16,IF(HomeTeam=J$4,1)))</f>
        <v>1</v>
      </c>
      <c r="K16" s="8">
        <f t="array" ref="K16">COUNT(IF(Referee1=$A16,IF(HomeTeam=K$4,1)))+COUNT(IF(Referee2=$A16,IF(HomeTeam=K$4,1)))</f>
        <v>0</v>
      </c>
      <c r="L16" s="8">
        <f t="array" ref="L16">COUNT(IF(Referee1=$A16,IF(HomeTeam=L$4,1)))+COUNT(IF(Referee2=$A16,IF(HomeTeam=L$4,1)))</f>
        <v>3</v>
      </c>
      <c r="M16" s="8">
        <f t="array" ref="M16">COUNT(IF(Referee1=$A16,IF(HomeTeam=M$4,1)))+COUNT(IF(Referee2=$A16,IF(HomeTeam=M$4,1)))</f>
        <v>0</v>
      </c>
      <c r="N16" s="8">
        <f t="array" ref="N16">COUNT(IF(Referee1=$A16,IF(HomeTeam=N$4,1)))+COUNT(IF(Referee2=$A16,IF(HomeTeam=N$4,1)))</f>
        <v>0</v>
      </c>
      <c r="O16" s="8">
        <f t="array" ref="O16">COUNT(IF(Referee1=$A16,IF(HomeTeam=O$4,1)))+COUNT(IF(Referee2=$A16,IF(HomeTeam=O$4,1)))</f>
        <v>1</v>
      </c>
      <c r="P16" s="8">
        <f t="array" ref="P16">COUNT(IF(Referee1=$A16,IF(HomeTeam=P$4,1)))+COUNT(IF(Referee2=$A16,IF(HomeTeam=P$4,1)))</f>
        <v>1</v>
      </c>
      <c r="Q16" s="8">
        <f t="array" ref="Q16">COUNT(IF(Referee1=$A16,IF(HomeTeam=Q$4,1)))+COUNT(IF(Referee2=$A16,IF(HomeTeam=Q$4,1)))</f>
        <v>1</v>
      </c>
      <c r="R16" s="8">
        <f t="array" ref="R16">COUNT(IF(Referee1=$A16,IF(HomeTeam=R$4,1)))+COUNT(IF(Referee2=$A16,IF(HomeTeam=R$4,1)))</f>
        <v>1</v>
      </c>
      <c r="S16" s="8">
        <f t="array" ref="S16">COUNT(IF(Referee1=$A16,IF(HomeTeam=S$4,1)))+COUNT(IF(Referee2=$A16,IF(HomeTeam=S$4,1)))</f>
        <v>0</v>
      </c>
      <c r="T16" s="8">
        <f t="array" ref="T16">COUNT(IF(Referee1=$A16,IF(HomeTeam=T$4,1)))+COUNT(IF(Referee2=$A16,IF(HomeTeam=T$4,1)))</f>
        <v>0</v>
      </c>
      <c r="U16" s="8">
        <f t="array" ref="U16">COUNT(IF(Referee1=$A16,IF(HomeTeam=U$4,1)))+COUNT(IF(Referee2=$A16,IF(HomeTeam=U$4,1)))</f>
        <v>0</v>
      </c>
      <c r="V16" s="8">
        <f t="array" ref="V16">COUNT(IF(Referee1=$A16,IF(HomeTeam=V$4,1)))+COUNT(IF(Referee2=$A16,IF(HomeTeam=V$4,1)))</f>
        <v>0</v>
      </c>
      <c r="W16" s="8">
        <f t="array" ref="W16">COUNT(IF(Referee1=$A16,IF(AwayTeam=W$4,1)))+COUNT(IF(Referee2=$A16,IF(AwayTeam=W$4,1)))</f>
        <v>2</v>
      </c>
      <c r="X16" s="8">
        <f t="array" ref="X16">COUNT(IF(Referee1=$A16,IF(AwayTeam=X$4,1)))+COUNT(IF(Referee2=$A16,IF(AwayTeam=X$4,1)))</f>
        <v>4</v>
      </c>
      <c r="Y16" s="8">
        <f t="array" ref="Y16">COUNT(IF(Referee1=$A16,IF(AwayTeam=Y$4,1)))+COUNT(IF(Referee2=$A16,IF(AwayTeam=Y$4,1)))</f>
        <v>1</v>
      </c>
      <c r="Z16" s="8">
        <f t="array" ref="Z16">COUNT(IF(Referee1=$A16,IF(AwayTeam=Z$4,1)))+COUNT(IF(Referee2=$A16,IF(AwayTeam=Z$4,1)))</f>
        <v>6</v>
      </c>
      <c r="AA16" s="8">
        <f t="array" ref="AA16">COUNT(IF(Referee1=$A16,IF(AwayTeam=AA$4,1)))+COUNT(IF(Referee2=$A16,IF(AwayTeam=AA$4,1)))</f>
        <v>1</v>
      </c>
      <c r="AB16" s="8">
        <f t="array" ref="AB16">COUNT(IF(Referee1=$A16,IF(AwayTeam=AB$4,1)))+COUNT(IF(Referee2=$A16,IF(AwayTeam=AB$4,1)))</f>
        <v>1</v>
      </c>
      <c r="AC16" s="8">
        <f t="array" ref="AC16">COUNT(IF(Referee1=$A16,IF(AwayTeam=AC$4,1)))+COUNT(IF(Referee2=$A16,IF(AwayTeam=AC$4,1)))</f>
        <v>2</v>
      </c>
      <c r="AD16" s="8">
        <f t="array" ref="AD16">COUNT(IF(Referee1=$A16,IF(AwayTeam=AD$4,1)))+COUNT(IF(Referee2=$A16,IF(AwayTeam=AD$4,1)))</f>
        <v>0</v>
      </c>
      <c r="AE16" s="8">
        <f t="array" ref="AE16">COUNT(IF(Referee1=$A16,IF(AwayTeam=AE$4,1)))+COUNT(IF(Referee2=$A16,IF(AwayTeam=AE$4,1)))</f>
        <v>0</v>
      </c>
      <c r="AF16" s="8">
        <f t="array" ref="AF16">COUNT(IF(Referee1=$A16,IF(AwayTeam=AF$4,1)))+COUNT(IF(Referee2=$A16,IF(AwayTeam=AF$4,1)))</f>
        <v>0</v>
      </c>
      <c r="AG16" s="8">
        <f t="array" ref="AG16">COUNT(IF(Referee1=$A16,IF(AwayTeam=AG$4,1)))+COUNT(IF(Referee2=$A16,IF(AwayTeam=AG$4,1)))</f>
        <v>0</v>
      </c>
      <c r="AH16" s="8">
        <f t="array" ref="AH16">COUNT(IF(Referee1=$A16,IF(AwayTeam=AH$4,1)))+COUNT(IF(Referee2=$A16,IF(AwayTeam=AH$4,1)))</f>
        <v>0</v>
      </c>
      <c r="AI16" s="8">
        <f t="array" ref="AI16">COUNT(IF(Referee1=$A16,IF(AwayTeam=AI$4,1)))+COUNT(IF(Referee2=$A16,IF(AwayTeam=AI$4,1)))</f>
        <v>1</v>
      </c>
      <c r="AJ16" s="8">
        <f t="array" ref="AJ16">COUNT(IF(Referee1=$A16,IF(AwayTeam=AJ$4,1)))+COUNT(IF(Referee2=$A16,IF(AwayTeam=AJ$4,1)))</f>
        <v>0</v>
      </c>
      <c r="AK16" s="8">
        <f t="array" ref="AK16">COUNT(IF(Referee1=$A16,IF(AwayTeam=AK$4,1)))+COUNT(IF(Referee2=$A16,IF(AwayTeam=AK$4,1)))</f>
        <v>0</v>
      </c>
      <c r="AL16" s="8">
        <f t="array" ref="AL16">COUNT(IF(Referee1=$A16,IF(AwayTeam=AL$4,1)))+COUNT(IF(Referee2=$A16,IF(AwayTeam=AL$4,1)))</f>
        <v>0</v>
      </c>
      <c r="AM16" s="8">
        <f t="array" ref="AM16">COUNT(IF(Referee1=$A16,IF(AwayTeam=AM$4,1)))+COUNT(IF(Referee2=$A16,IF(AwayTeam=AM$4,1)))</f>
        <v>2</v>
      </c>
      <c r="AN16" s="8">
        <f t="array" ref="AN16">COUNT(IF(Referee1=$A16,IF(AwayTeam=AN$4,1)))+COUNT(IF(Referee2=$A16,IF(AwayTeam=AN$4,1)))</f>
        <v>0</v>
      </c>
      <c r="AO16" s="8">
        <f t="array" ref="AO16">COUNT(IF(Referee1=$A16,IF(AwayTeam=AO$4,1)))+COUNT(IF(Referee2=$A16,IF(AwayTeam=AO$4,1)))</f>
        <v>0</v>
      </c>
      <c r="AP16" s="8">
        <f t="array" ref="AP16">COUNT(IF(Referee1=$A16,IF(AwayTeam=AP$4,1)))+COUNT(IF(Referee2=$A16,IF(AwayTeam=AP$4,1)))</f>
        <v>0</v>
      </c>
    </row>
    <row r="17" spans="1:42" x14ac:dyDescent="0.2">
      <c r="A17" s="8" t="str">
        <f>IF(Info!A14&lt;&gt;0,Info!A14,"")</f>
        <v>Jendro, Ian</v>
      </c>
      <c r="B17" s="8">
        <f t="shared" si="0"/>
        <v>5</v>
      </c>
      <c r="C17" s="8">
        <f t="array" ref="C17">COUNT(IF(Referee1=$A17,IF(HomeTeam=C$4,1)))+COUNT(IF(Referee2=$A17,IF(HomeTeam=C$4,1)))</f>
        <v>1</v>
      </c>
      <c r="D17" s="8">
        <f t="array" ref="D17">COUNT(IF(Referee1=$A17,IF(HomeTeam=D$4,1)))+COUNT(IF(Referee2=$A17,IF(HomeTeam=D$4,1)))</f>
        <v>2</v>
      </c>
      <c r="E17" s="8">
        <f t="array" ref="E17">COUNT(IF(Referee1=$A17,IF(HomeTeam=E$4,1)))+COUNT(IF(Referee2=$A17,IF(HomeTeam=E$4,1)))</f>
        <v>0</v>
      </c>
      <c r="F17" s="8">
        <f t="array" ref="F17">COUNT(IF(Referee1=$A17,IF(HomeTeam=F$4,1)))+COUNT(IF(Referee2=$A17,IF(HomeTeam=F$4,1)))</f>
        <v>0</v>
      </c>
      <c r="G17" s="8">
        <f t="array" ref="G17">COUNT(IF(Referee1=$A17,IF(HomeTeam=G$4,1)))+COUNT(IF(Referee2=$A17,IF(HomeTeam=G$4,1)))</f>
        <v>0</v>
      </c>
      <c r="H17" s="8">
        <f t="array" ref="H17">COUNT(IF(Referee1=$A17,IF(HomeTeam=H$4,1)))+COUNT(IF(Referee2=$A17,IF(HomeTeam=H$4,1)))</f>
        <v>1</v>
      </c>
      <c r="I17" s="8">
        <f t="array" ref="I17">COUNT(IF(Referee1=$A17,IF(HomeTeam=I$4,1)))+COUNT(IF(Referee2=$A17,IF(HomeTeam=I$4,1)))</f>
        <v>0</v>
      </c>
      <c r="J17" s="8">
        <f t="array" ref="J17">COUNT(IF(Referee1=$A17,IF(HomeTeam=J$4,1)))+COUNT(IF(Referee2=$A17,IF(HomeTeam=J$4,1)))</f>
        <v>0</v>
      </c>
      <c r="K17" s="8">
        <f t="array" ref="K17">COUNT(IF(Referee1=$A17,IF(HomeTeam=K$4,1)))+COUNT(IF(Referee2=$A17,IF(HomeTeam=K$4,1)))</f>
        <v>1</v>
      </c>
      <c r="L17" s="8">
        <f t="array" ref="L17">COUNT(IF(Referee1=$A17,IF(HomeTeam=L$4,1)))+COUNT(IF(Referee2=$A17,IF(HomeTeam=L$4,1)))</f>
        <v>0</v>
      </c>
      <c r="M17" s="8">
        <f t="array" ref="M17">COUNT(IF(Referee1=$A17,IF(HomeTeam=M$4,1)))+COUNT(IF(Referee2=$A17,IF(HomeTeam=M$4,1)))</f>
        <v>0</v>
      </c>
      <c r="N17" s="8">
        <f t="array" ref="N17">COUNT(IF(Referee1=$A17,IF(HomeTeam=N$4,1)))+COUNT(IF(Referee2=$A17,IF(HomeTeam=N$4,1)))</f>
        <v>0</v>
      </c>
      <c r="O17" s="8">
        <f t="array" ref="O17">COUNT(IF(Referee1=$A17,IF(HomeTeam=O$4,1)))+COUNT(IF(Referee2=$A17,IF(HomeTeam=O$4,1)))</f>
        <v>0</v>
      </c>
      <c r="P17" s="8">
        <f t="array" ref="P17">COUNT(IF(Referee1=$A17,IF(HomeTeam=P$4,1)))+COUNT(IF(Referee2=$A17,IF(HomeTeam=P$4,1)))</f>
        <v>0</v>
      </c>
      <c r="Q17" s="8">
        <f t="array" ref="Q17">COUNT(IF(Referee1=$A17,IF(HomeTeam=Q$4,1)))+COUNT(IF(Referee2=$A17,IF(HomeTeam=Q$4,1)))</f>
        <v>0</v>
      </c>
      <c r="R17" s="8">
        <f t="array" ref="R17">COUNT(IF(Referee1=$A17,IF(HomeTeam=R$4,1)))+COUNT(IF(Referee2=$A17,IF(HomeTeam=R$4,1)))</f>
        <v>0</v>
      </c>
      <c r="S17" s="8">
        <f t="array" ref="S17">COUNT(IF(Referee1=$A17,IF(HomeTeam=S$4,1)))+COUNT(IF(Referee2=$A17,IF(HomeTeam=S$4,1)))</f>
        <v>0</v>
      </c>
      <c r="T17" s="8">
        <f t="array" ref="T17">COUNT(IF(Referee1=$A17,IF(HomeTeam=T$4,1)))+COUNT(IF(Referee2=$A17,IF(HomeTeam=T$4,1)))</f>
        <v>0</v>
      </c>
      <c r="U17" s="8">
        <f t="array" ref="U17">COUNT(IF(Referee1=$A17,IF(HomeTeam=U$4,1)))+COUNT(IF(Referee2=$A17,IF(HomeTeam=U$4,1)))</f>
        <v>0</v>
      </c>
      <c r="V17" s="8">
        <f t="array" ref="V17">COUNT(IF(Referee1=$A17,IF(HomeTeam=V$4,1)))+COUNT(IF(Referee2=$A17,IF(HomeTeam=V$4,1)))</f>
        <v>0</v>
      </c>
      <c r="W17" s="8">
        <f t="array" ref="W17">COUNT(IF(Referee1=$A17,IF(AwayTeam=W$4,1)))+COUNT(IF(Referee2=$A17,IF(AwayTeam=W$4,1)))</f>
        <v>1</v>
      </c>
      <c r="X17" s="8">
        <f t="array" ref="X17">COUNT(IF(Referee1=$A17,IF(AwayTeam=X$4,1)))+COUNT(IF(Referee2=$A17,IF(AwayTeam=X$4,1)))</f>
        <v>0</v>
      </c>
      <c r="Y17" s="8">
        <f t="array" ref="Y17">COUNT(IF(Referee1=$A17,IF(AwayTeam=Y$4,1)))+COUNT(IF(Referee2=$A17,IF(AwayTeam=Y$4,1)))</f>
        <v>0</v>
      </c>
      <c r="Z17" s="8">
        <f t="array" ref="Z17">COUNT(IF(Referee1=$A17,IF(AwayTeam=Z$4,1)))+COUNT(IF(Referee2=$A17,IF(AwayTeam=Z$4,1)))</f>
        <v>0</v>
      </c>
      <c r="AA17" s="8">
        <f t="array" ref="AA17">COUNT(IF(Referee1=$A17,IF(AwayTeam=AA$4,1)))+COUNT(IF(Referee2=$A17,IF(AwayTeam=AA$4,1)))</f>
        <v>1</v>
      </c>
      <c r="AB17" s="8">
        <f t="array" ref="AB17">COUNT(IF(Referee1=$A17,IF(AwayTeam=AB$4,1)))+COUNT(IF(Referee2=$A17,IF(AwayTeam=AB$4,1)))</f>
        <v>0</v>
      </c>
      <c r="AC17" s="8">
        <f t="array" ref="AC17">COUNT(IF(Referee1=$A17,IF(AwayTeam=AC$4,1)))+COUNT(IF(Referee2=$A17,IF(AwayTeam=AC$4,1)))</f>
        <v>0</v>
      </c>
      <c r="AD17" s="8">
        <f t="array" ref="AD17">COUNT(IF(Referee1=$A17,IF(AwayTeam=AD$4,1)))+COUNT(IF(Referee2=$A17,IF(AwayTeam=AD$4,1)))</f>
        <v>0</v>
      </c>
      <c r="AE17" s="8">
        <f t="array" ref="AE17">COUNT(IF(Referee1=$A17,IF(AwayTeam=AE$4,1)))+COUNT(IF(Referee2=$A17,IF(AwayTeam=AE$4,1)))</f>
        <v>0</v>
      </c>
      <c r="AF17" s="8">
        <f t="array" ref="AF17">COUNT(IF(Referee1=$A17,IF(AwayTeam=AF$4,1)))+COUNT(IF(Referee2=$A17,IF(AwayTeam=AF$4,1)))</f>
        <v>0</v>
      </c>
      <c r="AG17" s="8">
        <f t="array" ref="AG17">COUNT(IF(Referee1=$A17,IF(AwayTeam=AG$4,1)))+COUNT(IF(Referee2=$A17,IF(AwayTeam=AG$4,1)))</f>
        <v>0</v>
      </c>
      <c r="AH17" s="8">
        <f t="array" ref="AH17">COUNT(IF(Referee1=$A17,IF(AwayTeam=AH$4,1)))+COUNT(IF(Referee2=$A17,IF(AwayTeam=AH$4,1)))</f>
        <v>0</v>
      </c>
      <c r="AI17" s="8">
        <f t="array" ref="AI17">COUNT(IF(Referee1=$A17,IF(AwayTeam=AI$4,1)))+COUNT(IF(Referee2=$A17,IF(AwayTeam=AI$4,1)))</f>
        <v>0</v>
      </c>
      <c r="AJ17" s="8">
        <f t="array" ref="AJ17">COUNT(IF(Referee1=$A17,IF(AwayTeam=AJ$4,1)))+COUNT(IF(Referee2=$A17,IF(AwayTeam=AJ$4,1)))</f>
        <v>1</v>
      </c>
      <c r="AK17" s="8">
        <f t="array" ref="AK17">COUNT(IF(Referee1=$A17,IF(AwayTeam=AK$4,1)))+COUNT(IF(Referee2=$A17,IF(AwayTeam=AK$4,1)))</f>
        <v>1</v>
      </c>
      <c r="AL17" s="8">
        <f t="array" ref="AL17">COUNT(IF(Referee1=$A17,IF(AwayTeam=AL$4,1)))+COUNT(IF(Referee2=$A17,IF(AwayTeam=AL$4,1)))</f>
        <v>1</v>
      </c>
      <c r="AM17" s="8">
        <f t="array" ref="AM17">COUNT(IF(Referee1=$A17,IF(AwayTeam=AM$4,1)))+COUNT(IF(Referee2=$A17,IF(AwayTeam=AM$4,1)))</f>
        <v>0</v>
      </c>
      <c r="AN17" s="8">
        <f t="array" ref="AN17">COUNT(IF(Referee1=$A17,IF(AwayTeam=AN$4,1)))+COUNT(IF(Referee2=$A17,IF(AwayTeam=AN$4,1)))</f>
        <v>0</v>
      </c>
      <c r="AO17" s="8">
        <f t="array" ref="AO17">COUNT(IF(Referee1=$A17,IF(AwayTeam=AO$4,1)))+COUNT(IF(Referee2=$A17,IF(AwayTeam=AO$4,1)))</f>
        <v>0</v>
      </c>
      <c r="AP17" s="8">
        <f t="array" ref="AP17">COUNT(IF(Referee1=$A17,IF(AwayTeam=AP$4,1)))+COUNT(IF(Referee2=$A17,IF(AwayTeam=AP$4,1)))</f>
        <v>0</v>
      </c>
    </row>
    <row r="18" spans="1:42" x14ac:dyDescent="0.2">
      <c r="A18" s="8" t="str">
        <f>IF(Info!A15&lt;&gt;0,Info!A15,"")</f>
        <v>Klarson, Kyle</v>
      </c>
      <c r="B18" s="8">
        <f t="shared" si="0"/>
        <v>0</v>
      </c>
      <c r="C18" s="8">
        <f t="array" ref="C18">COUNT(IF(Referee1=$A18,IF(HomeTeam=C$4,1)))+COUNT(IF(Referee2=$A18,IF(HomeTeam=C$4,1)))</f>
        <v>0</v>
      </c>
      <c r="D18" s="8">
        <f t="array" ref="D18">COUNT(IF(Referee1=$A18,IF(HomeTeam=D$4,1)))+COUNT(IF(Referee2=$A18,IF(HomeTeam=D$4,1)))</f>
        <v>0</v>
      </c>
      <c r="E18" s="8">
        <f t="array" ref="E18">COUNT(IF(Referee1=$A18,IF(HomeTeam=E$4,1)))+COUNT(IF(Referee2=$A18,IF(HomeTeam=E$4,1)))</f>
        <v>0</v>
      </c>
      <c r="F18" s="8">
        <f t="array" ref="F18">COUNT(IF(Referee1=$A18,IF(HomeTeam=F$4,1)))+COUNT(IF(Referee2=$A18,IF(HomeTeam=F$4,1)))</f>
        <v>0</v>
      </c>
      <c r="G18" s="8">
        <f t="array" ref="G18">COUNT(IF(Referee1=$A18,IF(HomeTeam=G$4,1)))+COUNT(IF(Referee2=$A18,IF(HomeTeam=G$4,1)))</f>
        <v>0</v>
      </c>
      <c r="H18" s="8">
        <f t="array" ref="H18">COUNT(IF(Referee1=$A18,IF(HomeTeam=H$4,1)))+COUNT(IF(Referee2=$A18,IF(HomeTeam=H$4,1)))</f>
        <v>0</v>
      </c>
      <c r="I18" s="8">
        <f t="array" ref="I18">COUNT(IF(Referee1=$A18,IF(HomeTeam=I$4,1)))+COUNT(IF(Referee2=$A18,IF(HomeTeam=I$4,1)))</f>
        <v>0</v>
      </c>
      <c r="J18" s="8">
        <f t="array" ref="J18">COUNT(IF(Referee1=$A18,IF(HomeTeam=J$4,1)))+COUNT(IF(Referee2=$A18,IF(HomeTeam=J$4,1)))</f>
        <v>0</v>
      </c>
      <c r="K18" s="8">
        <f t="array" ref="K18">COUNT(IF(Referee1=$A18,IF(HomeTeam=K$4,1)))+COUNT(IF(Referee2=$A18,IF(HomeTeam=K$4,1)))</f>
        <v>0</v>
      </c>
      <c r="L18" s="8">
        <f t="array" ref="L18">COUNT(IF(Referee1=$A18,IF(HomeTeam=L$4,1)))+COUNT(IF(Referee2=$A18,IF(HomeTeam=L$4,1)))</f>
        <v>0</v>
      </c>
      <c r="M18" s="8">
        <f t="array" ref="M18">COUNT(IF(Referee1=$A18,IF(HomeTeam=M$4,1)))+COUNT(IF(Referee2=$A18,IF(HomeTeam=M$4,1)))</f>
        <v>0</v>
      </c>
      <c r="N18" s="8">
        <f t="array" ref="N18">COUNT(IF(Referee1=$A18,IF(HomeTeam=N$4,1)))+COUNT(IF(Referee2=$A18,IF(HomeTeam=N$4,1)))</f>
        <v>0</v>
      </c>
      <c r="O18" s="8">
        <f t="array" ref="O18">COUNT(IF(Referee1=$A18,IF(HomeTeam=O$4,1)))+COUNT(IF(Referee2=$A18,IF(HomeTeam=O$4,1)))</f>
        <v>0</v>
      </c>
      <c r="P18" s="8">
        <f t="array" ref="P18">COUNT(IF(Referee1=$A18,IF(HomeTeam=P$4,1)))+COUNT(IF(Referee2=$A18,IF(HomeTeam=P$4,1)))</f>
        <v>0</v>
      </c>
      <c r="Q18" s="8">
        <f t="array" ref="Q18">COUNT(IF(Referee1=$A18,IF(HomeTeam=Q$4,1)))+COUNT(IF(Referee2=$A18,IF(HomeTeam=Q$4,1)))</f>
        <v>0</v>
      </c>
      <c r="R18" s="8">
        <f t="array" ref="R18">COUNT(IF(Referee1=$A18,IF(HomeTeam=R$4,1)))+COUNT(IF(Referee2=$A18,IF(HomeTeam=R$4,1)))</f>
        <v>0</v>
      </c>
      <c r="S18" s="8">
        <f t="array" ref="S18">COUNT(IF(Referee1=$A18,IF(HomeTeam=S$4,1)))+COUNT(IF(Referee2=$A18,IF(HomeTeam=S$4,1)))</f>
        <v>0</v>
      </c>
      <c r="T18" s="8">
        <f t="array" ref="T18">COUNT(IF(Referee1=$A18,IF(HomeTeam=T$4,1)))+COUNT(IF(Referee2=$A18,IF(HomeTeam=T$4,1)))</f>
        <v>0</v>
      </c>
      <c r="U18" s="8">
        <f t="array" ref="U18">COUNT(IF(Referee1=$A18,IF(HomeTeam=U$4,1)))+COUNT(IF(Referee2=$A18,IF(HomeTeam=U$4,1)))</f>
        <v>0</v>
      </c>
      <c r="V18" s="8">
        <f t="array" ref="V18">COUNT(IF(Referee1=$A18,IF(HomeTeam=V$4,1)))+COUNT(IF(Referee2=$A18,IF(HomeTeam=V$4,1)))</f>
        <v>0</v>
      </c>
      <c r="W18" s="8">
        <f t="array" ref="W18">COUNT(IF(Referee1=$A18,IF(AwayTeam=W$4,1)))+COUNT(IF(Referee2=$A18,IF(AwayTeam=W$4,1)))</f>
        <v>0</v>
      </c>
      <c r="X18" s="8">
        <f t="array" ref="X18">COUNT(IF(Referee1=$A18,IF(AwayTeam=X$4,1)))+COUNT(IF(Referee2=$A18,IF(AwayTeam=X$4,1)))</f>
        <v>0</v>
      </c>
      <c r="Y18" s="8">
        <f t="array" ref="Y18">COUNT(IF(Referee1=$A18,IF(AwayTeam=Y$4,1)))+COUNT(IF(Referee2=$A18,IF(AwayTeam=Y$4,1)))</f>
        <v>0</v>
      </c>
      <c r="Z18" s="8">
        <f t="array" ref="Z18">COUNT(IF(Referee1=$A18,IF(AwayTeam=Z$4,1)))+COUNT(IF(Referee2=$A18,IF(AwayTeam=Z$4,1)))</f>
        <v>0</v>
      </c>
      <c r="AA18" s="8">
        <f t="array" ref="AA18">COUNT(IF(Referee1=$A18,IF(AwayTeam=AA$4,1)))+COUNT(IF(Referee2=$A18,IF(AwayTeam=AA$4,1)))</f>
        <v>0</v>
      </c>
      <c r="AB18" s="8">
        <f t="array" ref="AB18">COUNT(IF(Referee1=$A18,IF(AwayTeam=AB$4,1)))+COUNT(IF(Referee2=$A18,IF(AwayTeam=AB$4,1)))</f>
        <v>0</v>
      </c>
      <c r="AC18" s="8">
        <f t="array" ref="AC18">COUNT(IF(Referee1=$A18,IF(AwayTeam=AC$4,1)))+COUNT(IF(Referee2=$A18,IF(AwayTeam=AC$4,1)))</f>
        <v>0</v>
      </c>
      <c r="AD18" s="8">
        <f t="array" ref="AD18">COUNT(IF(Referee1=$A18,IF(AwayTeam=AD$4,1)))+COUNT(IF(Referee2=$A18,IF(AwayTeam=AD$4,1)))</f>
        <v>0</v>
      </c>
      <c r="AE18" s="8">
        <f t="array" ref="AE18">COUNT(IF(Referee1=$A18,IF(AwayTeam=AE$4,1)))+COUNT(IF(Referee2=$A18,IF(AwayTeam=AE$4,1)))</f>
        <v>0</v>
      </c>
      <c r="AF18" s="8">
        <f t="array" ref="AF18">COUNT(IF(Referee1=$A18,IF(AwayTeam=AF$4,1)))+COUNT(IF(Referee2=$A18,IF(AwayTeam=AF$4,1)))</f>
        <v>0</v>
      </c>
      <c r="AG18" s="8">
        <f t="array" ref="AG18">COUNT(IF(Referee1=$A18,IF(AwayTeam=AG$4,1)))+COUNT(IF(Referee2=$A18,IF(AwayTeam=AG$4,1)))</f>
        <v>0</v>
      </c>
      <c r="AH18" s="8">
        <f t="array" ref="AH18">COUNT(IF(Referee1=$A18,IF(AwayTeam=AH$4,1)))+COUNT(IF(Referee2=$A18,IF(AwayTeam=AH$4,1)))</f>
        <v>0</v>
      </c>
      <c r="AI18" s="8">
        <f t="array" ref="AI18">COUNT(IF(Referee1=$A18,IF(AwayTeam=AI$4,1)))+COUNT(IF(Referee2=$A18,IF(AwayTeam=AI$4,1)))</f>
        <v>0</v>
      </c>
      <c r="AJ18" s="8">
        <f t="array" ref="AJ18">COUNT(IF(Referee1=$A18,IF(AwayTeam=AJ$4,1)))+COUNT(IF(Referee2=$A18,IF(AwayTeam=AJ$4,1)))</f>
        <v>0</v>
      </c>
      <c r="AK18" s="8">
        <f t="array" ref="AK18">COUNT(IF(Referee1=$A18,IF(AwayTeam=AK$4,1)))+COUNT(IF(Referee2=$A18,IF(AwayTeam=AK$4,1)))</f>
        <v>0</v>
      </c>
      <c r="AL18" s="8">
        <f t="array" ref="AL18">COUNT(IF(Referee1=$A18,IF(AwayTeam=AL$4,1)))+COUNT(IF(Referee2=$A18,IF(AwayTeam=AL$4,1)))</f>
        <v>0</v>
      </c>
      <c r="AM18" s="8">
        <f t="array" ref="AM18">COUNT(IF(Referee1=$A18,IF(AwayTeam=AM$4,1)))+COUNT(IF(Referee2=$A18,IF(AwayTeam=AM$4,1)))</f>
        <v>0</v>
      </c>
      <c r="AN18" s="8">
        <f t="array" ref="AN18">COUNT(IF(Referee1=$A18,IF(AwayTeam=AN$4,1)))+COUNT(IF(Referee2=$A18,IF(AwayTeam=AN$4,1)))</f>
        <v>0</v>
      </c>
      <c r="AO18" s="8">
        <f t="array" ref="AO18">COUNT(IF(Referee1=$A18,IF(AwayTeam=AO$4,1)))+COUNT(IF(Referee2=$A18,IF(AwayTeam=AO$4,1)))</f>
        <v>0</v>
      </c>
      <c r="AP18" s="8">
        <f t="array" ref="AP18">COUNT(IF(Referee1=$A18,IF(AwayTeam=AP$4,1)))+COUNT(IF(Referee2=$A18,IF(AwayTeam=AP$4,1)))</f>
        <v>0</v>
      </c>
    </row>
    <row r="19" spans="1:42" x14ac:dyDescent="0.2">
      <c r="A19" s="8" t="str">
        <f>IF(Info!A16&lt;&gt;0,Info!A16,"")</f>
        <v>Krasnichuk, Eric</v>
      </c>
      <c r="B19" s="8">
        <f t="shared" si="0"/>
        <v>4</v>
      </c>
      <c r="C19" s="8">
        <f t="array" ref="C19">COUNT(IF(Referee1=$A19,IF(HomeTeam=C$4,1)))+COUNT(IF(Referee2=$A19,IF(HomeTeam=C$4,1)))</f>
        <v>2</v>
      </c>
      <c r="D19" s="8">
        <f t="array" ref="D19">COUNT(IF(Referee1=$A19,IF(HomeTeam=D$4,1)))+COUNT(IF(Referee2=$A19,IF(HomeTeam=D$4,1)))</f>
        <v>0</v>
      </c>
      <c r="E19" s="8">
        <f t="array" ref="E19">COUNT(IF(Referee1=$A19,IF(HomeTeam=E$4,1)))+COUNT(IF(Referee2=$A19,IF(HomeTeam=E$4,1)))</f>
        <v>0</v>
      </c>
      <c r="F19" s="8">
        <f t="array" ref="F19">COUNT(IF(Referee1=$A19,IF(HomeTeam=F$4,1)))+COUNT(IF(Referee2=$A19,IF(HomeTeam=F$4,1)))</f>
        <v>0</v>
      </c>
      <c r="G19" s="8">
        <f t="array" ref="G19">COUNT(IF(Referee1=$A19,IF(HomeTeam=G$4,1)))+COUNT(IF(Referee2=$A19,IF(HomeTeam=G$4,1)))</f>
        <v>0</v>
      </c>
      <c r="H19" s="8">
        <f t="array" ref="H19">COUNT(IF(Referee1=$A19,IF(HomeTeam=H$4,1)))+COUNT(IF(Referee2=$A19,IF(HomeTeam=H$4,1)))</f>
        <v>0</v>
      </c>
      <c r="I19" s="8">
        <f t="array" ref="I19">COUNT(IF(Referee1=$A19,IF(HomeTeam=I$4,1)))+COUNT(IF(Referee2=$A19,IF(HomeTeam=I$4,1)))</f>
        <v>0</v>
      </c>
      <c r="J19" s="8">
        <f t="array" ref="J19">COUNT(IF(Referee1=$A19,IF(HomeTeam=J$4,1)))+COUNT(IF(Referee2=$A19,IF(HomeTeam=J$4,1)))</f>
        <v>0</v>
      </c>
      <c r="K19" s="8">
        <f t="array" ref="K19">COUNT(IF(Referee1=$A19,IF(HomeTeam=K$4,1)))+COUNT(IF(Referee2=$A19,IF(HomeTeam=K$4,1)))</f>
        <v>1</v>
      </c>
      <c r="L19" s="8">
        <f t="array" ref="L19">COUNT(IF(Referee1=$A19,IF(HomeTeam=L$4,1)))+COUNT(IF(Referee2=$A19,IF(HomeTeam=L$4,1)))</f>
        <v>0</v>
      </c>
      <c r="M19" s="8">
        <f t="array" ref="M19">COUNT(IF(Referee1=$A19,IF(HomeTeam=M$4,1)))+COUNT(IF(Referee2=$A19,IF(HomeTeam=M$4,1)))</f>
        <v>0</v>
      </c>
      <c r="N19" s="8">
        <f t="array" ref="N19">COUNT(IF(Referee1=$A19,IF(HomeTeam=N$4,1)))+COUNT(IF(Referee2=$A19,IF(HomeTeam=N$4,1)))</f>
        <v>0</v>
      </c>
      <c r="O19" s="8">
        <f t="array" ref="O19">COUNT(IF(Referee1=$A19,IF(HomeTeam=O$4,1)))+COUNT(IF(Referee2=$A19,IF(HomeTeam=O$4,1)))</f>
        <v>1</v>
      </c>
      <c r="P19" s="8">
        <f t="array" ref="P19">COUNT(IF(Referee1=$A19,IF(HomeTeam=P$4,1)))+COUNT(IF(Referee2=$A19,IF(HomeTeam=P$4,1)))</f>
        <v>0</v>
      </c>
      <c r="Q19" s="8">
        <f t="array" ref="Q19">COUNT(IF(Referee1=$A19,IF(HomeTeam=Q$4,1)))+COUNT(IF(Referee2=$A19,IF(HomeTeam=Q$4,1)))</f>
        <v>0</v>
      </c>
      <c r="R19" s="8">
        <f t="array" ref="R19">COUNT(IF(Referee1=$A19,IF(HomeTeam=R$4,1)))+COUNT(IF(Referee2=$A19,IF(HomeTeam=R$4,1)))</f>
        <v>0</v>
      </c>
      <c r="S19" s="8">
        <f t="array" ref="S19">COUNT(IF(Referee1=$A19,IF(HomeTeam=S$4,1)))+COUNT(IF(Referee2=$A19,IF(HomeTeam=S$4,1)))</f>
        <v>0</v>
      </c>
      <c r="T19" s="8">
        <f t="array" ref="T19">COUNT(IF(Referee1=$A19,IF(HomeTeam=T$4,1)))+COUNT(IF(Referee2=$A19,IF(HomeTeam=T$4,1)))</f>
        <v>0</v>
      </c>
      <c r="U19" s="8">
        <f t="array" ref="U19">COUNT(IF(Referee1=$A19,IF(HomeTeam=U$4,1)))+COUNT(IF(Referee2=$A19,IF(HomeTeam=U$4,1)))</f>
        <v>0</v>
      </c>
      <c r="V19" s="8">
        <f t="array" ref="V19">COUNT(IF(Referee1=$A19,IF(HomeTeam=V$4,1)))+COUNT(IF(Referee2=$A19,IF(HomeTeam=V$4,1)))</f>
        <v>0</v>
      </c>
      <c r="W19" s="8">
        <f t="array" ref="W19">COUNT(IF(Referee1=$A19,IF(AwayTeam=W$4,1)))+COUNT(IF(Referee2=$A19,IF(AwayTeam=W$4,1)))</f>
        <v>0</v>
      </c>
      <c r="X19" s="8">
        <f t="array" ref="X19">COUNT(IF(Referee1=$A19,IF(AwayTeam=X$4,1)))+COUNT(IF(Referee2=$A19,IF(AwayTeam=X$4,1)))</f>
        <v>0</v>
      </c>
      <c r="Y19" s="8">
        <f t="array" ref="Y19">COUNT(IF(Referee1=$A19,IF(AwayTeam=Y$4,1)))+COUNT(IF(Referee2=$A19,IF(AwayTeam=Y$4,1)))</f>
        <v>1</v>
      </c>
      <c r="Z19" s="8">
        <f t="array" ref="Z19">COUNT(IF(Referee1=$A19,IF(AwayTeam=Z$4,1)))+COUNT(IF(Referee2=$A19,IF(AwayTeam=Z$4,1)))</f>
        <v>0</v>
      </c>
      <c r="AA19" s="8">
        <f t="array" ref="AA19">COUNT(IF(Referee1=$A19,IF(AwayTeam=AA$4,1)))+COUNT(IF(Referee2=$A19,IF(AwayTeam=AA$4,1)))</f>
        <v>1</v>
      </c>
      <c r="AB19" s="8">
        <f t="array" ref="AB19">COUNT(IF(Referee1=$A19,IF(AwayTeam=AB$4,1)))+COUNT(IF(Referee2=$A19,IF(AwayTeam=AB$4,1)))</f>
        <v>0</v>
      </c>
      <c r="AC19" s="8">
        <f t="array" ref="AC19">COUNT(IF(Referee1=$A19,IF(AwayTeam=AC$4,1)))+COUNT(IF(Referee2=$A19,IF(AwayTeam=AC$4,1)))</f>
        <v>0</v>
      </c>
      <c r="AD19" s="8">
        <f t="array" ref="AD19">COUNT(IF(Referee1=$A19,IF(AwayTeam=AD$4,1)))+COUNT(IF(Referee2=$A19,IF(AwayTeam=AD$4,1)))</f>
        <v>0</v>
      </c>
      <c r="AE19" s="8">
        <f t="array" ref="AE19">COUNT(IF(Referee1=$A19,IF(AwayTeam=AE$4,1)))+COUNT(IF(Referee2=$A19,IF(AwayTeam=AE$4,1)))</f>
        <v>0</v>
      </c>
      <c r="AF19" s="8">
        <f t="array" ref="AF19">COUNT(IF(Referee1=$A19,IF(AwayTeam=AF$4,1)))+COUNT(IF(Referee2=$A19,IF(AwayTeam=AF$4,1)))</f>
        <v>0</v>
      </c>
      <c r="AG19" s="8">
        <f t="array" ref="AG19">COUNT(IF(Referee1=$A19,IF(AwayTeam=AG$4,1)))+COUNT(IF(Referee2=$A19,IF(AwayTeam=AG$4,1)))</f>
        <v>0</v>
      </c>
      <c r="AH19" s="8">
        <f t="array" ref="AH19">COUNT(IF(Referee1=$A19,IF(AwayTeam=AH$4,1)))+COUNT(IF(Referee2=$A19,IF(AwayTeam=AH$4,1)))</f>
        <v>0</v>
      </c>
      <c r="AI19" s="8">
        <f t="array" ref="AI19">COUNT(IF(Referee1=$A19,IF(AwayTeam=AI$4,1)))+COUNT(IF(Referee2=$A19,IF(AwayTeam=AI$4,1)))</f>
        <v>0</v>
      </c>
      <c r="AJ19" s="8">
        <f t="array" ref="AJ19">COUNT(IF(Referee1=$A19,IF(AwayTeam=AJ$4,1)))+COUNT(IF(Referee2=$A19,IF(AwayTeam=AJ$4,1)))</f>
        <v>1</v>
      </c>
      <c r="AK19" s="8">
        <f t="array" ref="AK19">COUNT(IF(Referee1=$A19,IF(AwayTeam=AK$4,1)))+COUNT(IF(Referee2=$A19,IF(AwayTeam=AK$4,1)))</f>
        <v>1</v>
      </c>
      <c r="AL19" s="8">
        <f t="array" ref="AL19">COUNT(IF(Referee1=$A19,IF(AwayTeam=AL$4,1)))+COUNT(IF(Referee2=$A19,IF(AwayTeam=AL$4,1)))</f>
        <v>0</v>
      </c>
      <c r="AM19" s="8">
        <f t="array" ref="AM19">COUNT(IF(Referee1=$A19,IF(AwayTeam=AM$4,1)))+COUNT(IF(Referee2=$A19,IF(AwayTeam=AM$4,1)))</f>
        <v>0</v>
      </c>
      <c r="AN19" s="8">
        <f t="array" ref="AN19">COUNT(IF(Referee1=$A19,IF(AwayTeam=AN$4,1)))+COUNT(IF(Referee2=$A19,IF(AwayTeam=AN$4,1)))</f>
        <v>0</v>
      </c>
      <c r="AO19" s="8">
        <f t="array" ref="AO19">COUNT(IF(Referee1=$A19,IF(AwayTeam=AO$4,1)))+COUNT(IF(Referee2=$A19,IF(AwayTeam=AO$4,1)))</f>
        <v>0</v>
      </c>
      <c r="AP19" s="8">
        <f t="array" ref="AP19">COUNT(IF(Referee1=$A19,IF(AwayTeam=AP$4,1)))+COUNT(IF(Referee2=$A19,IF(AwayTeam=AP$4,1)))</f>
        <v>0</v>
      </c>
    </row>
    <row r="20" spans="1:42" x14ac:dyDescent="0.2">
      <c r="A20" s="8" t="str">
        <f>IF(Info!A17&lt;&gt;0,Info!A17,"")</f>
        <v>Larson, Kyle</v>
      </c>
      <c r="B20" s="8">
        <f t="shared" si="0"/>
        <v>1</v>
      </c>
      <c r="C20" s="8">
        <f t="array" ref="C20">COUNT(IF(Referee1=$A20,IF(HomeTeam=C$4,1)))+COUNT(IF(Referee2=$A20,IF(HomeTeam=C$4,1)))</f>
        <v>0</v>
      </c>
      <c r="D20" s="8">
        <f t="array" ref="D20">COUNT(IF(Referee1=$A20,IF(HomeTeam=D$4,1)))+COUNT(IF(Referee2=$A20,IF(HomeTeam=D$4,1)))</f>
        <v>0</v>
      </c>
      <c r="E20" s="8">
        <f t="array" ref="E20">COUNT(IF(Referee1=$A20,IF(HomeTeam=E$4,1)))+COUNT(IF(Referee2=$A20,IF(HomeTeam=E$4,1)))</f>
        <v>0</v>
      </c>
      <c r="F20" s="8">
        <f t="array" ref="F20">COUNT(IF(Referee1=$A20,IF(HomeTeam=F$4,1)))+COUNT(IF(Referee2=$A20,IF(HomeTeam=F$4,1)))</f>
        <v>0</v>
      </c>
      <c r="G20" s="8">
        <f t="array" ref="G20">COUNT(IF(Referee1=$A20,IF(HomeTeam=G$4,1)))+COUNT(IF(Referee2=$A20,IF(HomeTeam=G$4,1)))</f>
        <v>0</v>
      </c>
      <c r="H20" s="8">
        <f t="array" ref="H20">COUNT(IF(Referee1=$A20,IF(HomeTeam=H$4,1)))+COUNT(IF(Referee2=$A20,IF(HomeTeam=H$4,1)))</f>
        <v>0</v>
      </c>
      <c r="I20" s="8">
        <f t="array" ref="I20">COUNT(IF(Referee1=$A20,IF(HomeTeam=I$4,1)))+COUNT(IF(Referee2=$A20,IF(HomeTeam=I$4,1)))</f>
        <v>0</v>
      </c>
      <c r="J20" s="8">
        <f t="array" ref="J20">COUNT(IF(Referee1=$A20,IF(HomeTeam=J$4,1)))+COUNT(IF(Referee2=$A20,IF(HomeTeam=J$4,1)))</f>
        <v>0</v>
      </c>
      <c r="K20" s="8">
        <f t="array" ref="K20">COUNT(IF(Referee1=$A20,IF(HomeTeam=K$4,1)))+COUNT(IF(Referee2=$A20,IF(HomeTeam=K$4,1)))</f>
        <v>1</v>
      </c>
      <c r="L20" s="8">
        <f t="array" ref="L20">COUNT(IF(Referee1=$A20,IF(HomeTeam=L$4,1)))+COUNT(IF(Referee2=$A20,IF(HomeTeam=L$4,1)))</f>
        <v>0</v>
      </c>
      <c r="M20" s="8">
        <f t="array" ref="M20">COUNT(IF(Referee1=$A20,IF(HomeTeam=M$4,1)))+COUNT(IF(Referee2=$A20,IF(HomeTeam=M$4,1)))</f>
        <v>0</v>
      </c>
      <c r="N20" s="8">
        <f t="array" ref="N20">COUNT(IF(Referee1=$A20,IF(HomeTeam=N$4,1)))+COUNT(IF(Referee2=$A20,IF(HomeTeam=N$4,1)))</f>
        <v>0</v>
      </c>
      <c r="O20" s="8">
        <f t="array" ref="O20">COUNT(IF(Referee1=$A20,IF(HomeTeam=O$4,1)))+COUNT(IF(Referee2=$A20,IF(HomeTeam=O$4,1)))</f>
        <v>0</v>
      </c>
      <c r="P20" s="8">
        <f t="array" ref="P20">COUNT(IF(Referee1=$A20,IF(HomeTeam=P$4,1)))+COUNT(IF(Referee2=$A20,IF(HomeTeam=P$4,1)))</f>
        <v>0</v>
      </c>
      <c r="Q20" s="8">
        <f t="array" ref="Q20">COUNT(IF(Referee1=$A20,IF(HomeTeam=Q$4,1)))+COUNT(IF(Referee2=$A20,IF(HomeTeam=Q$4,1)))</f>
        <v>0</v>
      </c>
      <c r="R20" s="8">
        <f t="array" ref="R20">COUNT(IF(Referee1=$A20,IF(HomeTeam=R$4,1)))+COUNT(IF(Referee2=$A20,IF(HomeTeam=R$4,1)))</f>
        <v>0</v>
      </c>
      <c r="S20" s="8">
        <f t="array" ref="S20">COUNT(IF(Referee1=$A20,IF(HomeTeam=S$4,1)))+COUNT(IF(Referee2=$A20,IF(HomeTeam=S$4,1)))</f>
        <v>0</v>
      </c>
      <c r="T20" s="8">
        <f t="array" ref="T20">COUNT(IF(Referee1=$A20,IF(HomeTeam=T$4,1)))+COUNT(IF(Referee2=$A20,IF(HomeTeam=T$4,1)))</f>
        <v>0</v>
      </c>
      <c r="U20" s="8">
        <f t="array" ref="U20">COUNT(IF(Referee1=$A20,IF(HomeTeam=U$4,1)))+COUNT(IF(Referee2=$A20,IF(HomeTeam=U$4,1)))</f>
        <v>0</v>
      </c>
      <c r="V20" s="8">
        <f t="array" ref="V20">COUNT(IF(Referee1=$A20,IF(HomeTeam=V$4,1)))+COUNT(IF(Referee2=$A20,IF(HomeTeam=V$4,1)))</f>
        <v>0</v>
      </c>
      <c r="W20" s="8">
        <f t="array" ref="W20">COUNT(IF(Referee1=$A20,IF(AwayTeam=W$4,1)))+COUNT(IF(Referee2=$A20,IF(AwayTeam=W$4,1)))</f>
        <v>0</v>
      </c>
      <c r="X20" s="8">
        <f t="array" ref="X20">COUNT(IF(Referee1=$A20,IF(AwayTeam=X$4,1)))+COUNT(IF(Referee2=$A20,IF(AwayTeam=X$4,1)))</f>
        <v>0</v>
      </c>
      <c r="Y20" s="8">
        <f t="array" ref="Y20">COUNT(IF(Referee1=$A20,IF(AwayTeam=Y$4,1)))+COUNT(IF(Referee2=$A20,IF(AwayTeam=Y$4,1)))</f>
        <v>0</v>
      </c>
      <c r="Z20" s="8">
        <f t="array" ref="Z20">COUNT(IF(Referee1=$A20,IF(AwayTeam=Z$4,1)))+COUNT(IF(Referee2=$A20,IF(AwayTeam=Z$4,1)))</f>
        <v>0</v>
      </c>
      <c r="AA20" s="8">
        <f t="array" ref="AA20">COUNT(IF(Referee1=$A20,IF(AwayTeam=AA$4,1)))+COUNT(IF(Referee2=$A20,IF(AwayTeam=AA$4,1)))</f>
        <v>0</v>
      </c>
      <c r="AB20" s="8">
        <f t="array" ref="AB20">COUNT(IF(Referee1=$A20,IF(AwayTeam=AB$4,1)))+COUNT(IF(Referee2=$A20,IF(AwayTeam=AB$4,1)))</f>
        <v>0</v>
      </c>
      <c r="AC20" s="8">
        <f t="array" ref="AC20">COUNT(IF(Referee1=$A20,IF(AwayTeam=AC$4,1)))+COUNT(IF(Referee2=$A20,IF(AwayTeam=AC$4,1)))</f>
        <v>1</v>
      </c>
      <c r="AD20" s="8">
        <f t="array" ref="AD20">COUNT(IF(Referee1=$A20,IF(AwayTeam=AD$4,1)))+COUNT(IF(Referee2=$A20,IF(AwayTeam=AD$4,1)))</f>
        <v>0</v>
      </c>
      <c r="AE20" s="8">
        <f t="array" ref="AE20">COUNT(IF(Referee1=$A20,IF(AwayTeam=AE$4,1)))+COUNT(IF(Referee2=$A20,IF(AwayTeam=AE$4,1)))</f>
        <v>0</v>
      </c>
      <c r="AF20" s="8">
        <f t="array" ref="AF20">COUNT(IF(Referee1=$A20,IF(AwayTeam=AF$4,1)))+COUNT(IF(Referee2=$A20,IF(AwayTeam=AF$4,1)))</f>
        <v>0</v>
      </c>
      <c r="AG20" s="8">
        <f t="array" ref="AG20">COUNT(IF(Referee1=$A20,IF(AwayTeam=AG$4,1)))+COUNT(IF(Referee2=$A20,IF(AwayTeam=AG$4,1)))</f>
        <v>0</v>
      </c>
      <c r="AH20" s="8">
        <f t="array" ref="AH20">COUNT(IF(Referee1=$A20,IF(AwayTeam=AH$4,1)))+COUNT(IF(Referee2=$A20,IF(AwayTeam=AH$4,1)))</f>
        <v>0</v>
      </c>
      <c r="AI20" s="8">
        <f t="array" ref="AI20">COUNT(IF(Referee1=$A20,IF(AwayTeam=AI$4,1)))+COUNT(IF(Referee2=$A20,IF(AwayTeam=AI$4,1)))</f>
        <v>0</v>
      </c>
      <c r="AJ20" s="8">
        <f t="array" ref="AJ20">COUNT(IF(Referee1=$A20,IF(AwayTeam=AJ$4,1)))+COUNT(IF(Referee2=$A20,IF(AwayTeam=AJ$4,1)))</f>
        <v>0</v>
      </c>
      <c r="AK20" s="8">
        <f t="array" ref="AK20">COUNT(IF(Referee1=$A20,IF(AwayTeam=AK$4,1)))+COUNT(IF(Referee2=$A20,IF(AwayTeam=AK$4,1)))</f>
        <v>0</v>
      </c>
      <c r="AL20" s="8">
        <f t="array" ref="AL20">COUNT(IF(Referee1=$A20,IF(AwayTeam=AL$4,1)))+COUNT(IF(Referee2=$A20,IF(AwayTeam=AL$4,1)))</f>
        <v>0</v>
      </c>
      <c r="AM20" s="8">
        <f t="array" ref="AM20">COUNT(IF(Referee1=$A20,IF(AwayTeam=AM$4,1)))+COUNT(IF(Referee2=$A20,IF(AwayTeam=AM$4,1)))</f>
        <v>0</v>
      </c>
      <c r="AN20" s="8">
        <f t="array" ref="AN20">COUNT(IF(Referee1=$A20,IF(AwayTeam=AN$4,1)))+COUNT(IF(Referee2=$A20,IF(AwayTeam=AN$4,1)))</f>
        <v>0</v>
      </c>
      <c r="AO20" s="8">
        <f t="array" ref="AO20">COUNT(IF(Referee1=$A20,IF(AwayTeam=AO$4,1)))+COUNT(IF(Referee2=$A20,IF(AwayTeam=AO$4,1)))</f>
        <v>0</v>
      </c>
      <c r="AP20" s="8">
        <f t="array" ref="AP20">COUNT(IF(Referee1=$A20,IF(AwayTeam=AP$4,1)))+COUNT(IF(Referee2=$A20,IF(AwayTeam=AP$4,1)))</f>
        <v>0</v>
      </c>
    </row>
    <row r="21" spans="1:42" x14ac:dyDescent="0.2">
      <c r="A21" s="8" t="str">
        <f>IF(Info!A18&lt;&gt;0,Info!A18,"")</f>
        <v>Larson, Matt</v>
      </c>
      <c r="B21" s="8">
        <f t="shared" si="0"/>
        <v>7</v>
      </c>
      <c r="C21" s="8">
        <f t="array" ref="C21">COUNT(IF(Referee1=$A21,IF(HomeTeam=C$4,1)))+COUNT(IF(Referee2=$A21,IF(HomeTeam=C$4,1)))</f>
        <v>2</v>
      </c>
      <c r="D21" s="8">
        <f t="array" ref="D21">COUNT(IF(Referee1=$A21,IF(HomeTeam=D$4,1)))+COUNT(IF(Referee2=$A21,IF(HomeTeam=D$4,1)))</f>
        <v>0</v>
      </c>
      <c r="E21" s="8">
        <f t="array" ref="E21">COUNT(IF(Referee1=$A21,IF(HomeTeam=E$4,1)))+COUNT(IF(Referee2=$A21,IF(HomeTeam=E$4,1)))</f>
        <v>0</v>
      </c>
      <c r="F21" s="8">
        <f t="array" ref="F21">COUNT(IF(Referee1=$A21,IF(HomeTeam=F$4,1)))+COUNT(IF(Referee2=$A21,IF(HomeTeam=F$4,1)))</f>
        <v>5</v>
      </c>
      <c r="G21" s="8">
        <f t="array" ref="G21">COUNT(IF(Referee1=$A21,IF(HomeTeam=G$4,1)))+COUNT(IF(Referee2=$A21,IF(HomeTeam=G$4,1)))</f>
        <v>0</v>
      </c>
      <c r="H21" s="8">
        <f t="array" ref="H21">COUNT(IF(Referee1=$A21,IF(HomeTeam=H$4,1)))+COUNT(IF(Referee2=$A21,IF(HomeTeam=H$4,1)))</f>
        <v>0</v>
      </c>
      <c r="I21" s="8">
        <f t="array" ref="I21">COUNT(IF(Referee1=$A21,IF(HomeTeam=I$4,1)))+COUNT(IF(Referee2=$A21,IF(HomeTeam=I$4,1)))</f>
        <v>0</v>
      </c>
      <c r="J21" s="8">
        <f t="array" ref="J21">COUNT(IF(Referee1=$A21,IF(HomeTeam=J$4,1)))+COUNT(IF(Referee2=$A21,IF(HomeTeam=J$4,1)))</f>
        <v>0</v>
      </c>
      <c r="K21" s="8">
        <f t="array" ref="K21">COUNT(IF(Referee1=$A21,IF(HomeTeam=K$4,1)))+COUNT(IF(Referee2=$A21,IF(HomeTeam=K$4,1)))</f>
        <v>0</v>
      </c>
      <c r="L21" s="8">
        <f t="array" ref="L21">COUNT(IF(Referee1=$A21,IF(HomeTeam=L$4,1)))+COUNT(IF(Referee2=$A21,IF(HomeTeam=L$4,1)))</f>
        <v>0</v>
      </c>
      <c r="M21" s="8">
        <f t="array" ref="M21">COUNT(IF(Referee1=$A21,IF(HomeTeam=M$4,1)))+COUNT(IF(Referee2=$A21,IF(HomeTeam=M$4,1)))</f>
        <v>0</v>
      </c>
      <c r="N21" s="8">
        <f t="array" ref="N21">COUNT(IF(Referee1=$A21,IF(HomeTeam=N$4,1)))+COUNT(IF(Referee2=$A21,IF(HomeTeam=N$4,1)))</f>
        <v>0</v>
      </c>
      <c r="O21" s="8">
        <f t="array" ref="O21">COUNT(IF(Referee1=$A21,IF(HomeTeam=O$4,1)))+COUNT(IF(Referee2=$A21,IF(HomeTeam=O$4,1)))</f>
        <v>0</v>
      </c>
      <c r="P21" s="8">
        <f t="array" ref="P21">COUNT(IF(Referee1=$A21,IF(HomeTeam=P$4,1)))+COUNT(IF(Referee2=$A21,IF(HomeTeam=P$4,1)))</f>
        <v>0</v>
      </c>
      <c r="Q21" s="8">
        <f t="array" ref="Q21">COUNT(IF(Referee1=$A21,IF(HomeTeam=Q$4,1)))+COUNT(IF(Referee2=$A21,IF(HomeTeam=Q$4,1)))</f>
        <v>0</v>
      </c>
      <c r="R21" s="8">
        <f t="array" ref="R21">COUNT(IF(Referee1=$A21,IF(HomeTeam=R$4,1)))+COUNT(IF(Referee2=$A21,IF(HomeTeam=R$4,1)))</f>
        <v>0</v>
      </c>
      <c r="S21" s="8">
        <f t="array" ref="S21">COUNT(IF(Referee1=$A21,IF(HomeTeam=S$4,1)))+COUNT(IF(Referee2=$A21,IF(HomeTeam=S$4,1)))</f>
        <v>0</v>
      </c>
      <c r="T21" s="8">
        <f t="array" ref="T21">COUNT(IF(Referee1=$A21,IF(HomeTeam=T$4,1)))+COUNT(IF(Referee2=$A21,IF(HomeTeam=T$4,1)))</f>
        <v>0</v>
      </c>
      <c r="U21" s="8">
        <f t="array" ref="U21">COUNT(IF(Referee1=$A21,IF(HomeTeam=U$4,1)))+COUNT(IF(Referee2=$A21,IF(HomeTeam=U$4,1)))</f>
        <v>0</v>
      </c>
      <c r="V21" s="8">
        <f t="array" ref="V21">COUNT(IF(Referee1=$A21,IF(HomeTeam=V$4,1)))+COUNT(IF(Referee2=$A21,IF(HomeTeam=V$4,1)))</f>
        <v>0</v>
      </c>
      <c r="W21" s="8">
        <f t="array" ref="W21">COUNT(IF(Referee1=$A21,IF(AwayTeam=W$4,1)))+COUNT(IF(Referee2=$A21,IF(AwayTeam=W$4,1)))</f>
        <v>0</v>
      </c>
      <c r="X21" s="8">
        <f t="array" ref="X21">COUNT(IF(Referee1=$A21,IF(AwayTeam=X$4,1)))+COUNT(IF(Referee2=$A21,IF(AwayTeam=X$4,1)))</f>
        <v>0</v>
      </c>
      <c r="Y21" s="8">
        <f t="array" ref="Y21">COUNT(IF(Referee1=$A21,IF(AwayTeam=Y$4,1)))+COUNT(IF(Referee2=$A21,IF(AwayTeam=Y$4,1)))</f>
        <v>0</v>
      </c>
      <c r="Z21" s="8">
        <f t="array" ref="Z21">COUNT(IF(Referee1=$A21,IF(AwayTeam=Z$4,1)))+COUNT(IF(Referee2=$A21,IF(AwayTeam=Z$4,1)))</f>
        <v>0</v>
      </c>
      <c r="AA21" s="8">
        <f t="array" ref="AA21">COUNT(IF(Referee1=$A21,IF(AwayTeam=AA$4,1)))+COUNT(IF(Referee2=$A21,IF(AwayTeam=AA$4,1)))</f>
        <v>1</v>
      </c>
      <c r="AB21" s="8">
        <f t="array" ref="AB21">COUNT(IF(Referee1=$A21,IF(AwayTeam=AB$4,1)))+COUNT(IF(Referee2=$A21,IF(AwayTeam=AB$4,1)))</f>
        <v>0</v>
      </c>
      <c r="AC21" s="8">
        <f t="array" ref="AC21">COUNT(IF(Referee1=$A21,IF(AwayTeam=AC$4,1)))+COUNT(IF(Referee2=$A21,IF(AwayTeam=AC$4,1)))</f>
        <v>1</v>
      </c>
      <c r="AD21" s="8">
        <f t="array" ref="AD21">COUNT(IF(Referee1=$A21,IF(AwayTeam=AD$4,1)))+COUNT(IF(Referee2=$A21,IF(AwayTeam=AD$4,1)))</f>
        <v>1</v>
      </c>
      <c r="AE21" s="8">
        <f t="array" ref="AE21">COUNT(IF(Referee1=$A21,IF(AwayTeam=AE$4,1)))+COUNT(IF(Referee2=$A21,IF(AwayTeam=AE$4,1)))</f>
        <v>0</v>
      </c>
      <c r="AF21" s="8">
        <f t="array" ref="AF21">COUNT(IF(Referee1=$A21,IF(AwayTeam=AF$4,1)))+COUNT(IF(Referee2=$A21,IF(AwayTeam=AF$4,1)))</f>
        <v>1</v>
      </c>
      <c r="AG21" s="8">
        <f t="array" ref="AG21">COUNT(IF(Referee1=$A21,IF(AwayTeam=AG$4,1)))+COUNT(IF(Referee2=$A21,IF(AwayTeam=AG$4,1)))</f>
        <v>1</v>
      </c>
      <c r="AH21" s="8">
        <f t="array" ref="AH21">COUNT(IF(Referee1=$A21,IF(AwayTeam=AH$4,1)))+COUNT(IF(Referee2=$A21,IF(AwayTeam=AH$4,1)))</f>
        <v>1</v>
      </c>
      <c r="AI21" s="8">
        <f t="array" ref="AI21">COUNT(IF(Referee1=$A21,IF(AwayTeam=AI$4,1)))+COUNT(IF(Referee2=$A21,IF(AwayTeam=AI$4,1)))</f>
        <v>0</v>
      </c>
      <c r="AJ21" s="8">
        <f t="array" ref="AJ21">COUNT(IF(Referee1=$A21,IF(AwayTeam=AJ$4,1)))+COUNT(IF(Referee2=$A21,IF(AwayTeam=AJ$4,1)))</f>
        <v>0</v>
      </c>
      <c r="AK21" s="8">
        <f t="array" ref="AK21">COUNT(IF(Referee1=$A21,IF(AwayTeam=AK$4,1)))+COUNT(IF(Referee2=$A21,IF(AwayTeam=AK$4,1)))</f>
        <v>0</v>
      </c>
      <c r="AL21" s="8">
        <f t="array" ref="AL21">COUNT(IF(Referee1=$A21,IF(AwayTeam=AL$4,1)))+COUNT(IF(Referee2=$A21,IF(AwayTeam=AL$4,1)))</f>
        <v>0</v>
      </c>
      <c r="AM21" s="8">
        <f t="array" ref="AM21">COUNT(IF(Referee1=$A21,IF(AwayTeam=AM$4,1)))+COUNT(IF(Referee2=$A21,IF(AwayTeam=AM$4,1)))</f>
        <v>1</v>
      </c>
      <c r="AN21" s="8">
        <f t="array" ref="AN21">COUNT(IF(Referee1=$A21,IF(AwayTeam=AN$4,1)))+COUNT(IF(Referee2=$A21,IF(AwayTeam=AN$4,1)))</f>
        <v>0</v>
      </c>
      <c r="AO21" s="8">
        <f t="array" ref="AO21">COUNT(IF(Referee1=$A21,IF(AwayTeam=AO$4,1)))+COUNT(IF(Referee2=$A21,IF(AwayTeam=AO$4,1)))</f>
        <v>0</v>
      </c>
      <c r="AP21" s="8">
        <f t="array" ref="AP21">COUNT(IF(Referee1=$A21,IF(AwayTeam=AP$4,1)))+COUNT(IF(Referee2=$A21,IF(AwayTeam=AP$4,1)))</f>
        <v>0</v>
      </c>
    </row>
    <row r="22" spans="1:42" x14ac:dyDescent="0.2">
      <c r="A22" s="8" t="str">
        <f>IF(Info!A19&lt;&gt;0,Info!A19,"")</f>
        <v>Linder, John</v>
      </c>
      <c r="B22" s="8">
        <f t="shared" si="0"/>
        <v>4</v>
      </c>
      <c r="C22" s="8">
        <f t="array" ref="C22">COUNT(IF(Referee1=$A22,IF(HomeTeam=C$4,1)))+COUNT(IF(Referee2=$A22,IF(HomeTeam=C$4,1)))</f>
        <v>1</v>
      </c>
      <c r="D22" s="8">
        <f t="array" ref="D22">COUNT(IF(Referee1=$A22,IF(HomeTeam=D$4,1)))+COUNT(IF(Referee2=$A22,IF(HomeTeam=D$4,1)))</f>
        <v>1</v>
      </c>
      <c r="E22" s="8">
        <f t="array" ref="E22">COUNT(IF(Referee1=$A22,IF(HomeTeam=E$4,1)))+COUNT(IF(Referee2=$A22,IF(HomeTeam=E$4,1)))</f>
        <v>0</v>
      </c>
      <c r="F22" s="8">
        <f t="array" ref="F22">COUNT(IF(Referee1=$A22,IF(HomeTeam=F$4,1)))+COUNT(IF(Referee2=$A22,IF(HomeTeam=F$4,1)))</f>
        <v>1</v>
      </c>
      <c r="G22" s="8">
        <f t="array" ref="G22">COUNT(IF(Referee1=$A22,IF(HomeTeam=G$4,1)))+COUNT(IF(Referee2=$A22,IF(HomeTeam=G$4,1)))</f>
        <v>0</v>
      </c>
      <c r="H22" s="8">
        <f t="array" ref="H22">COUNT(IF(Referee1=$A22,IF(HomeTeam=H$4,1)))+COUNT(IF(Referee2=$A22,IF(HomeTeam=H$4,1)))</f>
        <v>0</v>
      </c>
      <c r="I22" s="8">
        <f t="array" ref="I22">COUNT(IF(Referee1=$A22,IF(HomeTeam=I$4,1)))+COUNT(IF(Referee2=$A22,IF(HomeTeam=I$4,1)))</f>
        <v>0</v>
      </c>
      <c r="J22" s="8">
        <f t="array" ref="J22">COUNT(IF(Referee1=$A22,IF(HomeTeam=J$4,1)))+COUNT(IF(Referee2=$A22,IF(HomeTeam=J$4,1)))</f>
        <v>1</v>
      </c>
      <c r="K22" s="8">
        <f t="array" ref="K22">COUNT(IF(Referee1=$A22,IF(HomeTeam=K$4,1)))+COUNT(IF(Referee2=$A22,IF(HomeTeam=K$4,1)))</f>
        <v>0</v>
      </c>
      <c r="L22" s="8">
        <f t="array" ref="L22">COUNT(IF(Referee1=$A22,IF(HomeTeam=L$4,1)))+COUNT(IF(Referee2=$A22,IF(HomeTeam=L$4,1)))</f>
        <v>0</v>
      </c>
      <c r="M22" s="8">
        <f t="array" ref="M22">COUNT(IF(Referee1=$A22,IF(HomeTeam=M$4,1)))+COUNT(IF(Referee2=$A22,IF(HomeTeam=M$4,1)))</f>
        <v>0</v>
      </c>
      <c r="N22" s="8">
        <f t="array" ref="N22">COUNT(IF(Referee1=$A22,IF(HomeTeam=N$4,1)))+COUNT(IF(Referee2=$A22,IF(HomeTeam=N$4,1)))</f>
        <v>0</v>
      </c>
      <c r="O22" s="8">
        <f t="array" ref="O22">COUNT(IF(Referee1=$A22,IF(HomeTeam=O$4,1)))+COUNT(IF(Referee2=$A22,IF(HomeTeam=O$4,1)))</f>
        <v>0</v>
      </c>
      <c r="P22" s="8">
        <f t="array" ref="P22">COUNT(IF(Referee1=$A22,IF(HomeTeam=P$4,1)))+COUNT(IF(Referee2=$A22,IF(HomeTeam=P$4,1)))</f>
        <v>0</v>
      </c>
      <c r="Q22" s="8">
        <f t="array" ref="Q22">COUNT(IF(Referee1=$A22,IF(HomeTeam=Q$4,1)))+COUNT(IF(Referee2=$A22,IF(HomeTeam=Q$4,1)))</f>
        <v>0</v>
      </c>
      <c r="R22" s="8">
        <f t="array" ref="R22">COUNT(IF(Referee1=$A22,IF(HomeTeam=R$4,1)))+COUNT(IF(Referee2=$A22,IF(HomeTeam=R$4,1)))</f>
        <v>0</v>
      </c>
      <c r="S22" s="8">
        <f t="array" ref="S22">COUNT(IF(Referee1=$A22,IF(HomeTeam=S$4,1)))+COUNT(IF(Referee2=$A22,IF(HomeTeam=S$4,1)))</f>
        <v>0</v>
      </c>
      <c r="T22" s="8">
        <f t="array" ref="T22">COUNT(IF(Referee1=$A22,IF(HomeTeam=T$4,1)))+COUNT(IF(Referee2=$A22,IF(HomeTeam=T$4,1)))</f>
        <v>0</v>
      </c>
      <c r="U22" s="8">
        <f t="array" ref="U22">COUNT(IF(Referee1=$A22,IF(HomeTeam=U$4,1)))+COUNT(IF(Referee2=$A22,IF(HomeTeam=U$4,1)))</f>
        <v>0</v>
      </c>
      <c r="V22" s="8">
        <f t="array" ref="V22">COUNT(IF(Referee1=$A22,IF(HomeTeam=V$4,1)))+COUNT(IF(Referee2=$A22,IF(HomeTeam=V$4,1)))</f>
        <v>0</v>
      </c>
      <c r="W22" s="8">
        <f t="array" ref="W22">COUNT(IF(Referee1=$A22,IF(AwayTeam=W$4,1)))+COUNT(IF(Referee2=$A22,IF(AwayTeam=W$4,1)))</f>
        <v>0</v>
      </c>
      <c r="X22" s="8">
        <f t="array" ref="X22">COUNT(IF(Referee1=$A22,IF(AwayTeam=X$4,1)))+COUNT(IF(Referee2=$A22,IF(AwayTeam=X$4,1)))</f>
        <v>1</v>
      </c>
      <c r="Y22" s="8">
        <f t="array" ref="Y22">COUNT(IF(Referee1=$A22,IF(AwayTeam=Y$4,1)))+COUNT(IF(Referee2=$A22,IF(AwayTeam=Y$4,1)))</f>
        <v>0</v>
      </c>
      <c r="Z22" s="8">
        <f t="array" ref="Z22">COUNT(IF(Referee1=$A22,IF(AwayTeam=Z$4,1)))+COUNT(IF(Referee2=$A22,IF(AwayTeam=Z$4,1)))</f>
        <v>1</v>
      </c>
      <c r="AA22" s="8">
        <f t="array" ref="AA22">COUNT(IF(Referee1=$A22,IF(AwayTeam=AA$4,1)))+COUNT(IF(Referee2=$A22,IF(AwayTeam=AA$4,1)))</f>
        <v>0</v>
      </c>
      <c r="AB22" s="8">
        <f t="array" ref="AB22">COUNT(IF(Referee1=$A22,IF(AwayTeam=AB$4,1)))+COUNT(IF(Referee2=$A22,IF(AwayTeam=AB$4,1)))</f>
        <v>0</v>
      </c>
      <c r="AC22" s="8">
        <f t="array" ref="AC22">COUNT(IF(Referee1=$A22,IF(AwayTeam=AC$4,1)))+COUNT(IF(Referee2=$A22,IF(AwayTeam=AC$4,1)))</f>
        <v>1</v>
      </c>
      <c r="AD22" s="8">
        <f t="array" ref="AD22">COUNT(IF(Referee1=$A22,IF(AwayTeam=AD$4,1)))+COUNT(IF(Referee2=$A22,IF(AwayTeam=AD$4,1)))</f>
        <v>0</v>
      </c>
      <c r="AE22" s="8">
        <f t="array" ref="AE22">COUNT(IF(Referee1=$A22,IF(AwayTeam=AE$4,1)))+COUNT(IF(Referee2=$A22,IF(AwayTeam=AE$4,1)))</f>
        <v>0</v>
      </c>
      <c r="AF22" s="8">
        <f t="array" ref="AF22">COUNT(IF(Referee1=$A22,IF(AwayTeam=AF$4,1)))+COUNT(IF(Referee2=$A22,IF(AwayTeam=AF$4,1)))</f>
        <v>0</v>
      </c>
      <c r="AG22" s="8">
        <f t="array" ref="AG22">COUNT(IF(Referee1=$A22,IF(AwayTeam=AG$4,1)))+COUNT(IF(Referee2=$A22,IF(AwayTeam=AG$4,1)))</f>
        <v>0</v>
      </c>
      <c r="AH22" s="8">
        <f t="array" ref="AH22">COUNT(IF(Referee1=$A22,IF(AwayTeam=AH$4,1)))+COUNT(IF(Referee2=$A22,IF(AwayTeam=AH$4,1)))</f>
        <v>0</v>
      </c>
      <c r="AI22" s="8">
        <f t="array" ref="AI22">COUNT(IF(Referee1=$A22,IF(AwayTeam=AI$4,1)))+COUNT(IF(Referee2=$A22,IF(AwayTeam=AI$4,1)))</f>
        <v>0</v>
      </c>
      <c r="AJ22" s="8">
        <f t="array" ref="AJ22">COUNT(IF(Referee1=$A22,IF(AwayTeam=AJ$4,1)))+COUNT(IF(Referee2=$A22,IF(AwayTeam=AJ$4,1)))</f>
        <v>0</v>
      </c>
      <c r="AK22" s="8">
        <f t="array" ref="AK22">COUNT(IF(Referee1=$A22,IF(AwayTeam=AK$4,1)))+COUNT(IF(Referee2=$A22,IF(AwayTeam=AK$4,1)))</f>
        <v>0</v>
      </c>
      <c r="AL22" s="8">
        <f t="array" ref="AL22">COUNT(IF(Referee1=$A22,IF(AwayTeam=AL$4,1)))+COUNT(IF(Referee2=$A22,IF(AwayTeam=AL$4,1)))</f>
        <v>0</v>
      </c>
      <c r="AM22" s="8">
        <f t="array" ref="AM22">COUNT(IF(Referee1=$A22,IF(AwayTeam=AM$4,1)))+COUNT(IF(Referee2=$A22,IF(AwayTeam=AM$4,1)))</f>
        <v>1</v>
      </c>
      <c r="AN22" s="8">
        <f t="array" ref="AN22">COUNT(IF(Referee1=$A22,IF(AwayTeam=AN$4,1)))+COUNT(IF(Referee2=$A22,IF(AwayTeam=AN$4,1)))</f>
        <v>0</v>
      </c>
      <c r="AO22" s="8">
        <f t="array" ref="AO22">COUNT(IF(Referee1=$A22,IF(AwayTeam=AO$4,1)))+COUNT(IF(Referee2=$A22,IF(AwayTeam=AO$4,1)))</f>
        <v>0</v>
      </c>
      <c r="AP22" s="8">
        <f t="array" ref="AP22">COUNT(IF(Referee1=$A22,IF(AwayTeam=AP$4,1)))+COUNT(IF(Referee2=$A22,IF(AwayTeam=AP$4,1)))</f>
        <v>0</v>
      </c>
    </row>
    <row r="23" spans="1:42" x14ac:dyDescent="0.2">
      <c r="A23" s="8" t="str">
        <f>IF(Info!A20&lt;&gt;0,Info!A20,"")</f>
        <v>Lukkason, Bobby</v>
      </c>
      <c r="B23" s="8">
        <f t="shared" si="0"/>
        <v>1</v>
      </c>
      <c r="C23" s="8">
        <f t="array" ref="C23">COUNT(IF(Referee1=$A23,IF(HomeTeam=C$4,1)))+COUNT(IF(Referee2=$A23,IF(HomeTeam=C$4,1)))</f>
        <v>0</v>
      </c>
      <c r="D23" s="8">
        <f t="array" ref="D23">COUNT(IF(Referee1=$A23,IF(HomeTeam=D$4,1)))+COUNT(IF(Referee2=$A23,IF(HomeTeam=D$4,1)))</f>
        <v>0</v>
      </c>
      <c r="E23" s="8">
        <f t="array" ref="E23">COUNT(IF(Referee1=$A23,IF(HomeTeam=E$4,1)))+COUNT(IF(Referee2=$A23,IF(HomeTeam=E$4,1)))</f>
        <v>0</v>
      </c>
      <c r="F23" s="8">
        <f t="array" ref="F23">COUNT(IF(Referee1=$A23,IF(HomeTeam=F$4,1)))+COUNT(IF(Referee2=$A23,IF(HomeTeam=F$4,1)))</f>
        <v>0</v>
      </c>
      <c r="G23" s="8">
        <f t="array" ref="G23">COUNT(IF(Referee1=$A23,IF(HomeTeam=G$4,1)))+COUNT(IF(Referee2=$A23,IF(HomeTeam=G$4,1)))</f>
        <v>0</v>
      </c>
      <c r="H23" s="8">
        <f t="array" ref="H23">COUNT(IF(Referee1=$A23,IF(HomeTeam=H$4,1)))+COUNT(IF(Referee2=$A23,IF(HomeTeam=H$4,1)))</f>
        <v>1</v>
      </c>
      <c r="I23" s="8">
        <f t="array" ref="I23">COUNT(IF(Referee1=$A23,IF(HomeTeam=I$4,1)))+COUNT(IF(Referee2=$A23,IF(HomeTeam=I$4,1)))</f>
        <v>0</v>
      </c>
      <c r="J23" s="8">
        <f t="array" ref="J23">COUNT(IF(Referee1=$A23,IF(HomeTeam=J$4,1)))+COUNT(IF(Referee2=$A23,IF(HomeTeam=J$4,1)))</f>
        <v>0</v>
      </c>
      <c r="K23" s="8">
        <f t="array" ref="K23">COUNT(IF(Referee1=$A23,IF(HomeTeam=K$4,1)))+COUNT(IF(Referee2=$A23,IF(HomeTeam=K$4,1)))</f>
        <v>0</v>
      </c>
      <c r="L23" s="8">
        <f t="array" ref="L23">COUNT(IF(Referee1=$A23,IF(HomeTeam=L$4,1)))+COUNT(IF(Referee2=$A23,IF(HomeTeam=L$4,1)))</f>
        <v>0</v>
      </c>
      <c r="M23" s="8">
        <f t="array" ref="M23">COUNT(IF(Referee1=$A23,IF(HomeTeam=M$4,1)))+COUNT(IF(Referee2=$A23,IF(HomeTeam=M$4,1)))</f>
        <v>0</v>
      </c>
      <c r="N23" s="8">
        <f t="array" ref="N23">COUNT(IF(Referee1=$A23,IF(HomeTeam=N$4,1)))+COUNT(IF(Referee2=$A23,IF(HomeTeam=N$4,1)))</f>
        <v>0</v>
      </c>
      <c r="O23" s="8">
        <f t="array" ref="O23">COUNT(IF(Referee1=$A23,IF(HomeTeam=O$4,1)))+COUNT(IF(Referee2=$A23,IF(HomeTeam=O$4,1)))</f>
        <v>0</v>
      </c>
      <c r="P23" s="8">
        <f t="array" ref="P23">COUNT(IF(Referee1=$A23,IF(HomeTeam=P$4,1)))+COUNT(IF(Referee2=$A23,IF(HomeTeam=P$4,1)))</f>
        <v>0</v>
      </c>
      <c r="Q23" s="8">
        <f t="array" ref="Q23">COUNT(IF(Referee1=$A23,IF(HomeTeam=Q$4,1)))+COUNT(IF(Referee2=$A23,IF(HomeTeam=Q$4,1)))</f>
        <v>0</v>
      </c>
      <c r="R23" s="8">
        <f t="array" ref="R23">COUNT(IF(Referee1=$A23,IF(HomeTeam=R$4,1)))+COUNT(IF(Referee2=$A23,IF(HomeTeam=R$4,1)))</f>
        <v>0</v>
      </c>
      <c r="S23" s="8">
        <f t="array" ref="S23">COUNT(IF(Referee1=$A23,IF(HomeTeam=S$4,1)))+COUNT(IF(Referee2=$A23,IF(HomeTeam=S$4,1)))</f>
        <v>0</v>
      </c>
      <c r="T23" s="8">
        <f t="array" ref="T23">COUNT(IF(Referee1=$A23,IF(HomeTeam=T$4,1)))+COUNT(IF(Referee2=$A23,IF(HomeTeam=T$4,1)))</f>
        <v>0</v>
      </c>
      <c r="U23" s="8">
        <f t="array" ref="U23">COUNT(IF(Referee1=$A23,IF(HomeTeam=U$4,1)))+COUNT(IF(Referee2=$A23,IF(HomeTeam=U$4,1)))</f>
        <v>0</v>
      </c>
      <c r="V23" s="8">
        <f t="array" ref="V23">COUNT(IF(Referee1=$A23,IF(HomeTeam=V$4,1)))+COUNT(IF(Referee2=$A23,IF(HomeTeam=V$4,1)))</f>
        <v>0</v>
      </c>
      <c r="W23" s="8">
        <f t="array" ref="W23">COUNT(IF(Referee1=$A23,IF(AwayTeam=W$4,1)))+COUNT(IF(Referee2=$A23,IF(AwayTeam=W$4,1)))</f>
        <v>0</v>
      </c>
      <c r="X23" s="8">
        <f t="array" ref="X23">COUNT(IF(Referee1=$A23,IF(AwayTeam=X$4,1)))+COUNT(IF(Referee2=$A23,IF(AwayTeam=X$4,1)))</f>
        <v>1</v>
      </c>
      <c r="Y23" s="8">
        <f t="array" ref="Y23">COUNT(IF(Referee1=$A23,IF(AwayTeam=Y$4,1)))+COUNT(IF(Referee2=$A23,IF(AwayTeam=Y$4,1)))</f>
        <v>0</v>
      </c>
      <c r="Z23" s="8">
        <f t="array" ref="Z23">COUNT(IF(Referee1=$A23,IF(AwayTeam=Z$4,1)))+COUNT(IF(Referee2=$A23,IF(AwayTeam=Z$4,1)))</f>
        <v>0</v>
      </c>
      <c r="AA23" s="8">
        <f t="array" ref="AA23">COUNT(IF(Referee1=$A23,IF(AwayTeam=AA$4,1)))+COUNT(IF(Referee2=$A23,IF(AwayTeam=AA$4,1)))</f>
        <v>0</v>
      </c>
      <c r="AB23" s="8">
        <f t="array" ref="AB23">COUNT(IF(Referee1=$A23,IF(AwayTeam=AB$4,1)))+COUNT(IF(Referee2=$A23,IF(AwayTeam=AB$4,1)))</f>
        <v>0</v>
      </c>
      <c r="AC23" s="8">
        <f t="array" ref="AC23">COUNT(IF(Referee1=$A23,IF(AwayTeam=AC$4,1)))+COUNT(IF(Referee2=$A23,IF(AwayTeam=AC$4,1)))</f>
        <v>0</v>
      </c>
      <c r="AD23" s="8">
        <f t="array" ref="AD23">COUNT(IF(Referee1=$A23,IF(AwayTeam=AD$4,1)))+COUNT(IF(Referee2=$A23,IF(AwayTeam=AD$4,1)))</f>
        <v>0</v>
      </c>
      <c r="AE23" s="8">
        <f t="array" ref="AE23">COUNT(IF(Referee1=$A23,IF(AwayTeam=AE$4,1)))+COUNT(IF(Referee2=$A23,IF(AwayTeam=AE$4,1)))</f>
        <v>0</v>
      </c>
      <c r="AF23" s="8">
        <f t="array" ref="AF23">COUNT(IF(Referee1=$A23,IF(AwayTeam=AF$4,1)))+COUNT(IF(Referee2=$A23,IF(AwayTeam=AF$4,1)))</f>
        <v>0</v>
      </c>
      <c r="AG23" s="8">
        <f t="array" ref="AG23">COUNT(IF(Referee1=$A23,IF(AwayTeam=AG$4,1)))+COUNT(IF(Referee2=$A23,IF(AwayTeam=AG$4,1)))</f>
        <v>0</v>
      </c>
      <c r="AH23" s="8">
        <f t="array" ref="AH23">COUNT(IF(Referee1=$A23,IF(AwayTeam=AH$4,1)))+COUNT(IF(Referee2=$A23,IF(AwayTeam=AH$4,1)))</f>
        <v>0</v>
      </c>
      <c r="AI23" s="8">
        <f t="array" ref="AI23">COUNT(IF(Referee1=$A23,IF(AwayTeam=AI$4,1)))+COUNT(IF(Referee2=$A23,IF(AwayTeam=AI$4,1)))</f>
        <v>0</v>
      </c>
      <c r="AJ23" s="8">
        <f t="array" ref="AJ23">COUNT(IF(Referee1=$A23,IF(AwayTeam=AJ$4,1)))+COUNT(IF(Referee2=$A23,IF(AwayTeam=AJ$4,1)))</f>
        <v>0</v>
      </c>
      <c r="AK23" s="8">
        <f t="array" ref="AK23">COUNT(IF(Referee1=$A23,IF(AwayTeam=AK$4,1)))+COUNT(IF(Referee2=$A23,IF(AwayTeam=AK$4,1)))</f>
        <v>0</v>
      </c>
      <c r="AL23" s="8">
        <f t="array" ref="AL23">COUNT(IF(Referee1=$A23,IF(AwayTeam=AL$4,1)))+COUNT(IF(Referee2=$A23,IF(AwayTeam=AL$4,1)))</f>
        <v>0</v>
      </c>
      <c r="AM23" s="8">
        <f t="array" ref="AM23">COUNT(IF(Referee1=$A23,IF(AwayTeam=AM$4,1)))+COUNT(IF(Referee2=$A23,IF(AwayTeam=AM$4,1)))</f>
        <v>0</v>
      </c>
      <c r="AN23" s="8">
        <f t="array" ref="AN23">COUNT(IF(Referee1=$A23,IF(AwayTeam=AN$4,1)))+COUNT(IF(Referee2=$A23,IF(AwayTeam=AN$4,1)))</f>
        <v>0</v>
      </c>
      <c r="AO23" s="8">
        <f t="array" ref="AO23">COUNT(IF(Referee1=$A23,IF(AwayTeam=AO$4,1)))+COUNT(IF(Referee2=$A23,IF(AwayTeam=AO$4,1)))</f>
        <v>0</v>
      </c>
      <c r="AP23" s="8">
        <f t="array" ref="AP23">COUNT(IF(Referee1=$A23,IF(AwayTeam=AP$4,1)))+COUNT(IF(Referee2=$A23,IF(AwayTeam=AP$4,1)))</f>
        <v>0</v>
      </c>
    </row>
    <row r="24" spans="1:42" x14ac:dyDescent="0.2">
      <c r="A24" s="8" t="str">
        <f>IF(Info!A21&lt;&gt;0,Info!A21,"")</f>
        <v>Martin, Lucas</v>
      </c>
      <c r="B24" s="8">
        <f t="shared" si="0"/>
        <v>4</v>
      </c>
      <c r="C24" s="8">
        <f t="array" ref="C24">COUNT(IF(Referee1=$A24,IF(HomeTeam=C$4,1)))+COUNT(IF(Referee2=$A24,IF(HomeTeam=C$4,1)))</f>
        <v>1</v>
      </c>
      <c r="D24" s="8">
        <f t="array" ref="D24">COUNT(IF(Referee1=$A24,IF(HomeTeam=D$4,1)))+COUNT(IF(Referee2=$A24,IF(HomeTeam=D$4,1)))</f>
        <v>0</v>
      </c>
      <c r="E24" s="8">
        <f t="array" ref="E24">COUNT(IF(Referee1=$A24,IF(HomeTeam=E$4,1)))+COUNT(IF(Referee2=$A24,IF(HomeTeam=E$4,1)))</f>
        <v>0</v>
      </c>
      <c r="F24" s="8">
        <f t="array" ref="F24">COUNT(IF(Referee1=$A24,IF(HomeTeam=F$4,1)))+COUNT(IF(Referee2=$A24,IF(HomeTeam=F$4,1)))</f>
        <v>0</v>
      </c>
      <c r="G24" s="8">
        <f t="array" ref="G24">COUNT(IF(Referee1=$A24,IF(HomeTeam=G$4,1)))+COUNT(IF(Referee2=$A24,IF(HomeTeam=G$4,1)))</f>
        <v>0</v>
      </c>
      <c r="H24" s="8">
        <f t="array" ref="H24">COUNT(IF(Referee1=$A24,IF(HomeTeam=H$4,1)))+COUNT(IF(Referee2=$A24,IF(HomeTeam=H$4,1)))</f>
        <v>0</v>
      </c>
      <c r="I24" s="8">
        <f t="array" ref="I24">COUNT(IF(Referee1=$A24,IF(HomeTeam=I$4,1)))+COUNT(IF(Referee2=$A24,IF(HomeTeam=I$4,1)))</f>
        <v>0</v>
      </c>
      <c r="J24" s="8">
        <f t="array" ref="J24">COUNT(IF(Referee1=$A24,IF(HomeTeam=J$4,1)))+COUNT(IF(Referee2=$A24,IF(HomeTeam=J$4,1)))</f>
        <v>0</v>
      </c>
      <c r="K24" s="8">
        <f t="array" ref="K24">COUNT(IF(Referee1=$A24,IF(HomeTeam=K$4,1)))+COUNT(IF(Referee2=$A24,IF(HomeTeam=K$4,1)))</f>
        <v>3</v>
      </c>
      <c r="L24" s="8">
        <f t="array" ref="L24">COUNT(IF(Referee1=$A24,IF(HomeTeam=L$4,1)))+COUNT(IF(Referee2=$A24,IF(HomeTeam=L$4,1)))</f>
        <v>0</v>
      </c>
      <c r="M24" s="8">
        <f t="array" ref="M24">COUNT(IF(Referee1=$A24,IF(HomeTeam=M$4,1)))+COUNT(IF(Referee2=$A24,IF(HomeTeam=M$4,1)))</f>
        <v>0</v>
      </c>
      <c r="N24" s="8">
        <f t="array" ref="N24">COUNT(IF(Referee1=$A24,IF(HomeTeam=N$4,1)))+COUNT(IF(Referee2=$A24,IF(HomeTeam=N$4,1)))</f>
        <v>0</v>
      </c>
      <c r="O24" s="8">
        <f t="array" ref="O24">COUNT(IF(Referee1=$A24,IF(HomeTeam=O$4,1)))+COUNT(IF(Referee2=$A24,IF(HomeTeam=O$4,1)))</f>
        <v>0</v>
      </c>
      <c r="P24" s="8">
        <f t="array" ref="P24">COUNT(IF(Referee1=$A24,IF(HomeTeam=P$4,1)))+COUNT(IF(Referee2=$A24,IF(HomeTeam=P$4,1)))</f>
        <v>0</v>
      </c>
      <c r="Q24" s="8">
        <f t="array" ref="Q24">COUNT(IF(Referee1=$A24,IF(HomeTeam=Q$4,1)))+COUNT(IF(Referee2=$A24,IF(HomeTeam=Q$4,1)))</f>
        <v>0</v>
      </c>
      <c r="R24" s="8">
        <f t="array" ref="R24">COUNT(IF(Referee1=$A24,IF(HomeTeam=R$4,1)))+COUNT(IF(Referee2=$A24,IF(HomeTeam=R$4,1)))</f>
        <v>0</v>
      </c>
      <c r="S24" s="8">
        <f t="array" ref="S24">COUNT(IF(Referee1=$A24,IF(HomeTeam=S$4,1)))+COUNT(IF(Referee2=$A24,IF(HomeTeam=S$4,1)))</f>
        <v>0</v>
      </c>
      <c r="T24" s="8">
        <f t="array" ref="T24">COUNT(IF(Referee1=$A24,IF(HomeTeam=T$4,1)))+COUNT(IF(Referee2=$A24,IF(HomeTeam=T$4,1)))</f>
        <v>0</v>
      </c>
      <c r="U24" s="8">
        <f t="array" ref="U24">COUNT(IF(Referee1=$A24,IF(HomeTeam=U$4,1)))+COUNT(IF(Referee2=$A24,IF(HomeTeam=U$4,1)))</f>
        <v>0</v>
      </c>
      <c r="V24" s="8">
        <f t="array" ref="V24">COUNT(IF(Referee1=$A24,IF(HomeTeam=V$4,1)))+COUNT(IF(Referee2=$A24,IF(HomeTeam=V$4,1)))</f>
        <v>0</v>
      </c>
      <c r="W24" s="8">
        <f t="array" ref="W24">COUNT(IF(Referee1=$A24,IF(AwayTeam=W$4,1)))+COUNT(IF(Referee2=$A24,IF(AwayTeam=W$4,1)))</f>
        <v>2</v>
      </c>
      <c r="X24" s="8">
        <f t="array" ref="X24">COUNT(IF(Referee1=$A24,IF(AwayTeam=X$4,1)))+COUNT(IF(Referee2=$A24,IF(AwayTeam=X$4,1)))</f>
        <v>2</v>
      </c>
      <c r="Y24" s="8">
        <f t="array" ref="Y24">COUNT(IF(Referee1=$A24,IF(AwayTeam=Y$4,1)))+COUNT(IF(Referee2=$A24,IF(AwayTeam=Y$4,1)))</f>
        <v>0</v>
      </c>
      <c r="Z24" s="8">
        <f t="array" ref="Z24">COUNT(IF(Referee1=$A24,IF(AwayTeam=Z$4,1)))+COUNT(IF(Referee2=$A24,IF(AwayTeam=Z$4,1)))</f>
        <v>0</v>
      </c>
      <c r="AA24" s="8">
        <f t="array" ref="AA24">COUNT(IF(Referee1=$A24,IF(AwayTeam=AA$4,1)))+COUNT(IF(Referee2=$A24,IF(AwayTeam=AA$4,1)))</f>
        <v>0</v>
      </c>
      <c r="AB24" s="8">
        <f t="array" ref="AB24">COUNT(IF(Referee1=$A24,IF(AwayTeam=AB$4,1)))+COUNT(IF(Referee2=$A24,IF(AwayTeam=AB$4,1)))</f>
        <v>0</v>
      </c>
      <c r="AC24" s="8">
        <f t="array" ref="AC24">COUNT(IF(Referee1=$A24,IF(AwayTeam=AC$4,1)))+COUNT(IF(Referee2=$A24,IF(AwayTeam=AC$4,1)))</f>
        <v>0</v>
      </c>
      <c r="AD24" s="8">
        <f t="array" ref="AD24">COUNT(IF(Referee1=$A24,IF(AwayTeam=AD$4,1)))+COUNT(IF(Referee2=$A24,IF(AwayTeam=AD$4,1)))</f>
        <v>0</v>
      </c>
      <c r="AE24" s="8">
        <f t="array" ref="AE24">COUNT(IF(Referee1=$A24,IF(AwayTeam=AE$4,1)))+COUNT(IF(Referee2=$A24,IF(AwayTeam=AE$4,1)))</f>
        <v>0</v>
      </c>
      <c r="AF24" s="8">
        <f t="array" ref="AF24">COUNT(IF(Referee1=$A24,IF(AwayTeam=AF$4,1)))+COUNT(IF(Referee2=$A24,IF(AwayTeam=AF$4,1)))</f>
        <v>0</v>
      </c>
      <c r="AG24" s="8">
        <f t="array" ref="AG24">COUNT(IF(Referee1=$A24,IF(AwayTeam=AG$4,1)))+COUNT(IF(Referee2=$A24,IF(AwayTeam=AG$4,1)))</f>
        <v>0</v>
      </c>
      <c r="AH24" s="8">
        <f t="array" ref="AH24">COUNT(IF(Referee1=$A24,IF(AwayTeam=AH$4,1)))+COUNT(IF(Referee2=$A24,IF(AwayTeam=AH$4,1)))</f>
        <v>0</v>
      </c>
      <c r="AI24" s="8">
        <f t="array" ref="AI24">COUNT(IF(Referee1=$A24,IF(AwayTeam=AI$4,1)))+COUNT(IF(Referee2=$A24,IF(AwayTeam=AI$4,1)))</f>
        <v>0</v>
      </c>
      <c r="AJ24" s="8">
        <f t="array" ref="AJ24">COUNT(IF(Referee1=$A24,IF(AwayTeam=AJ$4,1)))+COUNT(IF(Referee2=$A24,IF(AwayTeam=AJ$4,1)))</f>
        <v>0</v>
      </c>
      <c r="AK24" s="8">
        <f t="array" ref="AK24">COUNT(IF(Referee1=$A24,IF(AwayTeam=AK$4,1)))+COUNT(IF(Referee2=$A24,IF(AwayTeam=AK$4,1)))</f>
        <v>0</v>
      </c>
      <c r="AL24" s="8">
        <f t="array" ref="AL24">COUNT(IF(Referee1=$A24,IF(AwayTeam=AL$4,1)))+COUNT(IF(Referee2=$A24,IF(AwayTeam=AL$4,1)))</f>
        <v>0</v>
      </c>
      <c r="AM24" s="8">
        <f t="array" ref="AM24">COUNT(IF(Referee1=$A24,IF(AwayTeam=AM$4,1)))+COUNT(IF(Referee2=$A24,IF(AwayTeam=AM$4,1)))</f>
        <v>0</v>
      </c>
      <c r="AN24" s="8">
        <f t="array" ref="AN24">COUNT(IF(Referee1=$A24,IF(AwayTeam=AN$4,1)))+COUNT(IF(Referee2=$A24,IF(AwayTeam=AN$4,1)))</f>
        <v>0</v>
      </c>
      <c r="AO24" s="8">
        <f t="array" ref="AO24">COUNT(IF(Referee1=$A24,IF(AwayTeam=AO$4,1)))+COUNT(IF(Referee2=$A24,IF(AwayTeam=AO$4,1)))</f>
        <v>0</v>
      </c>
      <c r="AP24" s="8">
        <f t="array" ref="AP24">COUNT(IF(Referee1=$A24,IF(AwayTeam=AP$4,1)))+COUNT(IF(Referee2=$A24,IF(AwayTeam=AP$4,1)))</f>
        <v>0</v>
      </c>
    </row>
    <row r="25" spans="1:42" x14ac:dyDescent="0.2">
      <c r="A25" s="8" t="str">
        <f>IF(Info!A22&lt;&gt;0,Info!A22,"")</f>
        <v>McCambridge, Ian</v>
      </c>
      <c r="B25" s="8">
        <f t="shared" si="0"/>
        <v>5</v>
      </c>
      <c r="C25" s="8">
        <f t="array" ref="C25">COUNT(IF(Referee1=$A25,IF(HomeTeam=C$4,1)))+COUNT(IF(Referee2=$A25,IF(HomeTeam=C$4,1)))</f>
        <v>0</v>
      </c>
      <c r="D25" s="8">
        <f t="array" ref="D25">COUNT(IF(Referee1=$A25,IF(HomeTeam=D$4,1)))+COUNT(IF(Referee2=$A25,IF(HomeTeam=D$4,1)))</f>
        <v>1</v>
      </c>
      <c r="E25" s="8">
        <f t="array" ref="E25">COUNT(IF(Referee1=$A25,IF(HomeTeam=E$4,1)))+COUNT(IF(Referee2=$A25,IF(HomeTeam=E$4,1)))</f>
        <v>0</v>
      </c>
      <c r="F25" s="8">
        <f t="array" ref="F25">COUNT(IF(Referee1=$A25,IF(HomeTeam=F$4,1)))+COUNT(IF(Referee2=$A25,IF(HomeTeam=F$4,1)))</f>
        <v>1</v>
      </c>
      <c r="G25" s="8">
        <f t="array" ref="G25">COUNT(IF(Referee1=$A25,IF(HomeTeam=G$4,1)))+COUNT(IF(Referee2=$A25,IF(HomeTeam=G$4,1)))</f>
        <v>0</v>
      </c>
      <c r="H25" s="8">
        <f t="array" ref="H25">COUNT(IF(Referee1=$A25,IF(HomeTeam=H$4,1)))+COUNT(IF(Referee2=$A25,IF(HomeTeam=H$4,1)))</f>
        <v>0</v>
      </c>
      <c r="I25" s="8">
        <f t="array" ref="I25">COUNT(IF(Referee1=$A25,IF(HomeTeam=I$4,1)))+COUNT(IF(Referee2=$A25,IF(HomeTeam=I$4,1)))</f>
        <v>1</v>
      </c>
      <c r="J25" s="8">
        <f t="array" ref="J25">COUNT(IF(Referee1=$A25,IF(HomeTeam=J$4,1)))+COUNT(IF(Referee2=$A25,IF(HomeTeam=J$4,1)))</f>
        <v>1</v>
      </c>
      <c r="K25" s="8">
        <f t="array" ref="K25">COUNT(IF(Referee1=$A25,IF(HomeTeam=K$4,1)))+COUNT(IF(Referee2=$A25,IF(HomeTeam=K$4,1)))</f>
        <v>1</v>
      </c>
      <c r="L25" s="8">
        <f t="array" ref="L25">COUNT(IF(Referee1=$A25,IF(HomeTeam=L$4,1)))+COUNT(IF(Referee2=$A25,IF(HomeTeam=L$4,1)))</f>
        <v>0</v>
      </c>
      <c r="M25" s="8">
        <f t="array" ref="M25">COUNT(IF(Referee1=$A25,IF(HomeTeam=M$4,1)))+COUNT(IF(Referee2=$A25,IF(HomeTeam=M$4,1)))</f>
        <v>0</v>
      </c>
      <c r="N25" s="8">
        <f t="array" ref="N25">COUNT(IF(Referee1=$A25,IF(HomeTeam=N$4,1)))+COUNT(IF(Referee2=$A25,IF(HomeTeam=N$4,1)))</f>
        <v>0</v>
      </c>
      <c r="O25" s="8">
        <f t="array" ref="O25">COUNT(IF(Referee1=$A25,IF(HomeTeam=O$4,1)))+COUNT(IF(Referee2=$A25,IF(HomeTeam=O$4,1)))</f>
        <v>0</v>
      </c>
      <c r="P25" s="8">
        <f t="array" ref="P25">COUNT(IF(Referee1=$A25,IF(HomeTeam=P$4,1)))+COUNT(IF(Referee2=$A25,IF(HomeTeam=P$4,1)))</f>
        <v>0</v>
      </c>
      <c r="Q25" s="8">
        <f t="array" ref="Q25">COUNT(IF(Referee1=$A25,IF(HomeTeam=Q$4,1)))+COUNT(IF(Referee2=$A25,IF(HomeTeam=Q$4,1)))</f>
        <v>0</v>
      </c>
      <c r="R25" s="8">
        <f t="array" ref="R25">COUNT(IF(Referee1=$A25,IF(HomeTeam=R$4,1)))+COUNT(IF(Referee2=$A25,IF(HomeTeam=R$4,1)))</f>
        <v>0</v>
      </c>
      <c r="S25" s="8">
        <f t="array" ref="S25">COUNT(IF(Referee1=$A25,IF(HomeTeam=S$4,1)))+COUNT(IF(Referee2=$A25,IF(HomeTeam=S$4,1)))</f>
        <v>0</v>
      </c>
      <c r="T25" s="8">
        <f t="array" ref="T25">COUNT(IF(Referee1=$A25,IF(HomeTeam=T$4,1)))+COUNT(IF(Referee2=$A25,IF(HomeTeam=T$4,1)))</f>
        <v>0</v>
      </c>
      <c r="U25" s="8">
        <f t="array" ref="U25">COUNT(IF(Referee1=$A25,IF(HomeTeam=U$4,1)))+COUNT(IF(Referee2=$A25,IF(HomeTeam=U$4,1)))</f>
        <v>0</v>
      </c>
      <c r="V25" s="8">
        <f t="array" ref="V25">COUNT(IF(Referee1=$A25,IF(HomeTeam=V$4,1)))+COUNT(IF(Referee2=$A25,IF(HomeTeam=V$4,1)))</f>
        <v>0</v>
      </c>
      <c r="W25" s="8">
        <f t="array" ref="W25">COUNT(IF(Referee1=$A25,IF(AwayTeam=W$4,1)))+COUNT(IF(Referee2=$A25,IF(AwayTeam=W$4,1)))</f>
        <v>2</v>
      </c>
      <c r="X25" s="8">
        <f t="array" ref="X25">COUNT(IF(Referee1=$A25,IF(AwayTeam=X$4,1)))+COUNT(IF(Referee2=$A25,IF(AwayTeam=X$4,1)))</f>
        <v>1</v>
      </c>
      <c r="Y25" s="8">
        <f t="array" ref="Y25">COUNT(IF(Referee1=$A25,IF(AwayTeam=Y$4,1)))+COUNT(IF(Referee2=$A25,IF(AwayTeam=Y$4,1)))</f>
        <v>0</v>
      </c>
      <c r="Z25" s="8">
        <f t="array" ref="Z25">COUNT(IF(Referee1=$A25,IF(AwayTeam=Z$4,1)))+COUNT(IF(Referee2=$A25,IF(AwayTeam=Z$4,1)))</f>
        <v>0</v>
      </c>
      <c r="AA25" s="8">
        <f t="array" ref="AA25">COUNT(IF(Referee1=$A25,IF(AwayTeam=AA$4,1)))+COUNT(IF(Referee2=$A25,IF(AwayTeam=AA$4,1)))</f>
        <v>0</v>
      </c>
      <c r="AB25" s="8">
        <f t="array" ref="AB25">COUNT(IF(Referee1=$A25,IF(AwayTeam=AB$4,1)))+COUNT(IF(Referee2=$A25,IF(AwayTeam=AB$4,1)))</f>
        <v>0</v>
      </c>
      <c r="AC25" s="8">
        <f t="array" ref="AC25">COUNT(IF(Referee1=$A25,IF(AwayTeam=AC$4,1)))+COUNT(IF(Referee2=$A25,IF(AwayTeam=AC$4,1)))</f>
        <v>0</v>
      </c>
      <c r="AD25" s="8">
        <f t="array" ref="AD25">COUNT(IF(Referee1=$A25,IF(AwayTeam=AD$4,1)))+COUNT(IF(Referee2=$A25,IF(AwayTeam=AD$4,1)))</f>
        <v>0</v>
      </c>
      <c r="AE25" s="8">
        <f t="array" ref="AE25">COUNT(IF(Referee1=$A25,IF(AwayTeam=AE$4,1)))+COUNT(IF(Referee2=$A25,IF(AwayTeam=AE$4,1)))</f>
        <v>0</v>
      </c>
      <c r="AF25" s="8">
        <f t="array" ref="AF25">COUNT(IF(Referee1=$A25,IF(AwayTeam=AF$4,1)))+COUNT(IF(Referee2=$A25,IF(AwayTeam=AF$4,1)))</f>
        <v>0</v>
      </c>
      <c r="AG25" s="8">
        <f t="array" ref="AG25">COUNT(IF(Referee1=$A25,IF(AwayTeam=AG$4,1)))+COUNT(IF(Referee2=$A25,IF(AwayTeam=AG$4,1)))</f>
        <v>0</v>
      </c>
      <c r="AH25" s="8">
        <f t="array" ref="AH25">COUNT(IF(Referee1=$A25,IF(AwayTeam=AH$4,1)))+COUNT(IF(Referee2=$A25,IF(AwayTeam=AH$4,1)))</f>
        <v>0</v>
      </c>
      <c r="AI25" s="8">
        <f t="array" ref="AI25">COUNT(IF(Referee1=$A25,IF(AwayTeam=AI$4,1)))+COUNT(IF(Referee2=$A25,IF(AwayTeam=AI$4,1)))</f>
        <v>0</v>
      </c>
      <c r="AJ25" s="8">
        <f t="array" ref="AJ25">COUNT(IF(Referee1=$A25,IF(AwayTeam=AJ$4,1)))+COUNT(IF(Referee2=$A25,IF(AwayTeam=AJ$4,1)))</f>
        <v>1</v>
      </c>
      <c r="AK25" s="8">
        <f t="array" ref="AK25">COUNT(IF(Referee1=$A25,IF(AwayTeam=AK$4,1)))+COUNT(IF(Referee2=$A25,IF(AwayTeam=AK$4,1)))</f>
        <v>1</v>
      </c>
      <c r="AL25" s="8">
        <f t="array" ref="AL25">COUNT(IF(Referee1=$A25,IF(AwayTeam=AL$4,1)))+COUNT(IF(Referee2=$A25,IF(AwayTeam=AL$4,1)))</f>
        <v>0</v>
      </c>
      <c r="AM25" s="8">
        <f t="array" ref="AM25">COUNT(IF(Referee1=$A25,IF(AwayTeam=AM$4,1)))+COUNT(IF(Referee2=$A25,IF(AwayTeam=AM$4,1)))</f>
        <v>0</v>
      </c>
      <c r="AN25" s="8">
        <f t="array" ref="AN25">COUNT(IF(Referee1=$A25,IF(AwayTeam=AN$4,1)))+COUNT(IF(Referee2=$A25,IF(AwayTeam=AN$4,1)))</f>
        <v>0</v>
      </c>
      <c r="AO25" s="8">
        <f t="array" ref="AO25">COUNT(IF(Referee1=$A25,IF(AwayTeam=AO$4,1)))+COUNT(IF(Referee2=$A25,IF(AwayTeam=AO$4,1)))</f>
        <v>0</v>
      </c>
      <c r="AP25" s="8">
        <f t="array" ref="AP25">COUNT(IF(Referee1=$A25,IF(AwayTeam=AP$4,1)))+COUNT(IF(Referee2=$A25,IF(AwayTeam=AP$4,1)))</f>
        <v>0</v>
      </c>
    </row>
    <row r="26" spans="1:42" x14ac:dyDescent="0.2">
      <c r="A26" s="8" t="str">
        <f>IF(Info!A23&lt;&gt;0,Info!A23,"")</f>
        <v>McClement, Scott</v>
      </c>
      <c r="B26" s="8">
        <f t="shared" si="0"/>
        <v>16</v>
      </c>
      <c r="C26" s="8">
        <f t="array" ref="C26">COUNT(IF(Referee1=$A26,IF(HomeTeam=C$4,1)))+COUNT(IF(Referee2=$A26,IF(HomeTeam=C$4,1)))</f>
        <v>2</v>
      </c>
      <c r="D26" s="8">
        <f t="array" ref="D26">COUNT(IF(Referee1=$A26,IF(HomeTeam=D$4,1)))+COUNT(IF(Referee2=$A26,IF(HomeTeam=D$4,1)))</f>
        <v>4</v>
      </c>
      <c r="E26" s="8">
        <f t="array" ref="E26">COUNT(IF(Referee1=$A26,IF(HomeTeam=E$4,1)))+COUNT(IF(Referee2=$A26,IF(HomeTeam=E$4,1)))</f>
        <v>0</v>
      </c>
      <c r="F26" s="8">
        <f t="array" ref="F26">COUNT(IF(Referee1=$A26,IF(HomeTeam=F$4,1)))+COUNT(IF(Referee2=$A26,IF(HomeTeam=F$4,1)))</f>
        <v>3</v>
      </c>
      <c r="G26" s="8">
        <f t="array" ref="G26">COUNT(IF(Referee1=$A26,IF(HomeTeam=G$4,1)))+COUNT(IF(Referee2=$A26,IF(HomeTeam=G$4,1)))</f>
        <v>0</v>
      </c>
      <c r="H26" s="8">
        <f t="array" ref="H26">COUNT(IF(Referee1=$A26,IF(HomeTeam=H$4,1)))+COUNT(IF(Referee2=$A26,IF(HomeTeam=H$4,1)))</f>
        <v>0</v>
      </c>
      <c r="I26" s="8">
        <f t="array" ref="I26">COUNT(IF(Referee1=$A26,IF(HomeTeam=I$4,1)))+COUNT(IF(Referee2=$A26,IF(HomeTeam=I$4,1)))</f>
        <v>1</v>
      </c>
      <c r="J26" s="8">
        <f t="array" ref="J26">COUNT(IF(Referee1=$A26,IF(HomeTeam=J$4,1)))+COUNT(IF(Referee2=$A26,IF(HomeTeam=J$4,1)))</f>
        <v>2</v>
      </c>
      <c r="K26" s="8">
        <f t="array" ref="K26">COUNT(IF(Referee1=$A26,IF(HomeTeam=K$4,1)))+COUNT(IF(Referee2=$A26,IF(HomeTeam=K$4,1)))</f>
        <v>0</v>
      </c>
      <c r="L26" s="8">
        <f t="array" ref="L26">COUNT(IF(Referee1=$A26,IF(HomeTeam=L$4,1)))+COUNT(IF(Referee2=$A26,IF(HomeTeam=L$4,1)))</f>
        <v>0</v>
      </c>
      <c r="M26" s="8">
        <f t="array" ref="M26">COUNT(IF(Referee1=$A26,IF(HomeTeam=M$4,1)))+COUNT(IF(Referee2=$A26,IF(HomeTeam=M$4,1)))</f>
        <v>2</v>
      </c>
      <c r="N26" s="8">
        <f t="array" ref="N26">COUNT(IF(Referee1=$A26,IF(HomeTeam=N$4,1)))+COUNT(IF(Referee2=$A26,IF(HomeTeam=N$4,1)))</f>
        <v>0</v>
      </c>
      <c r="O26" s="8">
        <f t="array" ref="O26">COUNT(IF(Referee1=$A26,IF(HomeTeam=O$4,1)))+COUNT(IF(Referee2=$A26,IF(HomeTeam=O$4,1)))</f>
        <v>0</v>
      </c>
      <c r="P26" s="8">
        <f t="array" ref="P26">COUNT(IF(Referee1=$A26,IF(HomeTeam=P$4,1)))+COUNT(IF(Referee2=$A26,IF(HomeTeam=P$4,1)))</f>
        <v>1</v>
      </c>
      <c r="Q26" s="8">
        <f t="array" ref="Q26">COUNT(IF(Referee1=$A26,IF(HomeTeam=Q$4,1)))+COUNT(IF(Referee2=$A26,IF(HomeTeam=Q$4,1)))</f>
        <v>0</v>
      </c>
      <c r="R26" s="8">
        <f t="array" ref="R26">COUNT(IF(Referee1=$A26,IF(HomeTeam=R$4,1)))+COUNT(IF(Referee2=$A26,IF(HomeTeam=R$4,1)))</f>
        <v>1</v>
      </c>
      <c r="S26" s="8">
        <f t="array" ref="S26">COUNT(IF(Referee1=$A26,IF(HomeTeam=S$4,1)))+COUNT(IF(Referee2=$A26,IF(HomeTeam=S$4,1)))</f>
        <v>0</v>
      </c>
      <c r="T26" s="8">
        <f t="array" ref="T26">COUNT(IF(Referee1=$A26,IF(HomeTeam=T$4,1)))+COUNT(IF(Referee2=$A26,IF(HomeTeam=T$4,1)))</f>
        <v>0</v>
      </c>
      <c r="U26" s="8">
        <f t="array" ref="U26">COUNT(IF(Referee1=$A26,IF(HomeTeam=U$4,1)))+COUNT(IF(Referee2=$A26,IF(HomeTeam=U$4,1)))</f>
        <v>0</v>
      </c>
      <c r="V26" s="8">
        <f t="array" ref="V26">COUNT(IF(Referee1=$A26,IF(HomeTeam=V$4,1)))+COUNT(IF(Referee2=$A26,IF(HomeTeam=V$4,1)))</f>
        <v>0</v>
      </c>
      <c r="W26" s="8">
        <f t="array" ref="W26">COUNT(IF(Referee1=$A26,IF(AwayTeam=W$4,1)))+COUNT(IF(Referee2=$A26,IF(AwayTeam=W$4,1)))</f>
        <v>4</v>
      </c>
      <c r="X26" s="8">
        <f t="array" ref="X26">COUNT(IF(Referee1=$A26,IF(AwayTeam=X$4,1)))+COUNT(IF(Referee2=$A26,IF(AwayTeam=X$4,1)))</f>
        <v>2</v>
      </c>
      <c r="Y26" s="8">
        <f t="array" ref="Y26">COUNT(IF(Referee1=$A26,IF(AwayTeam=Y$4,1)))+COUNT(IF(Referee2=$A26,IF(AwayTeam=Y$4,1)))</f>
        <v>0</v>
      </c>
      <c r="Z26" s="8">
        <f t="array" ref="Z26">COUNT(IF(Referee1=$A26,IF(AwayTeam=Z$4,1)))+COUNT(IF(Referee2=$A26,IF(AwayTeam=Z$4,1)))</f>
        <v>2</v>
      </c>
      <c r="AA26" s="8">
        <f t="array" ref="AA26">COUNT(IF(Referee1=$A26,IF(AwayTeam=AA$4,1)))+COUNT(IF(Referee2=$A26,IF(AwayTeam=AA$4,1)))</f>
        <v>0</v>
      </c>
      <c r="AB26" s="8">
        <f t="array" ref="AB26">COUNT(IF(Referee1=$A26,IF(AwayTeam=AB$4,1)))+COUNT(IF(Referee2=$A26,IF(AwayTeam=AB$4,1)))</f>
        <v>1</v>
      </c>
      <c r="AC26" s="8">
        <f t="array" ref="AC26">COUNT(IF(Referee1=$A26,IF(AwayTeam=AC$4,1)))+COUNT(IF(Referee2=$A26,IF(AwayTeam=AC$4,1)))</f>
        <v>0</v>
      </c>
      <c r="AD26" s="8">
        <f t="array" ref="AD26">COUNT(IF(Referee1=$A26,IF(AwayTeam=AD$4,1)))+COUNT(IF(Referee2=$A26,IF(AwayTeam=AD$4,1)))</f>
        <v>0</v>
      </c>
      <c r="AE26" s="8">
        <f t="array" ref="AE26">COUNT(IF(Referee1=$A26,IF(AwayTeam=AE$4,1)))+COUNT(IF(Referee2=$A26,IF(AwayTeam=AE$4,1)))</f>
        <v>2</v>
      </c>
      <c r="AF26" s="8">
        <f t="array" ref="AF26">COUNT(IF(Referee1=$A26,IF(AwayTeam=AF$4,1)))+COUNT(IF(Referee2=$A26,IF(AwayTeam=AF$4,1)))</f>
        <v>0</v>
      </c>
      <c r="AG26" s="8">
        <f t="array" ref="AG26">COUNT(IF(Referee1=$A26,IF(AwayTeam=AG$4,1)))+COUNT(IF(Referee2=$A26,IF(AwayTeam=AG$4,1)))</f>
        <v>0</v>
      </c>
      <c r="AH26" s="8">
        <f t="array" ref="AH26">COUNT(IF(Referee1=$A26,IF(AwayTeam=AH$4,1)))+COUNT(IF(Referee2=$A26,IF(AwayTeam=AH$4,1)))</f>
        <v>0</v>
      </c>
      <c r="AI26" s="8">
        <f t="array" ref="AI26">COUNT(IF(Referee1=$A26,IF(AwayTeam=AI$4,1)))+COUNT(IF(Referee2=$A26,IF(AwayTeam=AI$4,1)))</f>
        <v>0</v>
      </c>
      <c r="AJ26" s="8">
        <f t="array" ref="AJ26">COUNT(IF(Referee1=$A26,IF(AwayTeam=AJ$4,1)))+COUNT(IF(Referee2=$A26,IF(AwayTeam=AJ$4,1)))</f>
        <v>1</v>
      </c>
      <c r="AK26" s="8">
        <f t="array" ref="AK26">COUNT(IF(Referee1=$A26,IF(AwayTeam=AK$4,1)))+COUNT(IF(Referee2=$A26,IF(AwayTeam=AK$4,1)))</f>
        <v>0</v>
      </c>
      <c r="AL26" s="8">
        <f t="array" ref="AL26">COUNT(IF(Referee1=$A26,IF(AwayTeam=AL$4,1)))+COUNT(IF(Referee2=$A26,IF(AwayTeam=AL$4,1)))</f>
        <v>1</v>
      </c>
      <c r="AM26" s="8">
        <f t="array" ref="AM26">COUNT(IF(Referee1=$A26,IF(AwayTeam=AM$4,1)))+COUNT(IF(Referee2=$A26,IF(AwayTeam=AM$4,1)))</f>
        <v>3</v>
      </c>
      <c r="AN26" s="8">
        <f t="array" ref="AN26">COUNT(IF(Referee1=$A26,IF(AwayTeam=AN$4,1)))+COUNT(IF(Referee2=$A26,IF(AwayTeam=AN$4,1)))</f>
        <v>0</v>
      </c>
      <c r="AO26" s="8">
        <f t="array" ref="AO26">COUNT(IF(Referee1=$A26,IF(AwayTeam=AO$4,1)))+COUNT(IF(Referee2=$A26,IF(AwayTeam=AO$4,1)))</f>
        <v>0</v>
      </c>
      <c r="AP26" s="8">
        <f t="array" ref="AP26">COUNT(IF(Referee1=$A26,IF(AwayTeam=AP$4,1)))+COUNT(IF(Referee2=$A26,IF(AwayTeam=AP$4,1)))</f>
        <v>0</v>
      </c>
    </row>
    <row r="27" spans="1:42" x14ac:dyDescent="0.2">
      <c r="A27" s="8" t="str">
        <f>IF(Info!A24&lt;&gt;0,Info!A24,"")</f>
        <v>Menard, Michael</v>
      </c>
      <c r="B27" s="8">
        <f t="shared" si="0"/>
        <v>12</v>
      </c>
      <c r="C27" s="8">
        <f t="array" ref="C27">COUNT(IF(Referee1=$A27,IF(HomeTeam=C$4,1)))+COUNT(IF(Referee2=$A27,IF(HomeTeam=C$4,1)))</f>
        <v>1</v>
      </c>
      <c r="D27" s="8">
        <f t="array" ref="D27">COUNT(IF(Referee1=$A27,IF(HomeTeam=D$4,1)))+COUNT(IF(Referee2=$A27,IF(HomeTeam=D$4,1)))</f>
        <v>1</v>
      </c>
      <c r="E27" s="8">
        <f t="array" ref="E27">COUNT(IF(Referee1=$A27,IF(HomeTeam=E$4,1)))+COUNT(IF(Referee2=$A27,IF(HomeTeam=E$4,1)))</f>
        <v>0</v>
      </c>
      <c r="F27" s="8">
        <f t="array" ref="F27">COUNT(IF(Referee1=$A27,IF(HomeTeam=F$4,1)))+COUNT(IF(Referee2=$A27,IF(HomeTeam=F$4,1)))</f>
        <v>2</v>
      </c>
      <c r="G27" s="8">
        <f t="array" ref="G27">COUNT(IF(Referee1=$A27,IF(HomeTeam=G$4,1)))+COUNT(IF(Referee2=$A27,IF(HomeTeam=G$4,1)))</f>
        <v>0</v>
      </c>
      <c r="H27" s="8">
        <f t="array" ref="H27">COUNT(IF(Referee1=$A27,IF(HomeTeam=H$4,1)))+COUNT(IF(Referee2=$A27,IF(HomeTeam=H$4,1)))</f>
        <v>0</v>
      </c>
      <c r="I27" s="8">
        <f t="array" ref="I27">COUNT(IF(Referee1=$A27,IF(HomeTeam=I$4,1)))+COUNT(IF(Referee2=$A27,IF(HomeTeam=I$4,1)))</f>
        <v>1</v>
      </c>
      <c r="J27" s="8">
        <f t="array" ref="J27">COUNT(IF(Referee1=$A27,IF(HomeTeam=J$4,1)))+COUNT(IF(Referee2=$A27,IF(HomeTeam=J$4,1)))</f>
        <v>0</v>
      </c>
      <c r="K27" s="8">
        <f t="array" ref="K27">COUNT(IF(Referee1=$A27,IF(HomeTeam=K$4,1)))+COUNT(IF(Referee2=$A27,IF(HomeTeam=K$4,1)))</f>
        <v>0</v>
      </c>
      <c r="L27" s="8">
        <f t="array" ref="L27">COUNT(IF(Referee1=$A27,IF(HomeTeam=L$4,1)))+COUNT(IF(Referee2=$A27,IF(HomeTeam=L$4,1)))</f>
        <v>2</v>
      </c>
      <c r="M27" s="8">
        <f t="array" ref="M27">COUNT(IF(Referee1=$A27,IF(HomeTeam=M$4,1)))+COUNT(IF(Referee2=$A27,IF(HomeTeam=M$4,1)))</f>
        <v>1</v>
      </c>
      <c r="N27" s="8">
        <f t="array" ref="N27">COUNT(IF(Referee1=$A27,IF(HomeTeam=N$4,1)))+COUNT(IF(Referee2=$A27,IF(HomeTeam=N$4,1)))</f>
        <v>2</v>
      </c>
      <c r="O27" s="8">
        <f t="array" ref="O27">COUNT(IF(Referee1=$A27,IF(HomeTeam=O$4,1)))+COUNT(IF(Referee2=$A27,IF(HomeTeam=O$4,1)))</f>
        <v>0</v>
      </c>
      <c r="P27" s="8">
        <f t="array" ref="P27">COUNT(IF(Referee1=$A27,IF(HomeTeam=P$4,1)))+COUNT(IF(Referee2=$A27,IF(HomeTeam=P$4,1)))</f>
        <v>1</v>
      </c>
      <c r="Q27" s="8">
        <f t="array" ref="Q27">COUNT(IF(Referee1=$A27,IF(HomeTeam=Q$4,1)))+COUNT(IF(Referee2=$A27,IF(HomeTeam=Q$4,1)))</f>
        <v>1</v>
      </c>
      <c r="R27" s="8">
        <f t="array" ref="R27">COUNT(IF(Referee1=$A27,IF(HomeTeam=R$4,1)))+COUNT(IF(Referee2=$A27,IF(HomeTeam=R$4,1)))</f>
        <v>0</v>
      </c>
      <c r="S27" s="8">
        <f t="array" ref="S27">COUNT(IF(Referee1=$A27,IF(HomeTeam=S$4,1)))+COUNT(IF(Referee2=$A27,IF(HomeTeam=S$4,1)))</f>
        <v>0</v>
      </c>
      <c r="T27" s="8">
        <f t="array" ref="T27">COUNT(IF(Referee1=$A27,IF(HomeTeam=T$4,1)))+COUNT(IF(Referee2=$A27,IF(HomeTeam=T$4,1)))</f>
        <v>0</v>
      </c>
      <c r="U27" s="8">
        <f t="array" ref="U27">COUNT(IF(Referee1=$A27,IF(HomeTeam=U$4,1)))+COUNT(IF(Referee2=$A27,IF(HomeTeam=U$4,1)))</f>
        <v>0</v>
      </c>
      <c r="V27" s="8">
        <f t="array" ref="V27">COUNT(IF(Referee1=$A27,IF(HomeTeam=V$4,1)))+COUNT(IF(Referee2=$A27,IF(HomeTeam=V$4,1)))</f>
        <v>0</v>
      </c>
      <c r="W27" s="8">
        <f t="array" ref="W27">COUNT(IF(Referee1=$A27,IF(AwayTeam=W$4,1)))+COUNT(IF(Referee2=$A27,IF(AwayTeam=W$4,1)))</f>
        <v>0</v>
      </c>
      <c r="X27" s="8">
        <f t="array" ref="X27">COUNT(IF(Referee1=$A27,IF(AwayTeam=X$4,1)))+COUNT(IF(Referee2=$A27,IF(AwayTeam=X$4,1)))</f>
        <v>3</v>
      </c>
      <c r="Y27" s="8">
        <f t="array" ref="Y27">COUNT(IF(Referee1=$A27,IF(AwayTeam=Y$4,1)))+COUNT(IF(Referee2=$A27,IF(AwayTeam=Y$4,1)))</f>
        <v>0</v>
      </c>
      <c r="Z27" s="8">
        <f t="array" ref="Z27">COUNT(IF(Referee1=$A27,IF(AwayTeam=Z$4,1)))+COUNT(IF(Referee2=$A27,IF(AwayTeam=Z$4,1)))</f>
        <v>4</v>
      </c>
      <c r="AA27" s="8">
        <f t="array" ref="AA27">COUNT(IF(Referee1=$A27,IF(AwayTeam=AA$4,1)))+COUNT(IF(Referee2=$A27,IF(AwayTeam=AA$4,1)))</f>
        <v>0</v>
      </c>
      <c r="AB27" s="8">
        <f t="array" ref="AB27">COUNT(IF(Referee1=$A27,IF(AwayTeam=AB$4,1)))+COUNT(IF(Referee2=$A27,IF(AwayTeam=AB$4,1)))</f>
        <v>1</v>
      </c>
      <c r="AC27" s="8">
        <f t="array" ref="AC27">COUNT(IF(Referee1=$A27,IF(AwayTeam=AC$4,1)))+COUNT(IF(Referee2=$A27,IF(AwayTeam=AC$4,1)))</f>
        <v>1</v>
      </c>
      <c r="AD27" s="8">
        <f t="array" ref="AD27">COUNT(IF(Referee1=$A27,IF(AwayTeam=AD$4,1)))+COUNT(IF(Referee2=$A27,IF(AwayTeam=AD$4,1)))</f>
        <v>1</v>
      </c>
      <c r="AE27" s="8">
        <f t="array" ref="AE27">COUNT(IF(Referee1=$A27,IF(AwayTeam=AE$4,1)))+COUNT(IF(Referee2=$A27,IF(AwayTeam=AE$4,1)))</f>
        <v>1</v>
      </c>
      <c r="AF27" s="8">
        <f t="array" ref="AF27">COUNT(IF(Referee1=$A27,IF(AwayTeam=AF$4,1)))+COUNT(IF(Referee2=$A27,IF(AwayTeam=AF$4,1)))</f>
        <v>0</v>
      </c>
      <c r="AG27" s="8">
        <f t="array" ref="AG27">COUNT(IF(Referee1=$A27,IF(AwayTeam=AG$4,1)))+COUNT(IF(Referee2=$A27,IF(AwayTeam=AG$4,1)))</f>
        <v>0</v>
      </c>
      <c r="AH27" s="8">
        <f t="array" ref="AH27">COUNT(IF(Referee1=$A27,IF(AwayTeam=AH$4,1)))+COUNT(IF(Referee2=$A27,IF(AwayTeam=AH$4,1)))</f>
        <v>0</v>
      </c>
      <c r="AI27" s="8">
        <f t="array" ref="AI27">COUNT(IF(Referee1=$A27,IF(AwayTeam=AI$4,1)))+COUNT(IF(Referee2=$A27,IF(AwayTeam=AI$4,1)))</f>
        <v>0</v>
      </c>
      <c r="AJ27" s="8">
        <f t="array" ref="AJ27">COUNT(IF(Referee1=$A27,IF(AwayTeam=AJ$4,1)))+COUNT(IF(Referee2=$A27,IF(AwayTeam=AJ$4,1)))</f>
        <v>0</v>
      </c>
      <c r="AK27" s="8">
        <f t="array" ref="AK27">COUNT(IF(Referee1=$A27,IF(AwayTeam=AK$4,1)))+COUNT(IF(Referee2=$A27,IF(AwayTeam=AK$4,1)))</f>
        <v>0</v>
      </c>
      <c r="AL27" s="8">
        <f t="array" ref="AL27">COUNT(IF(Referee1=$A27,IF(AwayTeam=AL$4,1)))+COUNT(IF(Referee2=$A27,IF(AwayTeam=AL$4,1)))</f>
        <v>0</v>
      </c>
      <c r="AM27" s="8">
        <f t="array" ref="AM27">COUNT(IF(Referee1=$A27,IF(AwayTeam=AM$4,1)))+COUNT(IF(Referee2=$A27,IF(AwayTeam=AM$4,1)))</f>
        <v>1</v>
      </c>
      <c r="AN27" s="8">
        <f t="array" ref="AN27">COUNT(IF(Referee1=$A27,IF(AwayTeam=AN$4,1)))+COUNT(IF(Referee2=$A27,IF(AwayTeam=AN$4,1)))</f>
        <v>0</v>
      </c>
      <c r="AO27" s="8">
        <f t="array" ref="AO27">COUNT(IF(Referee1=$A27,IF(AwayTeam=AO$4,1)))+COUNT(IF(Referee2=$A27,IF(AwayTeam=AO$4,1)))</f>
        <v>0</v>
      </c>
      <c r="AP27" s="8">
        <f t="array" ref="AP27">COUNT(IF(Referee1=$A27,IF(AwayTeam=AP$4,1)))+COUNT(IF(Referee2=$A27,IF(AwayTeam=AP$4,1)))</f>
        <v>0</v>
      </c>
    </row>
    <row r="28" spans="1:42" x14ac:dyDescent="0.2">
      <c r="A28" s="8" t="str">
        <f>IF(Info!A25&lt;&gt;0,Info!A25,"")</f>
        <v>Muzik, Jake</v>
      </c>
      <c r="B28" s="8">
        <f t="shared" si="0"/>
        <v>2</v>
      </c>
      <c r="C28" s="8">
        <f t="array" ref="C28">COUNT(IF(Referee1=$A28,IF(HomeTeam=C$4,1)))+COUNT(IF(Referee2=$A28,IF(HomeTeam=C$4,1)))</f>
        <v>1</v>
      </c>
      <c r="D28" s="8">
        <f t="array" ref="D28">COUNT(IF(Referee1=$A28,IF(HomeTeam=D$4,1)))+COUNT(IF(Referee2=$A28,IF(HomeTeam=D$4,1)))</f>
        <v>1</v>
      </c>
      <c r="E28" s="8">
        <f t="array" ref="E28">COUNT(IF(Referee1=$A28,IF(HomeTeam=E$4,1)))+COUNT(IF(Referee2=$A28,IF(HomeTeam=E$4,1)))</f>
        <v>0</v>
      </c>
      <c r="F28" s="8">
        <f t="array" ref="F28">COUNT(IF(Referee1=$A28,IF(HomeTeam=F$4,1)))+COUNT(IF(Referee2=$A28,IF(HomeTeam=F$4,1)))</f>
        <v>0</v>
      </c>
      <c r="G28" s="8">
        <f t="array" ref="G28">COUNT(IF(Referee1=$A28,IF(HomeTeam=G$4,1)))+COUNT(IF(Referee2=$A28,IF(HomeTeam=G$4,1)))</f>
        <v>0</v>
      </c>
      <c r="H28" s="8">
        <f t="array" ref="H28">COUNT(IF(Referee1=$A28,IF(HomeTeam=H$4,1)))+COUNT(IF(Referee2=$A28,IF(HomeTeam=H$4,1)))</f>
        <v>0</v>
      </c>
      <c r="I28" s="8">
        <f t="array" ref="I28">COUNT(IF(Referee1=$A28,IF(HomeTeam=I$4,1)))+COUNT(IF(Referee2=$A28,IF(HomeTeam=I$4,1)))</f>
        <v>0</v>
      </c>
      <c r="J28" s="8">
        <f t="array" ref="J28">COUNT(IF(Referee1=$A28,IF(HomeTeam=J$4,1)))+COUNT(IF(Referee2=$A28,IF(HomeTeam=J$4,1)))</f>
        <v>0</v>
      </c>
      <c r="K28" s="8">
        <f t="array" ref="K28">COUNT(IF(Referee1=$A28,IF(HomeTeam=K$4,1)))+COUNT(IF(Referee2=$A28,IF(HomeTeam=K$4,1)))</f>
        <v>0</v>
      </c>
      <c r="L28" s="8">
        <f t="array" ref="L28">COUNT(IF(Referee1=$A28,IF(HomeTeam=L$4,1)))+COUNT(IF(Referee2=$A28,IF(HomeTeam=L$4,1)))</f>
        <v>0</v>
      </c>
      <c r="M28" s="8">
        <f t="array" ref="M28">COUNT(IF(Referee1=$A28,IF(HomeTeam=M$4,1)))+COUNT(IF(Referee2=$A28,IF(HomeTeam=M$4,1)))</f>
        <v>0</v>
      </c>
      <c r="N28" s="8">
        <f t="array" ref="N28">COUNT(IF(Referee1=$A28,IF(HomeTeam=N$4,1)))+COUNT(IF(Referee2=$A28,IF(HomeTeam=N$4,1)))</f>
        <v>0</v>
      </c>
      <c r="O28" s="8">
        <f t="array" ref="O28">COUNT(IF(Referee1=$A28,IF(HomeTeam=O$4,1)))+COUNT(IF(Referee2=$A28,IF(HomeTeam=O$4,1)))</f>
        <v>0</v>
      </c>
      <c r="P28" s="8">
        <f t="array" ref="P28">COUNT(IF(Referee1=$A28,IF(HomeTeam=P$4,1)))+COUNT(IF(Referee2=$A28,IF(HomeTeam=P$4,1)))</f>
        <v>0</v>
      </c>
      <c r="Q28" s="8">
        <f t="array" ref="Q28">COUNT(IF(Referee1=$A28,IF(HomeTeam=Q$4,1)))+COUNT(IF(Referee2=$A28,IF(HomeTeam=Q$4,1)))</f>
        <v>0</v>
      </c>
      <c r="R28" s="8">
        <f t="array" ref="R28">COUNT(IF(Referee1=$A28,IF(HomeTeam=R$4,1)))+COUNT(IF(Referee2=$A28,IF(HomeTeam=R$4,1)))</f>
        <v>0</v>
      </c>
      <c r="S28" s="8">
        <f t="array" ref="S28">COUNT(IF(Referee1=$A28,IF(HomeTeam=S$4,1)))+COUNT(IF(Referee2=$A28,IF(HomeTeam=S$4,1)))</f>
        <v>0</v>
      </c>
      <c r="T28" s="8">
        <f t="array" ref="T28">COUNT(IF(Referee1=$A28,IF(HomeTeam=T$4,1)))+COUNT(IF(Referee2=$A28,IF(HomeTeam=T$4,1)))</f>
        <v>0</v>
      </c>
      <c r="U28" s="8">
        <f t="array" ref="U28">COUNT(IF(Referee1=$A28,IF(HomeTeam=U$4,1)))+COUNT(IF(Referee2=$A28,IF(HomeTeam=U$4,1)))</f>
        <v>0</v>
      </c>
      <c r="V28" s="8">
        <f t="array" ref="V28">COUNT(IF(Referee1=$A28,IF(HomeTeam=V$4,1)))+COUNT(IF(Referee2=$A28,IF(HomeTeam=V$4,1)))</f>
        <v>0</v>
      </c>
      <c r="W28" s="8">
        <f t="array" ref="W28">COUNT(IF(Referee1=$A28,IF(AwayTeam=W$4,1)))+COUNT(IF(Referee2=$A28,IF(AwayTeam=W$4,1)))</f>
        <v>0</v>
      </c>
      <c r="X28" s="8">
        <f t="array" ref="X28">COUNT(IF(Referee1=$A28,IF(AwayTeam=X$4,1)))+COUNT(IF(Referee2=$A28,IF(AwayTeam=X$4,1)))</f>
        <v>0</v>
      </c>
      <c r="Y28" s="8">
        <f t="array" ref="Y28">COUNT(IF(Referee1=$A28,IF(AwayTeam=Y$4,1)))+COUNT(IF(Referee2=$A28,IF(AwayTeam=Y$4,1)))</f>
        <v>0</v>
      </c>
      <c r="Z28" s="8">
        <f t="array" ref="Z28">COUNT(IF(Referee1=$A28,IF(AwayTeam=Z$4,1)))+COUNT(IF(Referee2=$A28,IF(AwayTeam=Z$4,1)))</f>
        <v>0</v>
      </c>
      <c r="AA28" s="8">
        <f t="array" ref="AA28">COUNT(IF(Referee1=$A28,IF(AwayTeam=AA$4,1)))+COUNT(IF(Referee2=$A28,IF(AwayTeam=AA$4,1)))</f>
        <v>1</v>
      </c>
      <c r="AB28" s="8">
        <f t="array" ref="AB28">COUNT(IF(Referee1=$A28,IF(AwayTeam=AB$4,1)))+COUNT(IF(Referee2=$A28,IF(AwayTeam=AB$4,1)))</f>
        <v>0</v>
      </c>
      <c r="AC28" s="8">
        <f t="array" ref="AC28">COUNT(IF(Referee1=$A28,IF(AwayTeam=AC$4,1)))+COUNT(IF(Referee2=$A28,IF(AwayTeam=AC$4,1)))</f>
        <v>0</v>
      </c>
      <c r="AD28" s="8">
        <f t="array" ref="AD28">COUNT(IF(Referee1=$A28,IF(AwayTeam=AD$4,1)))+COUNT(IF(Referee2=$A28,IF(AwayTeam=AD$4,1)))</f>
        <v>0</v>
      </c>
      <c r="AE28" s="8">
        <f t="array" ref="AE28">COUNT(IF(Referee1=$A28,IF(AwayTeam=AE$4,1)))+COUNT(IF(Referee2=$A28,IF(AwayTeam=AE$4,1)))</f>
        <v>0</v>
      </c>
      <c r="AF28" s="8">
        <f t="array" ref="AF28">COUNT(IF(Referee1=$A28,IF(AwayTeam=AF$4,1)))+COUNT(IF(Referee2=$A28,IF(AwayTeam=AF$4,1)))</f>
        <v>0</v>
      </c>
      <c r="AG28" s="8">
        <f t="array" ref="AG28">COUNT(IF(Referee1=$A28,IF(AwayTeam=AG$4,1)))+COUNT(IF(Referee2=$A28,IF(AwayTeam=AG$4,1)))</f>
        <v>0</v>
      </c>
      <c r="AH28" s="8">
        <f t="array" ref="AH28">COUNT(IF(Referee1=$A28,IF(AwayTeam=AH$4,1)))+COUNT(IF(Referee2=$A28,IF(AwayTeam=AH$4,1)))</f>
        <v>0</v>
      </c>
      <c r="AI28" s="8">
        <f t="array" ref="AI28">COUNT(IF(Referee1=$A28,IF(AwayTeam=AI$4,1)))+COUNT(IF(Referee2=$A28,IF(AwayTeam=AI$4,1)))</f>
        <v>0</v>
      </c>
      <c r="AJ28" s="8">
        <f t="array" ref="AJ28">COUNT(IF(Referee1=$A28,IF(AwayTeam=AJ$4,1)))+COUNT(IF(Referee2=$A28,IF(AwayTeam=AJ$4,1)))</f>
        <v>1</v>
      </c>
      <c r="AK28" s="8">
        <f t="array" ref="AK28">COUNT(IF(Referee1=$A28,IF(AwayTeam=AK$4,1)))+COUNT(IF(Referee2=$A28,IF(AwayTeam=AK$4,1)))</f>
        <v>0</v>
      </c>
      <c r="AL28" s="8">
        <f t="array" ref="AL28">COUNT(IF(Referee1=$A28,IF(AwayTeam=AL$4,1)))+COUNT(IF(Referee2=$A28,IF(AwayTeam=AL$4,1)))</f>
        <v>0</v>
      </c>
      <c r="AM28" s="8">
        <f t="array" ref="AM28">COUNT(IF(Referee1=$A28,IF(AwayTeam=AM$4,1)))+COUNT(IF(Referee2=$A28,IF(AwayTeam=AM$4,1)))</f>
        <v>0</v>
      </c>
      <c r="AN28" s="8">
        <f t="array" ref="AN28">COUNT(IF(Referee1=$A28,IF(AwayTeam=AN$4,1)))+COUNT(IF(Referee2=$A28,IF(AwayTeam=AN$4,1)))</f>
        <v>0</v>
      </c>
      <c r="AO28" s="8">
        <f t="array" ref="AO28">COUNT(IF(Referee1=$A28,IF(AwayTeam=AO$4,1)))+COUNT(IF(Referee2=$A28,IF(AwayTeam=AO$4,1)))</f>
        <v>0</v>
      </c>
      <c r="AP28" s="8">
        <f t="array" ref="AP28">COUNT(IF(Referee1=$A28,IF(AwayTeam=AP$4,1)))+COUNT(IF(Referee2=$A28,IF(AwayTeam=AP$4,1)))</f>
        <v>0</v>
      </c>
    </row>
    <row r="29" spans="1:42" x14ac:dyDescent="0.2">
      <c r="A29" s="8" t="str">
        <f>IF(Info!A26&lt;&gt;0,Info!A26,"")</f>
        <v>Rasky, Andrew</v>
      </c>
      <c r="B29" s="8">
        <f t="shared" si="0"/>
        <v>8</v>
      </c>
      <c r="C29" s="8">
        <f t="array" ref="C29">COUNT(IF(Referee1=$A29,IF(HomeTeam=C$4,1)))+COUNT(IF(Referee2=$A29,IF(HomeTeam=C$4,1)))</f>
        <v>0</v>
      </c>
      <c r="D29" s="8">
        <f t="array" ref="D29">COUNT(IF(Referee1=$A29,IF(HomeTeam=D$4,1)))+COUNT(IF(Referee2=$A29,IF(HomeTeam=D$4,1)))</f>
        <v>2</v>
      </c>
      <c r="E29" s="8">
        <f t="array" ref="E29">COUNT(IF(Referee1=$A29,IF(HomeTeam=E$4,1)))+COUNT(IF(Referee2=$A29,IF(HomeTeam=E$4,1)))</f>
        <v>0</v>
      </c>
      <c r="F29" s="8">
        <f t="array" ref="F29">COUNT(IF(Referee1=$A29,IF(HomeTeam=F$4,1)))+COUNT(IF(Referee2=$A29,IF(HomeTeam=F$4,1)))</f>
        <v>0</v>
      </c>
      <c r="G29" s="8">
        <f t="array" ref="G29">COUNT(IF(Referee1=$A29,IF(HomeTeam=G$4,1)))+COUNT(IF(Referee2=$A29,IF(HomeTeam=G$4,1)))</f>
        <v>0</v>
      </c>
      <c r="H29" s="8">
        <f t="array" ref="H29">COUNT(IF(Referee1=$A29,IF(HomeTeam=H$4,1)))+COUNT(IF(Referee2=$A29,IF(HomeTeam=H$4,1)))</f>
        <v>0</v>
      </c>
      <c r="I29" s="8">
        <f t="array" ref="I29">COUNT(IF(Referee1=$A29,IF(HomeTeam=I$4,1)))+COUNT(IF(Referee2=$A29,IF(HomeTeam=I$4,1)))</f>
        <v>0</v>
      </c>
      <c r="J29" s="8">
        <f t="array" ref="J29">COUNT(IF(Referee1=$A29,IF(HomeTeam=J$4,1)))+COUNT(IF(Referee2=$A29,IF(HomeTeam=J$4,1)))</f>
        <v>1</v>
      </c>
      <c r="K29" s="8">
        <f t="array" ref="K29">COUNT(IF(Referee1=$A29,IF(HomeTeam=K$4,1)))+COUNT(IF(Referee2=$A29,IF(HomeTeam=K$4,1)))</f>
        <v>0</v>
      </c>
      <c r="L29" s="8">
        <f t="array" ref="L29">COUNT(IF(Referee1=$A29,IF(HomeTeam=L$4,1)))+COUNT(IF(Referee2=$A29,IF(HomeTeam=L$4,1)))</f>
        <v>1</v>
      </c>
      <c r="M29" s="8">
        <f t="array" ref="M29">COUNT(IF(Referee1=$A29,IF(HomeTeam=M$4,1)))+COUNT(IF(Referee2=$A29,IF(HomeTeam=M$4,1)))</f>
        <v>0</v>
      </c>
      <c r="N29" s="8">
        <f t="array" ref="N29">COUNT(IF(Referee1=$A29,IF(HomeTeam=N$4,1)))+COUNT(IF(Referee2=$A29,IF(HomeTeam=N$4,1)))</f>
        <v>1</v>
      </c>
      <c r="O29" s="8">
        <f t="array" ref="O29">COUNT(IF(Referee1=$A29,IF(HomeTeam=O$4,1)))+COUNT(IF(Referee2=$A29,IF(HomeTeam=O$4,1)))</f>
        <v>0</v>
      </c>
      <c r="P29" s="8">
        <f t="array" ref="P29">COUNT(IF(Referee1=$A29,IF(HomeTeam=P$4,1)))+COUNT(IF(Referee2=$A29,IF(HomeTeam=P$4,1)))</f>
        <v>1</v>
      </c>
      <c r="Q29" s="8">
        <f t="array" ref="Q29">COUNT(IF(Referee1=$A29,IF(HomeTeam=Q$4,1)))+COUNT(IF(Referee2=$A29,IF(HomeTeam=Q$4,1)))</f>
        <v>1</v>
      </c>
      <c r="R29" s="8">
        <f t="array" ref="R29">COUNT(IF(Referee1=$A29,IF(HomeTeam=R$4,1)))+COUNT(IF(Referee2=$A29,IF(HomeTeam=R$4,1)))</f>
        <v>1</v>
      </c>
      <c r="S29" s="8">
        <f t="array" ref="S29">COUNT(IF(Referee1=$A29,IF(HomeTeam=S$4,1)))+COUNT(IF(Referee2=$A29,IF(HomeTeam=S$4,1)))</f>
        <v>0</v>
      </c>
      <c r="T29" s="8">
        <f t="array" ref="T29">COUNT(IF(Referee1=$A29,IF(HomeTeam=T$4,1)))+COUNT(IF(Referee2=$A29,IF(HomeTeam=T$4,1)))</f>
        <v>0</v>
      </c>
      <c r="U29" s="8">
        <f t="array" ref="U29">COUNT(IF(Referee1=$A29,IF(HomeTeam=U$4,1)))+COUNT(IF(Referee2=$A29,IF(HomeTeam=U$4,1)))</f>
        <v>0</v>
      </c>
      <c r="V29" s="8">
        <f t="array" ref="V29">COUNT(IF(Referee1=$A29,IF(HomeTeam=V$4,1)))+COUNT(IF(Referee2=$A29,IF(HomeTeam=V$4,1)))</f>
        <v>0</v>
      </c>
      <c r="W29" s="8">
        <f t="array" ref="W29">COUNT(IF(Referee1=$A29,IF(AwayTeam=W$4,1)))+COUNT(IF(Referee2=$A29,IF(AwayTeam=W$4,1)))</f>
        <v>1</v>
      </c>
      <c r="X29" s="8">
        <f t="array" ref="X29">COUNT(IF(Referee1=$A29,IF(AwayTeam=X$4,1)))+COUNT(IF(Referee2=$A29,IF(AwayTeam=X$4,1)))</f>
        <v>0</v>
      </c>
      <c r="Y29" s="8">
        <f t="array" ref="Y29">COUNT(IF(Referee1=$A29,IF(AwayTeam=Y$4,1)))+COUNT(IF(Referee2=$A29,IF(AwayTeam=Y$4,1)))</f>
        <v>0</v>
      </c>
      <c r="Z29" s="8">
        <f t="array" ref="Z29">COUNT(IF(Referee1=$A29,IF(AwayTeam=Z$4,1)))+COUNT(IF(Referee2=$A29,IF(AwayTeam=Z$4,1)))</f>
        <v>2</v>
      </c>
      <c r="AA29" s="8">
        <f t="array" ref="AA29">COUNT(IF(Referee1=$A29,IF(AwayTeam=AA$4,1)))+COUNT(IF(Referee2=$A29,IF(AwayTeam=AA$4,1)))</f>
        <v>0</v>
      </c>
      <c r="AB29" s="8">
        <f t="array" ref="AB29">COUNT(IF(Referee1=$A29,IF(AwayTeam=AB$4,1)))+COUNT(IF(Referee2=$A29,IF(AwayTeam=AB$4,1)))</f>
        <v>0</v>
      </c>
      <c r="AC29" s="8">
        <f t="array" ref="AC29">COUNT(IF(Referee1=$A29,IF(AwayTeam=AC$4,1)))+COUNT(IF(Referee2=$A29,IF(AwayTeam=AC$4,1)))</f>
        <v>0</v>
      </c>
      <c r="AD29" s="8">
        <f t="array" ref="AD29">COUNT(IF(Referee1=$A29,IF(AwayTeam=AD$4,1)))+COUNT(IF(Referee2=$A29,IF(AwayTeam=AD$4,1)))</f>
        <v>0</v>
      </c>
      <c r="AE29" s="8">
        <f t="array" ref="AE29">COUNT(IF(Referee1=$A29,IF(AwayTeam=AE$4,1)))+COUNT(IF(Referee2=$A29,IF(AwayTeam=AE$4,1)))</f>
        <v>0</v>
      </c>
      <c r="AF29" s="8">
        <f t="array" ref="AF29">COUNT(IF(Referee1=$A29,IF(AwayTeam=AF$4,1)))+COUNT(IF(Referee2=$A29,IF(AwayTeam=AF$4,1)))</f>
        <v>1</v>
      </c>
      <c r="AG29" s="8">
        <f t="array" ref="AG29">COUNT(IF(Referee1=$A29,IF(AwayTeam=AG$4,1)))+COUNT(IF(Referee2=$A29,IF(AwayTeam=AG$4,1)))</f>
        <v>1</v>
      </c>
      <c r="AH29" s="8">
        <f t="array" ref="AH29">COUNT(IF(Referee1=$A29,IF(AwayTeam=AH$4,1)))+COUNT(IF(Referee2=$A29,IF(AwayTeam=AH$4,1)))</f>
        <v>1</v>
      </c>
      <c r="AI29" s="8">
        <f t="array" ref="AI29">COUNT(IF(Referee1=$A29,IF(AwayTeam=AI$4,1)))+COUNT(IF(Referee2=$A29,IF(AwayTeam=AI$4,1)))</f>
        <v>0</v>
      </c>
      <c r="AJ29" s="8">
        <f t="array" ref="AJ29">COUNT(IF(Referee1=$A29,IF(AwayTeam=AJ$4,1)))+COUNT(IF(Referee2=$A29,IF(AwayTeam=AJ$4,1)))</f>
        <v>1</v>
      </c>
      <c r="AK29" s="8">
        <f t="array" ref="AK29">COUNT(IF(Referee1=$A29,IF(AwayTeam=AK$4,1)))+COUNT(IF(Referee2=$A29,IF(AwayTeam=AK$4,1)))</f>
        <v>1</v>
      </c>
      <c r="AL29" s="8">
        <f t="array" ref="AL29">COUNT(IF(Referee1=$A29,IF(AwayTeam=AL$4,1)))+COUNT(IF(Referee2=$A29,IF(AwayTeam=AL$4,1)))</f>
        <v>0</v>
      </c>
      <c r="AM29" s="8">
        <f t="array" ref="AM29">COUNT(IF(Referee1=$A29,IF(AwayTeam=AM$4,1)))+COUNT(IF(Referee2=$A29,IF(AwayTeam=AM$4,1)))</f>
        <v>0</v>
      </c>
      <c r="AN29" s="8">
        <f t="array" ref="AN29">COUNT(IF(Referee1=$A29,IF(AwayTeam=AN$4,1)))+COUNT(IF(Referee2=$A29,IF(AwayTeam=AN$4,1)))</f>
        <v>0</v>
      </c>
      <c r="AO29" s="8">
        <f t="array" ref="AO29">COUNT(IF(Referee1=$A29,IF(AwayTeam=AO$4,1)))+COUNT(IF(Referee2=$A29,IF(AwayTeam=AO$4,1)))</f>
        <v>0</v>
      </c>
      <c r="AP29" s="8">
        <f t="array" ref="AP29">COUNT(IF(Referee1=$A29,IF(AwayTeam=AP$4,1)))+COUNT(IF(Referee2=$A29,IF(AwayTeam=AP$4,1)))</f>
        <v>0</v>
      </c>
    </row>
    <row r="30" spans="1:42" x14ac:dyDescent="0.2">
      <c r="A30" s="8" t="str">
        <f>IF(Info!A27&lt;&gt;0,Info!A27,"")</f>
        <v>Rekucki, Jake</v>
      </c>
      <c r="B30" s="8">
        <f t="shared" si="0"/>
        <v>3</v>
      </c>
      <c r="C30" s="8">
        <f t="array" ref="C30">COUNT(IF(Referee1=$A30,IF(HomeTeam=C$4,1)))+COUNT(IF(Referee2=$A30,IF(HomeTeam=C$4,1)))</f>
        <v>0</v>
      </c>
      <c r="D30" s="8">
        <f t="array" ref="D30">COUNT(IF(Referee1=$A30,IF(HomeTeam=D$4,1)))+COUNT(IF(Referee2=$A30,IF(HomeTeam=D$4,1)))</f>
        <v>1</v>
      </c>
      <c r="E30" s="8">
        <f t="array" ref="E30">COUNT(IF(Referee1=$A30,IF(HomeTeam=E$4,1)))+COUNT(IF(Referee2=$A30,IF(HomeTeam=E$4,1)))</f>
        <v>1</v>
      </c>
      <c r="F30" s="8">
        <f t="array" ref="F30">COUNT(IF(Referee1=$A30,IF(HomeTeam=F$4,1)))+COUNT(IF(Referee2=$A30,IF(HomeTeam=F$4,1)))</f>
        <v>0</v>
      </c>
      <c r="G30" s="8">
        <f t="array" ref="G30">COUNT(IF(Referee1=$A30,IF(HomeTeam=G$4,1)))+COUNT(IF(Referee2=$A30,IF(HomeTeam=G$4,1)))</f>
        <v>0</v>
      </c>
      <c r="H30" s="8">
        <f t="array" ref="H30">COUNT(IF(Referee1=$A30,IF(HomeTeam=H$4,1)))+COUNT(IF(Referee2=$A30,IF(HomeTeam=H$4,1)))</f>
        <v>0</v>
      </c>
      <c r="I30" s="8">
        <f t="array" ref="I30">COUNT(IF(Referee1=$A30,IF(HomeTeam=I$4,1)))+COUNT(IF(Referee2=$A30,IF(HomeTeam=I$4,1)))</f>
        <v>0</v>
      </c>
      <c r="J30" s="8">
        <f t="array" ref="J30">COUNT(IF(Referee1=$A30,IF(HomeTeam=J$4,1)))+COUNT(IF(Referee2=$A30,IF(HomeTeam=J$4,1)))</f>
        <v>0</v>
      </c>
      <c r="K30" s="8">
        <f t="array" ref="K30">COUNT(IF(Referee1=$A30,IF(HomeTeam=K$4,1)))+COUNT(IF(Referee2=$A30,IF(HomeTeam=K$4,1)))</f>
        <v>0</v>
      </c>
      <c r="L30" s="8">
        <f t="array" ref="L30">COUNT(IF(Referee1=$A30,IF(HomeTeam=L$4,1)))+COUNT(IF(Referee2=$A30,IF(HomeTeam=L$4,1)))</f>
        <v>0</v>
      </c>
      <c r="M30" s="8">
        <f t="array" ref="M30">COUNT(IF(Referee1=$A30,IF(HomeTeam=M$4,1)))+COUNT(IF(Referee2=$A30,IF(HomeTeam=M$4,1)))</f>
        <v>0</v>
      </c>
      <c r="N30" s="8">
        <f t="array" ref="N30">COUNT(IF(Referee1=$A30,IF(HomeTeam=N$4,1)))+COUNT(IF(Referee2=$A30,IF(HomeTeam=N$4,1)))</f>
        <v>0</v>
      </c>
      <c r="O30" s="8">
        <f t="array" ref="O30">COUNT(IF(Referee1=$A30,IF(HomeTeam=O$4,1)))+COUNT(IF(Referee2=$A30,IF(HomeTeam=O$4,1)))</f>
        <v>0</v>
      </c>
      <c r="P30" s="8">
        <f t="array" ref="P30">COUNT(IF(Referee1=$A30,IF(HomeTeam=P$4,1)))+COUNT(IF(Referee2=$A30,IF(HomeTeam=P$4,1)))</f>
        <v>1</v>
      </c>
      <c r="Q30" s="8">
        <f t="array" ref="Q30">COUNT(IF(Referee1=$A30,IF(HomeTeam=Q$4,1)))+COUNT(IF(Referee2=$A30,IF(HomeTeam=Q$4,1)))</f>
        <v>0</v>
      </c>
      <c r="R30" s="8">
        <f t="array" ref="R30">COUNT(IF(Referee1=$A30,IF(HomeTeam=R$4,1)))+COUNT(IF(Referee2=$A30,IF(HomeTeam=R$4,1)))</f>
        <v>0</v>
      </c>
      <c r="S30" s="8">
        <f t="array" ref="S30">COUNT(IF(Referee1=$A30,IF(HomeTeam=S$4,1)))+COUNT(IF(Referee2=$A30,IF(HomeTeam=S$4,1)))</f>
        <v>0</v>
      </c>
      <c r="T30" s="8">
        <f t="array" ref="T30">COUNT(IF(Referee1=$A30,IF(HomeTeam=T$4,1)))+COUNT(IF(Referee2=$A30,IF(HomeTeam=T$4,1)))</f>
        <v>0</v>
      </c>
      <c r="U30" s="8">
        <f t="array" ref="U30">COUNT(IF(Referee1=$A30,IF(HomeTeam=U$4,1)))+COUNT(IF(Referee2=$A30,IF(HomeTeam=U$4,1)))</f>
        <v>0</v>
      </c>
      <c r="V30" s="8">
        <f t="array" ref="V30">COUNT(IF(Referee1=$A30,IF(HomeTeam=V$4,1)))+COUNT(IF(Referee2=$A30,IF(HomeTeam=V$4,1)))</f>
        <v>0</v>
      </c>
      <c r="W30" s="8">
        <f t="array" ref="W30">COUNT(IF(Referee1=$A30,IF(AwayTeam=W$4,1)))+COUNT(IF(Referee2=$A30,IF(AwayTeam=W$4,1)))</f>
        <v>1</v>
      </c>
      <c r="X30" s="8">
        <f t="array" ref="X30">COUNT(IF(Referee1=$A30,IF(AwayTeam=X$4,1)))+COUNT(IF(Referee2=$A30,IF(AwayTeam=X$4,1)))</f>
        <v>1</v>
      </c>
      <c r="Y30" s="8">
        <f t="array" ref="Y30">COUNT(IF(Referee1=$A30,IF(AwayTeam=Y$4,1)))+COUNT(IF(Referee2=$A30,IF(AwayTeam=Y$4,1)))</f>
        <v>0</v>
      </c>
      <c r="Z30" s="8">
        <f t="array" ref="Z30">COUNT(IF(Referee1=$A30,IF(AwayTeam=Z$4,1)))+COUNT(IF(Referee2=$A30,IF(AwayTeam=Z$4,1)))</f>
        <v>0</v>
      </c>
      <c r="AA30" s="8">
        <f t="array" ref="AA30">COUNT(IF(Referee1=$A30,IF(AwayTeam=AA$4,1)))+COUNT(IF(Referee2=$A30,IF(AwayTeam=AA$4,1)))</f>
        <v>0</v>
      </c>
      <c r="AB30" s="8">
        <f t="array" ref="AB30">COUNT(IF(Referee1=$A30,IF(AwayTeam=AB$4,1)))+COUNT(IF(Referee2=$A30,IF(AwayTeam=AB$4,1)))</f>
        <v>0</v>
      </c>
      <c r="AC30" s="8">
        <f t="array" ref="AC30">COUNT(IF(Referee1=$A30,IF(AwayTeam=AC$4,1)))+COUNT(IF(Referee2=$A30,IF(AwayTeam=AC$4,1)))</f>
        <v>0</v>
      </c>
      <c r="AD30" s="8">
        <f t="array" ref="AD30">COUNT(IF(Referee1=$A30,IF(AwayTeam=AD$4,1)))+COUNT(IF(Referee2=$A30,IF(AwayTeam=AD$4,1)))</f>
        <v>0</v>
      </c>
      <c r="AE30" s="8">
        <f t="array" ref="AE30">COUNT(IF(Referee1=$A30,IF(AwayTeam=AE$4,1)))+COUNT(IF(Referee2=$A30,IF(AwayTeam=AE$4,1)))</f>
        <v>1</v>
      </c>
      <c r="AF30" s="8">
        <f t="array" ref="AF30">COUNT(IF(Referee1=$A30,IF(AwayTeam=AF$4,1)))+COUNT(IF(Referee2=$A30,IF(AwayTeam=AF$4,1)))</f>
        <v>0</v>
      </c>
      <c r="AG30" s="8">
        <f t="array" ref="AG30">COUNT(IF(Referee1=$A30,IF(AwayTeam=AG$4,1)))+COUNT(IF(Referee2=$A30,IF(AwayTeam=AG$4,1)))</f>
        <v>0</v>
      </c>
      <c r="AH30" s="8">
        <f t="array" ref="AH30">COUNT(IF(Referee1=$A30,IF(AwayTeam=AH$4,1)))+COUNT(IF(Referee2=$A30,IF(AwayTeam=AH$4,1)))</f>
        <v>0</v>
      </c>
      <c r="AI30" s="8">
        <f t="array" ref="AI30">COUNT(IF(Referee1=$A30,IF(AwayTeam=AI$4,1)))+COUNT(IF(Referee2=$A30,IF(AwayTeam=AI$4,1)))</f>
        <v>0</v>
      </c>
      <c r="AJ30" s="8">
        <f t="array" ref="AJ30">COUNT(IF(Referee1=$A30,IF(AwayTeam=AJ$4,1)))+COUNT(IF(Referee2=$A30,IF(AwayTeam=AJ$4,1)))</f>
        <v>0</v>
      </c>
      <c r="AK30" s="8">
        <f t="array" ref="AK30">COUNT(IF(Referee1=$A30,IF(AwayTeam=AK$4,1)))+COUNT(IF(Referee2=$A30,IF(AwayTeam=AK$4,1)))</f>
        <v>0</v>
      </c>
      <c r="AL30" s="8">
        <f t="array" ref="AL30">COUNT(IF(Referee1=$A30,IF(AwayTeam=AL$4,1)))+COUNT(IF(Referee2=$A30,IF(AwayTeam=AL$4,1)))</f>
        <v>0</v>
      </c>
      <c r="AM30" s="8">
        <f t="array" ref="AM30">COUNT(IF(Referee1=$A30,IF(AwayTeam=AM$4,1)))+COUNT(IF(Referee2=$A30,IF(AwayTeam=AM$4,1)))</f>
        <v>0</v>
      </c>
      <c r="AN30" s="8">
        <f t="array" ref="AN30">COUNT(IF(Referee1=$A30,IF(AwayTeam=AN$4,1)))+COUNT(IF(Referee2=$A30,IF(AwayTeam=AN$4,1)))</f>
        <v>0</v>
      </c>
      <c r="AO30" s="8">
        <f t="array" ref="AO30">COUNT(IF(Referee1=$A30,IF(AwayTeam=AO$4,1)))+COUNT(IF(Referee2=$A30,IF(AwayTeam=AO$4,1)))</f>
        <v>0</v>
      </c>
      <c r="AP30" s="8">
        <f t="array" ref="AP30">COUNT(IF(Referee1=$A30,IF(AwayTeam=AP$4,1)))+COUNT(IF(Referee2=$A30,IF(AwayTeam=AP$4,1)))</f>
        <v>0</v>
      </c>
    </row>
    <row r="31" spans="1:42" x14ac:dyDescent="0.2">
      <c r="A31" s="8" t="str">
        <f>IF(Info!A28&lt;&gt;0,Info!A28,"")</f>
        <v>Sailor, Steven</v>
      </c>
      <c r="B31" s="8">
        <f t="shared" si="0"/>
        <v>3</v>
      </c>
      <c r="C31" s="8">
        <f t="array" ref="C31">COUNT(IF(Referee1=$A31,IF(HomeTeam=C$4,1)))+COUNT(IF(Referee2=$A31,IF(HomeTeam=C$4,1)))</f>
        <v>1</v>
      </c>
      <c r="D31" s="8">
        <f t="array" ref="D31">COUNT(IF(Referee1=$A31,IF(HomeTeam=D$4,1)))+COUNT(IF(Referee2=$A31,IF(HomeTeam=D$4,1)))</f>
        <v>0</v>
      </c>
      <c r="E31" s="8">
        <f t="array" ref="E31">COUNT(IF(Referee1=$A31,IF(HomeTeam=E$4,1)))+COUNT(IF(Referee2=$A31,IF(HomeTeam=E$4,1)))</f>
        <v>0</v>
      </c>
      <c r="F31" s="8">
        <f t="array" ref="F31">COUNT(IF(Referee1=$A31,IF(HomeTeam=F$4,1)))+COUNT(IF(Referee2=$A31,IF(HomeTeam=F$4,1)))</f>
        <v>0</v>
      </c>
      <c r="G31" s="8">
        <f t="array" ref="G31">COUNT(IF(Referee1=$A31,IF(HomeTeam=G$4,1)))+COUNT(IF(Referee2=$A31,IF(HomeTeam=G$4,1)))</f>
        <v>0</v>
      </c>
      <c r="H31" s="8">
        <f t="array" ref="H31">COUNT(IF(Referee1=$A31,IF(HomeTeam=H$4,1)))+COUNT(IF(Referee2=$A31,IF(HomeTeam=H$4,1)))</f>
        <v>0</v>
      </c>
      <c r="I31" s="8">
        <f t="array" ref="I31">COUNT(IF(Referee1=$A31,IF(HomeTeam=I$4,1)))+COUNT(IF(Referee2=$A31,IF(HomeTeam=I$4,1)))</f>
        <v>0</v>
      </c>
      <c r="J31" s="8">
        <f t="array" ref="J31">COUNT(IF(Referee1=$A31,IF(HomeTeam=J$4,1)))+COUNT(IF(Referee2=$A31,IF(HomeTeam=J$4,1)))</f>
        <v>0</v>
      </c>
      <c r="K31" s="8">
        <f t="array" ref="K31">COUNT(IF(Referee1=$A31,IF(HomeTeam=K$4,1)))+COUNT(IF(Referee2=$A31,IF(HomeTeam=K$4,1)))</f>
        <v>0</v>
      </c>
      <c r="L31" s="8">
        <f t="array" ref="L31">COUNT(IF(Referee1=$A31,IF(HomeTeam=L$4,1)))+COUNT(IF(Referee2=$A31,IF(HomeTeam=L$4,1)))</f>
        <v>0</v>
      </c>
      <c r="M31" s="8">
        <f t="array" ref="M31">COUNT(IF(Referee1=$A31,IF(HomeTeam=M$4,1)))+COUNT(IF(Referee2=$A31,IF(HomeTeam=M$4,1)))</f>
        <v>0</v>
      </c>
      <c r="N31" s="8">
        <f t="array" ref="N31">COUNT(IF(Referee1=$A31,IF(HomeTeam=N$4,1)))+COUNT(IF(Referee2=$A31,IF(HomeTeam=N$4,1)))</f>
        <v>0</v>
      </c>
      <c r="O31" s="8">
        <f t="array" ref="O31">COUNT(IF(Referee1=$A31,IF(HomeTeam=O$4,1)))+COUNT(IF(Referee2=$A31,IF(HomeTeam=O$4,1)))</f>
        <v>0</v>
      </c>
      <c r="P31" s="8">
        <f t="array" ref="P31">COUNT(IF(Referee1=$A31,IF(HomeTeam=P$4,1)))+COUNT(IF(Referee2=$A31,IF(HomeTeam=P$4,1)))</f>
        <v>0</v>
      </c>
      <c r="Q31" s="8">
        <f t="array" ref="Q31">COUNT(IF(Referee1=$A31,IF(HomeTeam=Q$4,1)))+COUNT(IF(Referee2=$A31,IF(HomeTeam=Q$4,1)))</f>
        <v>1</v>
      </c>
      <c r="R31" s="8">
        <f t="array" ref="R31">COUNT(IF(Referee1=$A31,IF(HomeTeam=R$4,1)))+COUNT(IF(Referee2=$A31,IF(HomeTeam=R$4,1)))</f>
        <v>1</v>
      </c>
      <c r="S31" s="8">
        <f t="array" ref="S31">COUNT(IF(Referee1=$A31,IF(HomeTeam=S$4,1)))+COUNT(IF(Referee2=$A31,IF(HomeTeam=S$4,1)))</f>
        <v>0</v>
      </c>
      <c r="T31" s="8">
        <f t="array" ref="T31">COUNT(IF(Referee1=$A31,IF(HomeTeam=T$4,1)))+COUNT(IF(Referee2=$A31,IF(HomeTeam=T$4,1)))</f>
        <v>0</v>
      </c>
      <c r="U31" s="8">
        <f t="array" ref="U31">COUNT(IF(Referee1=$A31,IF(HomeTeam=U$4,1)))+COUNT(IF(Referee2=$A31,IF(HomeTeam=U$4,1)))</f>
        <v>0</v>
      </c>
      <c r="V31" s="8">
        <f t="array" ref="V31">COUNT(IF(Referee1=$A31,IF(HomeTeam=V$4,1)))+COUNT(IF(Referee2=$A31,IF(HomeTeam=V$4,1)))</f>
        <v>0</v>
      </c>
      <c r="W31" s="8">
        <f t="array" ref="W31">COUNT(IF(Referee1=$A31,IF(AwayTeam=W$4,1)))+COUNT(IF(Referee2=$A31,IF(AwayTeam=W$4,1)))</f>
        <v>0</v>
      </c>
      <c r="X31" s="8">
        <f t="array" ref="X31">COUNT(IF(Referee1=$A31,IF(AwayTeam=X$4,1)))+COUNT(IF(Referee2=$A31,IF(AwayTeam=X$4,1)))</f>
        <v>1</v>
      </c>
      <c r="Y31" s="8">
        <f t="array" ref="Y31">COUNT(IF(Referee1=$A31,IF(AwayTeam=Y$4,1)))+COUNT(IF(Referee2=$A31,IF(AwayTeam=Y$4,1)))</f>
        <v>0</v>
      </c>
      <c r="Z31" s="8">
        <f t="array" ref="Z31">COUNT(IF(Referee1=$A31,IF(AwayTeam=Z$4,1)))+COUNT(IF(Referee2=$A31,IF(AwayTeam=Z$4,1)))</f>
        <v>0</v>
      </c>
      <c r="AA31" s="8">
        <f t="array" ref="AA31">COUNT(IF(Referee1=$A31,IF(AwayTeam=AA$4,1)))+COUNT(IF(Referee2=$A31,IF(AwayTeam=AA$4,1)))</f>
        <v>0</v>
      </c>
      <c r="AB31" s="8">
        <f t="array" ref="AB31">COUNT(IF(Referee1=$A31,IF(AwayTeam=AB$4,1)))+COUNT(IF(Referee2=$A31,IF(AwayTeam=AB$4,1)))</f>
        <v>0</v>
      </c>
      <c r="AC31" s="8">
        <f t="array" ref="AC31">COUNT(IF(Referee1=$A31,IF(AwayTeam=AC$4,1)))+COUNT(IF(Referee2=$A31,IF(AwayTeam=AC$4,1)))</f>
        <v>1</v>
      </c>
      <c r="AD31" s="8">
        <f t="array" ref="AD31">COUNT(IF(Referee1=$A31,IF(AwayTeam=AD$4,1)))+COUNT(IF(Referee2=$A31,IF(AwayTeam=AD$4,1)))</f>
        <v>0</v>
      </c>
      <c r="AE31" s="8">
        <f t="array" ref="AE31">COUNT(IF(Referee1=$A31,IF(AwayTeam=AE$4,1)))+COUNT(IF(Referee2=$A31,IF(AwayTeam=AE$4,1)))</f>
        <v>0</v>
      </c>
      <c r="AF31" s="8">
        <f t="array" ref="AF31">COUNT(IF(Referee1=$A31,IF(AwayTeam=AF$4,1)))+COUNT(IF(Referee2=$A31,IF(AwayTeam=AF$4,1)))</f>
        <v>0</v>
      </c>
      <c r="AG31" s="8">
        <f t="array" ref="AG31">COUNT(IF(Referee1=$A31,IF(AwayTeam=AG$4,1)))+COUNT(IF(Referee2=$A31,IF(AwayTeam=AG$4,1)))</f>
        <v>0</v>
      </c>
      <c r="AH31" s="8">
        <f t="array" ref="AH31">COUNT(IF(Referee1=$A31,IF(AwayTeam=AH$4,1)))+COUNT(IF(Referee2=$A31,IF(AwayTeam=AH$4,1)))</f>
        <v>0</v>
      </c>
      <c r="AI31" s="8">
        <f t="array" ref="AI31">COUNT(IF(Referee1=$A31,IF(AwayTeam=AI$4,1)))+COUNT(IF(Referee2=$A31,IF(AwayTeam=AI$4,1)))</f>
        <v>0</v>
      </c>
      <c r="AJ31" s="8">
        <f t="array" ref="AJ31">COUNT(IF(Referee1=$A31,IF(AwayTeam=AJ$4,1)))+COUNT(IF(Referee2=$A31,IF(AwayTeam=AJ$4,1)))</f>
        <v>0</v>
      </c>
      <c r="AK31" s="8">
        <f t="array" ref="AK31">COUNT(IF(Referee1=$A31,IF(AwayTeam=AK$4,1)))+COUNT(IF(Referee2=$A31,IF(AwayTeam=AK$4,1)))</f>
        <v>0</v>
      </c>
      <c r="AL31" s="8">
        <f t="array" ref="AL31">COUNT(IF(Referee1=$A31,IF(AwayTeam=AL$4,1)))+COUNT(IF(Referee2=$A31,IF(AwayTeam=AL$4,1)))</f>
        <v>0</v>
      </c>
      <c r="AM31" s="8">
        <f t="array" ref="AM31">COUNT(IF(Referee1=$A31,IF(AwayTeam=AM$4,1)))+COUNT(IF(Referee2=$A31,IF(AwayTeam=AM$4,1)))</f>
        <v>1</v>
      </c>
      <c r="AN31" s="8">
        <f t="array" ref="AN31">COUNT(IF(Referee1=$A31,IF(AwayTeam=AN$4,1)))+COUNT(IF(Referee2=$A31,IF(AwayTeam=AN$4,1)))</f>
        <v>0</v>
      </c>
      <c r="AO31" s="8">
        <f t="array" ref="AO31">COUNT(IF(Referee1=$A31,IF(AwayTeam=AO$4,1)))+COUNT(IF(Referee2=$A31,IF(AwayTeam=AO$4,1)))</f>
        <v>0</v>
      </c>
      <c r="AP31" s="8">
        <f t="array" ref="AP31">COUNT(IF(Referee1=$A31,IF(AwayTeam=AP$4,1)))+COUNT(IF(Referee2=$A31,IF(AwayTeam=AP$4,1)))</f>
        <v>0</v>
      </c>
    </row>
    <row r="32" spans="1:42" x14ac:dyDescent="0.2">
      <c r="A32" s="8" t="str">
        <f>IF(Info!A29&lt;&gt;0,Info!A29,"")</f>
        <v>Sitarski, Jonathon</v>
      </c>
      <c r="B32" s="8">
        <f t="shared" si="0"/>
        <v>3</v>
      </c>
      <c r="C32" s="8">
        <f t="array" ref="C32">COUNT(IF(Referee1=$A32,IF(HomeTeam=C$4,1)))+COUNT(IF(Referee2=$A32,IF(HomeTeam=C$4,1)))</f>
        <v>0</v>
      </c>
      <c r="D32" s="8">
        <f t="array" ref="D32">COUNT(IF(Referee1=$A32,IF(HomeTeam=D$4,1)))+COUNT(IF(Referee2=$A32,IF(HomeTeam=D$4,1)))</f>
        <v>0</v>
      </c>
      <c r="E32" s="8">
        <f t="array" ref="E32">COUNT(IF(Referee1=$A32,IF(HomeTeam=E$4,1)))+COUNT(IF(Referee2=$A32,IF(HomeTeam=E$4,1)))</f>
        <v>0</v>
      </c>
      <c r="F32" s="8">
        <f t="array" ref="F32">COUNT(IF(Referee1=$A32,IF(HomeTeam=F$4,1)))+COUNT(IF(Referee2=$A32,IF(HomeTeam=F$4,1)))</f>
        <v>0</v>
      </c>
      <c r="G32" s="8">
        <f t="array" ref="G32">COUNT(IF(Referee1=$A32,IF(HomeTeam=G$4,1)))+COUNT(IF(Referee2=$A32,IF(HomeTeam=G$4,1)))</f>
        <v>0</v>
      </c>
      <c r="H32" s="8">
        <f t="array" ref="H32">COUNT(IF(Referee1=$A32,IF(HomeTeam=H$4,1)))+COUNT(IF(Referee2=$A32,IF(HomeTeam=H$4,1)))</f>
        <v>0</v>
      </c>
      <c r="I32" s="8">
        <f t="array" ref="I32">COUNT(IF(Referee1=$A32,IF(HomeTeam=I$4,1)))+COUNT(IF(Referee2=$A32,IF(HomeTeam=I$4,1)))</f>
        <v>0</v>
      </c>
      <c r="J32" s="8">
        <f t="array" ref="J32">COUNT(IF(Referee1=$A32,IF(HomeTeam=J$4,1)))+COUNT(IF(Referee2=$A32,IF(HomeTeam=J$4,1)))</f>
        <v>0</v>
      </c>
      <c r="K32" s="8">
        <f t="array" ref="K32">COUNT(IF(Referee1=$A32,IF(HomeTeam=K$4,1)))+COUNT(IF(Referee2=$A32,IF(HomeTeam=K$4,1)))</f>
        <v>0</v>
      </c>
      <c r="L32" s="8">
        <f t="array" ref="L32">COUNT(IF(Referee1=$A32,IF(HomeTeam=L$4,1)))+COUNT(IF(Referee2=$A32,IF(HomeTeam=L$4,1)))</f>
        <v>1</v>
      </c>
      <c r="M32" s="8">
        <f t="array" ref="M32">COUNT(IF(Referee1=$A32,IF(HomeTeam=M$4,1)))+COUNT(IF(Referee2=$A32,IF(HomeTeam=M$4,1)))</f>
        <v>0</v>
      </c>
      <c r="N32" s="8">
        <f t="array" ref="N32">COUNT(IF(Referee1=$A32,IF(HomeTeam=N$4,1)))+COUNT(IF(Referee2=$A32,IF(HomeTeam=N$4,1)))</f>
        <v>0</v>
      </c>
      <c r="O32" s="8">
        <f t="array" ref="O32">COUNT(IF(Referee1=$A32,IF(HomeTeam=O$4,1)))+COUNT(IF(Referee2=$A32,IF(HomeTeam=O$4,1)))</f>
        <v>0</v>
      </c>
      <c r="P32" s="8">
        <f t="array" ref="P32">COUNT(IF(Referee1=$A32,IF(HomeTeam=P$4,1)))+COUNT(IF(Referee2=$A32,IF(HomeTeam=P$4,1)))</f>
        <v>0</v>
      </c>
      <c r="Q32" s="8">
        <f t="array" ref="Q32">COUNT(IF(Referee1=$A32,IF(HomeTeam=Q$4,1)))+COUNT(IF(Referee2=$A32,IF(HomeTeam=Q$4,1)))</f>
        <v>0</v>
      </c>
      <c r="R32" s="8">
        <f t="array" ref="R32">COUNT(IF(Referee1=$A32,IF(HomeTeam=R$4,1)))+COUNT(IF(Referee2=$A32,IF(HomeTeam=R$4,1)))</f>
        <v>0</v>
      </c>
      <c r="S32" s="8">
        <f t="array" ref="S32">COUNT(IF(Referee1=$A32,IF(HomeTeam=S$4,1)))+COUNT(IF(Referee2=$A32,IF(HomeTeam=S$4,1)))</f>
        <v>2</v>
      </c>
      <c r="T32" s="8">
        <f t="array" ref="T32">COUNT(IF(Referee1=$A32,IF(HomeTeam=T$4,1)))+COUNT(IF(Referee2=$A32,IF(HomeTeam=T$4,1)))</f>
        <v>0</v>
      </c>
      <c r="U32" s="8">
        <f t="array" ref="U32">COUNT(IF(Referee1=$A32,IF(HomeTeam=U$4,1)))+COUNT(IF(Referee2=$A32,IF(HomeTeam=U$4,1)))</f>
        <v>0</v>
      </c>
      <c r="V32" s="8">
        <f t="array" ref="V32">COUNT(IF(Referee1=$A32,IF(HomeTeam=V$4,1)))+COUNT(IF(Referee2=$A32,IF(HomeTeam=V$4,1)))</f>
        <v>0</v>
      </c>
      <c r="W32" s="8">
        <f t="array" ref="W32">COUNT(IF(Referee1=$A32,IF(AwayTeam=W$4,1)))+COUNT(IF(Referee2=$A32,IF(AwayTeam=W$4,1)))</f>
        <v>0</v>
      </c>
      <c r="X32" s="8">
        <f t="array" ref="X32">COUNT(IF(Referee1=$A32,IF(AwayTeam=X$4,1)))+COUNT(IF(Referee2=$A32,IF(AwayTeam=X$4,1)))</f>
        <v>2</v>
      </c>
      <c r="Y32" s="8">
        <f t="array" ref="Y32">COUNT(IF(Referee1=$A32,IF(AwayTeam=Y$4,1)))+COUNT(IF(Referee2=$A32,IF(AwayTeam=Y$4,1)))</f>
        <v>0</v>
      </c>
      <c r="Z32" s="8">
        <f t="array" ref="Z32">COUNT(IF(Referee1=$A32,IF(AwayTeam=Z$4,1)))+COUNT(IF(Referee2=$A32,IF(AwayTeam=Z$4,1)))</f>
        <v>0</v>
      </c>
      <c r="AA32" s="8">
        <f t="array" ref="AA32">COUNT(IF(Referee1=$A32,IF(AwayTeam=AA$4,1)))+COUNT(IF(Referee2=$A32,IF(AwayTeam=AA$4,1)))</f>
        <v>0</v>
      </c>
      <c r="AB32" s="8">
        <f t="array" ref="AB32">COUNT(IF(Referee1=$A32,IF(AwayTeam=AB$4,1)))+COUNT(IF(Referee2=$A32,IF(AwayTeam=AB$4,1)))</f>
        <v>0</v>
      </c>
      <c r="AC32" s="8">
        <f t="array" ref="AC32">COUNT(IF(Referee1=$A32,IF(AwayTeam=AC$4,1)))+COUNT(IF(Referee2=$A32,IF(AwayTeam=AC$4,1)))</f>
        <v>0</v>
      </c>
      <c r="AD32" s="8">
        <f t="array" ref="AD32">COUNT(IF(Referee1=$A32,IF(AwayTeam=AD$4,1)))+COUNT(IF(Referee2=$A32,IF(AwayTeam=AD$4,1)))</f>
        <v>0</v>
      </c>
      <c r="AE32" s="8">
        <f t="array" ref="AE32">COUNT(IF(Referee1=$A32,IF(AwayTeam=AE$4,1)))+COUNT(IF(Referee2=$A32,IF(AwayTeam=AE$4,1)))</f>
        <v>0</v>
      </c>
      <c r="AF32" s="8">
        <f t="array" ref="AF32">COUNT(IF(Referee1=$A32,IF(AwayTeam=AF$4,1)))+COUNT(IF(Referee2=$A32,IF(AwayTeam=AF$4,1)))</f>
        <v>0</v>
      </c>
      <c r="AG32" s="8">
        <f t="array" ref="AG32">COUNT(IF(Referee1=$A32,IF(AwayTeam=AG$4,1)))+COUNT(IF(Referee2=$A32,IF(AwayTeam=AG$4,1)))</f>
        <v>0</v>
      </c>
      <c r="AH32" s="8">
        <f t="array" ref="AH32">COUNT(IF(Referee1=$A32,IF(AwayTeam=AH$4,1)))+COUNT(IF(Referee2=$A32,IF(AwayTeam=AH$4,1)))</f>
        <v>0</v>
      </c>
      <c r="AI32" s="8">
        <f t="array" ref="AI32">COUNT(IF(Referee1=$A32,IF(AwayTeam=AI$4,1)))+COUNT(IF(Referee2=$A32,IF(AwayTeam=AI$4,1)))</f>
        <v>0</v>
      </c>
      <c r="AJ32" s="8">
        <f t="array" ref="AJ32">COUNT(IF(Referee1=$A32,IF(AwayTeam=AJ$4,1)))+COUNT(IF(Referee2=$A32,IF(AwayTeam=AJ$4,1)))</f>
        <v>1</v>
      </c>
      <c r="AK32" s="8">
        <f t="array" ref="AK32">COUNT(IF(Referee1=$A32,IF(AwayTeam=AK$4,1)))+COUNT(IF(Referee2=$A32,IF(AwayTeam=AK$4,1)))</f>
        <v>0</v>
      </c>
      <c r="AL32" s="8">
        <f t="array" ref="AL32">COUNT(IF(Referee1=$A32,IF(AwayTeam=AL$4,1)))+COUNT(IF(Referee2=$A32,IF(AwayTeam=AL$4,1)))</f>
        <v>0</v>
      </c>
      <c r="AM32" s="8">
        <f t="array" ref="AM32">COUNT(IF(Referee1=$A32,IF(AwayTeam=AM$4,1)))+COUNT(IF(Referee2=$A32,IF(AwayTeam=AM$4,1)))</f>
        <v>0</v>
      </c>
      <c r="AN32" s="8">
        <f t="array" ref="AN32">COUNT(IF(Referee1=$A32,IF(AwayTeam=AN$4,1)))+COUNT(IF(Referee2=$A32,IF(AwayTeam=AN$4,1)))</f>
        <v>0</v>
      </c>
      <c r="AO32" s="8">
        <f t="array" ref="AO32">COUNT(IF(Referee1=$A32,IF(AwayTeam=AO$4,1)))+COUNT(IF(Referee2=$A32,IF(AwayTeam=AO$4,1)))</f>
        <v>0</v>
      </c>
      <c r="AP32" s="8">
        <f t="array" ref="AP32">COUNT(IF(Referee1=$A32,IF(AwayTeam=AP$4,1)))+COUNT(IF(Referee2=$A32,IF(AwayTeam=AP$4,1)))</f>
        <v>0</v>
      </c>
    </row>
    <row r="33" spans="1:42" x14ac:dyDescent="0.2">
      <c r="A33" s="8" t="str">
        <f>IF(Info!A30&lt;&gt;0,Info!A30,"")</f>
        <v>Stout, Zane</v>
      </c>
      <c r="B33" s="8">
        <f t="shared" si="0"/>
        <v>2</v>
      </c>
      <c r="C33" s="8">
        <f t="array" ref="C33">COUNT(IF(Referee1=$A33,IF(HomeTeam=C$4,1)))+COUNT(IF(Referee2=$A33,IF(HomeTeam=C$4,1)))</f>
        <v>0</v>
      </c>
      <c r="D33" s="8">
        <f t="array" ref="D33">COUNT(IF(Referee1=$A33,IF(HomeTeam=D$4,1)))+COUNT(IF(Referee2=$A33,IF(HomeTeam=D$4,1)))</f>
        <v>1</v>
      </c>
      <c r="E33" s="8">
        <f t="array" ref="E33">COUNT(IF(Referee1=$A33,IF(HomeTeam=E$4,1)))+COUNT(IF(Referee2=$A33,IF(HomeTeam=E$4,1)))</f>
        <v>0</v>
      </c>
      <c r="F33" s="8">
        <f t="array" ref="F33">COUNT(IF(Referee1=$A33,IF(HomeTeam=F$4,1)))+COUNT(IF(Referee2=$A33,IF(HomeTeam=F$4,1)))</f>
        <v>0</v>
      </c>
      <c r="G33" s="8">
        <f t="array" ref="G33">COUNT(IF(Referee1=$A33,IF(HomeTeam=G$4,1)))+COUNT(IF(Referee2=$A33,IF(HomeTeam=G$4,1)))</f>
        <v>0</v>
      </c>
      <c r="H33" s="8">
        <f t="array" ref="H33">COUNT(IF(Referee1=$A33,IF(HomeTeam=H$4,1)))+COUNT(IF(Referee2=$A33,IF(HomeTeam=H$4,1)))</f>
        <v>0</v>
      </c>
      <c r="I33" s="8">
        <f t="array" ref="I33">COUNT(IF(Referee1=$A33,IF(HomeTeam=I$4,1)))+COUNT(IF(Referee2=$A33,IF(HomeTeam=I$4,1)))</f>
        <v>0</v>
      </c>
      <c r="J33" s="8">
        <f t="array" ref="J33">COUNT(IF(Referee1=$A33,IF(HomeTeam=J$4,1)))+COUNT(IF(Referee2=$A33,IF(HomeTeam=J$4,1)))</f>
        <v>0</v>
      </c>
      <c r="K33" s="8">
        <f t="array" ref="K33">COUNT(IF(Referee1=$A33,IF(HomeTeam=K$4,1)))+COUNT(IF(Referee2=$A33,IF(HomeTeam=K$4,1)))</f>
        <v>0</v>
      </c>
      <c r="L33" s="8">
        <f t="array" ref="L33">COUNT(IF(Referee1=$A33,IF(HomeTeam=L$4,1)))+COUNT(IF(Referee2=$A33,IF(HomeTeam=L$4,1)))</f>
        <v>1</v>
      </c>
      <c r="M33" s="8">
        <f t="array" ref="M33">COUNT(IF(Referee1=$A33,IF(HomeTeam=M$4,1)))+COUNT(IF(Referee2=$A33,IF(HomeTeam=M$4,1)))</f>
        <v>0</v>
      </c>
      <c r="N33" s="8">
        <f t="array" ref="N33">COUNT(IF(Referee1=$A33,IF(HomeTeam=N$4,1)))+COUNT(IF(Referee2=$A33,IF(HomeTeam=N$4,1)))</f>
        <v>0</v>
      </c>
      <c r="O33" s="8">
        <f t="array" ref="O33">COUNT(IF(Referee1=$A33,IF(HomeTeam=O$4,1)))+COUNT(IF(Referee2=$A33,IF(HomeTeam=O$4,1)))</f>
        <v>0</v>
      </c>
      <c r="P33" s="8">
        <f t="array" ref="P33">COUNT(IF(Referee1=$A33,IF(HomeTeam=P$4,1)))+COUNT(IF(Referee2=$A33,IF(HomeTeam=P$4,1)))</f>
        <v>0</v>
      </c>
      <c r="Q33" s="8">
        <f t="array" ref="Q33">COUNT(IF(Referee1=$A33,IF(HomeTeam=Q$4,1)))+COUNT(IF(Referee2=$A33,IF(HomeTeam=Q$4,1)))</f>
        <v>0</v>
      </c>
      <c r="R33" s="8">
        <f t="array" ref="R33">COUNT(IF(Referee1=$A33,IF(HomeTeam=R$4,1)))+COUNT(IF(Referee2=$A33,IF(HomeTeam=R$4,1)))</f>
        <v>0</v>
      </c>
      <c r="S33" s="8">
        <f t="array" ref="S33">COUNT(IF(Referee1=$A33,IF(HomeTeam=S$4,1)))+COUNT(IF(Referee2=$A33,IF(HomeTeam=S$4,1)))</f>
        <v>0</v>
      </c>
      <c r="T33" s="8">
        <f t="array" ref="T33">COUNT(IF(Referee1=$A33,IF(HomeTeam=T$4,1)))+COUNT(IF(Referee2=$A33,IF(HomeTeam=T$4,1)))</f>
        <v>0</v>
      </c>
      <c r="U33" s="8">
        <f t="array" ref="U33">COUNT(IF(Referee1=$A33,IF(HomeTeam=U$4,1)))+COUNT(IF(Referee2=$A33,IF(HomeTeam=U$4,1)))</f>
        <v>0</v>
      </c>
      <c r="V33" s="8">
        <f t="array" ref="V33">COUNT(IF(Referee1=$A33,IF(HomeTeam=V$4,1)))+COUNT(IF(Referee2=$A33,IF(HomeTeam=V$4,1)))</f>
        <v>0</v>
      </c>
      <c r="W33" s="8">
        <f t="array" ref="W33">COUNT(IF(Referee1=$A33,IF(AwayTeam=W$4,1)))+COUNT(IF(Referee2=$A33,IF(AwayTeam=W$4,1)))</f>
        <v>0</v>
      </c>
      <c r="X33" s="8">
        <f t="array" ref="X33">COUNT(IF(Referee1=$A33,IF(AwayTeam=X$4,1)))+COUNT(IF(Referee2=$A33,IF(AwayTeam=X$4,1)))</f>
        <v>0</v>
      </c>
      <c r="Y33" s="8">
        <f t="array" ref="Y33">COUNT(IF(Referee1=$A33,IF(AwayTeam=Y$4,1)))+COUNT(IF(Referee2=$A33,IF(AwayTeam=Y$4,1)))</f>
        <v>0</v>
      </c>
      <c r="Z33" s="8">
        <f t="array" ref="Z33">COUNT(IF(Referee1=$A33,IF(AwayTeam=Z$4,1)))+COUNT(IF(Referee2=$A33,IF(AwayTeam=Z$4,1)))</f>
        <v>0</v>
      </c>
      <c r="AA33" s="8">
        <f t="array" ref="AA33">COUNT(IF(Referee1=$A33,IF(AwayTeam=AA$4,1)))+COUNT(IF(Referee2=$A33,IF(AwayTeam=AA$4,1)))</f>
        <v>0</v>
      </c>
      <c r="AB33" s="8">
        <f t="array" ref="AB33">COUNT(IF(Referee1=$A33,IF(AwayTeam=AB$4,1)))+COUNT(IF(Referee2=$A33,IF(AwayTeam=AB$4,1)))</f>
        <v>1</v>
      </c>
      <c r="AC33" s="8">
        <f t="array" ref="AC33">COUNT(IF(Referee1=$A33,IF(AwayTeam=AC$4,1)))+COUNT(IF(Referee2=$A33,IF(AwayTeam=AC$4,1)))</f>
        <v>0</v>
      </c>
      <c r="AD33" s="8">
        <f t="array" ref="AD33">COUNT(IF(Referee1=$A33,IF(AwayTeam=AD$4,1)))+COUNT(IF(Referee2=$A33,IF(AwayTeam=AD$4,1)))</f>
        <v>0</v>
      </c>
      <c r="AE33" s="8">
        <f t="array" ref="AE33">COUNT(IF(Referee1=$A33,IF(AwayTeam=AE$4,1)))+COUNT(IF(Referee2=$A33,IF(AwayTeam=AE$4,1)))</f>
        <v>0</v>
      </c>
      <c r="AF33" s="8">
        <f t="array" ref="AF33">COUNT(IF(Referee1=$A33,IF(AwayTeam=AF$4,1)))+COUNT(IF(Referee2=$A33,IF(AwayTeam=AF$4,1)))</f>
        <v>0</v>
      </c>
      <c r="AG33" s="8">
        <f t="array" ref="AG33">COUNT(IF(Referee1=$A33,IF(AwayTeam=AG$4,1)))+COUNT(IF(Referee2=$A33,IF(AwayTeam=AG$4,1)))</f>
        <v>0</v>
      </c>
      <c r="AH33" s="8">
        <f t="array" ref="AH33">COUNT(IF(Referee1=$A33,IF(AwayTeam=AH$4,1)))+COUNT(IF(Referee2=$A33,IF(AwayTeam=AH$4,1)))</f>
        <v>0</v>
      </c>
      <c r="AI33" s="8">
        <f t="array" ref="AI33">COUNT(IF(Referee1=$A33,IF(AwayTeam=AI$4,1)))+COUNT(IF(Referee2=$A33,IF(AwayTeam=AI$4,1)))</f>
        <v>1</v>
      </c>
      <c r="AJ33" s="8">
        <f t="array" ref="AJ33">COUNT(IF(Referee1=$A33,IF(AwayTeam=AJ$4,1)))+COUNT(IF(Referee2=$A33,IF(AwayTeam=AJ$4,1)))</f>
        <v>0</v>
      </c>
      <c r="AK33" s="8">
        <f t="array" ref="AK33">COUNT(IF(Referee1=$A33,IF(AwayTeam=AK$4,1)))+COUNT(IF(Referee2=$A33,IF(AwayTeam=AK$4,1)))</f>
        <v>0</v>
      </c>
      <c r="AL33" s="8">
        <f t="array" ref="AL33">COUNT(IF(Referee1=$A33,IF(AwayTeam=AL$4,1)))+COUNT(IF(Referee2=$A33,IF(AwayTeam=AL$4,1)))</f>
        <v>0</v>
      </c>
      <c r="AM33" s="8">
        <f t="array" ref="AM33">COUNT(IF(Referee1=$A33,IF(AwayTeam=AM$4,1)))+COUNT(IF(Referee2=$A33,IF(AwayTeam=AM$4,1)))</f>
        <v>0</v>
      </c>
      <c r="AN33" s="8">
        <f t="array" ref="AN33">COUNT(IF(Referee1=$A33,IF(AwayTeam=AN$4,1)))+COUNT(IF(Referee2=$A33,IF(AwayTeam=AN$4,1)))</f>
        <v>0</v>
      </c>
      <c r="AO33" s="8">
        <f t="array" ref="AO33">COUNT(IF(Referee1=$A33,IF(AwayTeam=AO$4,1)))+COUNT(IF(Referee2=$A33,IF(AwayTeam=AO$4,1)))</f>
        <v>0</v>
      </c>
      <c r="AP33" s="8">
        <f t="array" ref="AP33">COUNT(IF(Referee1=$A33,IF(AwayTeam=AP$4,1)))+COUNT(IF(Referee2=$A33,IF(AwayTeam=AP$4,1)))</f>
        <v>0</v>
      </c>
    </row>
    <row r="34" spans="1:42" x14ac:dyDescent="0.2">
      <c r="A34" s="8" t="str">
        <f>IF(Info!A31&lt;&gt;0,Info!A31,"")</f>
        <v>Stragar, J.R.</v>
      </c>
      <c r="B34" s="8">
        <f t="shared" si="0"/>
        <v>27</v>
      </c>
      <c r="C34" s="8">
        <f t="array" ref="C34">COUNT(IF(Referee1=$A34,IF(HomeTeam=C$4,1)))+COUNT(IF(Referee2=$A34,IF(HomeTeam=C$4,1)))</f>
        <v>5</v>
      </c>
      <c r="D34" s="8">
        <f t="array" ref="D34">COUNT(IF(Referee1=$A34,IF(HomeTeam=D$4,1)))+COUNT(IF(Referee2=$A34,IF(HomeTeam=D$4,1)))</f>
        <v>6</v>
      </c>
      <c r="E34" s="8">
        <f t="array" ref="E34">COUNT(IF(Referee1=$A34,IF(HomeTeam=E$4,1)))+COUNT(IF(Referee2=$A34,IF(HomeTeam=E$4,1)))</f>
        <v>1</v>
      </c>
      <c r="F34" s="8">
        <f t="array" ref="F34">COUNT(IF(Referee1=$A34,IF(HomeTeam=F$4,1)))+COUNT(IF(Referee2=$A34,IF(HomeTeam=F$4,1)))</f>
        <v>2</v>
      </c>
      <c r="G34" s="8">
        <f t="array" ref="G34">COUNT(IF(Referee1=$A34,IF(HomeTeam=G$4,1)))+COUNT(IF(Referee2=$A34,IF(HomeTeam=G$4,1)))</f>
        <v>1</v>
      </c>
      <c r="H34" s="8">
        <f t="array" ref="H34">COUNT(IF(Referee1=$A34,IF(HomeTeam=H$4,1)))+COUNT(IF(Referee2=$A34,IF(HomeTeam=H$4,1)))</f>
        <v>1</v>
      </c>
      <c r="I34" s="8">
        <f t="array" ref="I34">COUNT(IF(Referee1=$A34,IF(HomeTeam=I$4,1)))+COUNT(IF(Referee2=$A34,IF(HomeTeam=I$4,1)))</f>
        <v>3</v>
      </c>
      <c r="J34" s="8">
        <f t="array" ref="J34">COUNT(IF(Referee1=$A34,IF(HomeTeam=J$4,1)))+COUNT(IF(Referee2=$A34,IF(HomeTeam=J$4,1)))</f>
        <v>0</v>
      </c>
      <c r="K34" s="8">
        <f t="array" ref="K34">COUNT(IF(Referee1=$A34,IF(HomeTeam=K$4,1)))+COUNT(IF(Referee2=$A34,IF(HomeTeam=K$4,1)))</f>
        <v>1</v>
      </c>
      <c r="L34" s="8">
        <f t="array" ref="L34">COUNT(IF(Referee1=$A34,IF(HomeTeam=L$4,1)))+COUNT(IF(Referee2=$A34,IF(HomeTeam=L$4,1)))</f>
        <v>0</v>
      </c>
      <c r="M34" s="8">
        <f t="array" ref="M34">COUNT(IF(Referee1=$A34,IF(HomeTeam=M$4,1)))+COUNT(IF(Referee2=$A34,IF(HomeTeam=M$4,1)))</f>
        <v>1</v>
      </c>
      <c r="N34" s="8">
        <f t="array" ref="N34">COUNT(IF(Referee1=$A34,IF(HomeTeam=N$4,1)))+COUNT(IF(Referee2=$A34,IF(HomeTeam=N$4,1)))</f>
        <v>0</v>
      </c>
      <c r="O34" s="8">
        <f t="array" ref="O34">COUNT(IF(Referee1=$A34,IF(HomeTeam=O$4,1)))+COUNT(IF(Referee2=$A34,IF(HomeTeam=O$4,1)))</f>
        <v>1</v>
      </c>
      <c r="P34" s="8">
        <f t="array" ref="P34">COUNT(IF(Referee1=$A34,IF(HomeTeam=P$4,1)))+COUNT(IF(Referee2=$A34,IF(HomeTeam=P$4,1)))</f>
        <v>3</v>
      </c>
      <c r="Q34" s="8">
        <f t="array" ref="Q34">COUNT(IF(Referee1=$A34,IF(HomeTeam=Q$4,1)))+COUNT(IF(Referee2=$A34,IF(HomeTeam=Q$4,1)))</f>
        <v>1</v>
      </c>
      <c r="R34" s="8">
        <f t="array" ref="R34">COUNT(IF(Referee1=$A34,IF(HomeTeam=R$4,1)))+COUNT(IF(Referee2=$A34,IF(HomeTeam=R$4,1)))</f>
        <v>1</v>
      </c>
      <c r="S34" s="8">
        <f t="array" ref="S34">COUNT(IF(Referee1=$A34,IF(HomeTeam=S$4,1)))+COUNT(IF(Referee2=$A34,IF(HomeTeam=S$4,1)))</f>
        <v>0</v>
      </c>
      <c r="T34" s="8">
        <f t="array" ref="T34">COUNT(IF(Referee1=$A34,IF(HomeTeam=T$4,1)))+COUNT(IF(Referee2=$A34,IF(HomeTeam=T$4,1)))</f>
        <v>0</v>
      </c>
      <c r="U34" s="8">
        <f t="array" ref="U34">COUNT(IF(Referee1=$A34,IF(HomeTeam=U$4,1)))+COUNT(IF(Referee2=$A34,IF(HomeTeam=U$4,1)))</f>
        <v>0</v>
      </c>
      <c r="V34" s="8">
        <f t="array" ref="V34">COUNT(IF(Referee1=$A34,IF(HomeTeam=V$4,1)))+COUNT(IF(Referee2=$A34,IF(HomeTeam=V$4,1)))</f>
        <v>0</v>
      </c>
      <c r="W34" s="8">
        <f t="array" ref="W34">COUNT(IF(Referee1=$A34,IF(AwayTeam=W$4,1)))+COUNT(IF(Referee2=$A34,IF(AwayTeam=W$4,1)))</f>
        <v>4</v>
      </c>
      <c r="X34" s="8">
        <f t="array" ref="X34">COUNT(IF(Referee1=$A34,IF(AwayTeam=X$4,1)))+COUNT(IF(Referee2=$A34,IF(AwayTeam=X$4,1)))</f>
        <v>3</v>
      </c>
      <c r="Y34" s="8">
        <f t="array" ref="Y34">COUNT(IF(Referee1=$A34,IF(AwayTeam=Y$4,1)))+COUNT(IF(Referee2=$A34,IF(AwayTeam=Y$4,1)))</f>
        <v>3</v>
      </c>
      <c r="Z34" s="8">
        <f t="array" ref="Z34">COUNT(IF(Referee1=$A34,IF(AwayTeam=Z$4,1)))+COUNT(IF(Referee2=$A34,IF(AwayTeam=Z$4,1)))</f>
        <v>5</v>
      </c>
      <c r="AA34" s="8">
        <f t="array" ref="AA34">COUNT(IF(Referee1=$A34,IF(AwayTeam=AA$4,1)))+COUNT(IF(Referee2=$A34,IF(AwayTeam=AA$4,1)))</f>
        <v>0</v>
      </c>
      <c r="AB34" s="8">
        <f t="array" ref="AB34">COUNT(IF(Referee1=$A34,IF(AwayTeam=AB$4,1)))+COUNT(IF(Referee2=$A34,IF(AwayTeam=AB$4,1)))</f>
        <v>1</v>
      </c>
      <c r="AC34" s="8">
        <f t="array" ref="AC34">COUNT(IF(Referee1=$A34,IF(AwayTeam=AC$4,1)))+COUNT(IF(Referee2=$A34,IF(AwayTeam=AC$4,1)))</f>
        <v>0</v>
      </c>
      <c r="AD34" s="8">
        <f t="array" ref="AD34">COUNT(IF(Referee1=$A34,IF(AwayTeam=AD$4,1)))+COUNT(IF(Referee2=$A34,IF(AwayTeam=AD$4,1)))</f>
        <v>0</v>
      </c>
      <c r="AE34" s="8">
        <f t="array" ref="AE34">COUNT(IF(Referee1=$A34,IF(AwayTeam=AE$4,1)))+COUNT(IF(Referee2=$A34,IF(AwayTeam=AE$4,1)))</f>
        <v>1</v>
      </c>
      <c r="AF34" s="8">
        <f t="array" ref="AF34">COUNT(IF(Referee1=$A34,IF(AwayTeam=AF$4,1)))+COUNT(IF(Referee2=$A34,IF(AwayTeam=AF$4,1)))</f>
        <v>1</v>
      </c>
      <c r="AG34" s="8">
        <f t="array" ref="AG34">COUNT(IF(Referee1=$A34,IF(AwayTeam=AG$4,1)))+COUNT(IF(Referee2=$A34,IF(AwayTeam=AG$4,1)))</f>
        <v>1</v>
      </c>
      <c r="AH34" s="8">
        <f t="array" ref="AH34">COUNT(IF(Referee1=$A34,IF(AwayTeam=AH$4,1)))+COUNT(IF(Referee2=$A34,IF(AwayTeam=AH$4,1)))</f>
        <v>3</v>
      </c>
      <c r="AI34" s="8">
        <f t="array" ref="AI34">COUNT(IF(Referee1=$A34,IF(AwayTeam=AI$4,1)))+COUNT(IF(Referee2=$A34,IF(AwayTeam=AI$4,1)))</f>
        <v>1</v>
      </c>
      <c r="AJ34" s="8">
        <f t="array" ref="AJ34">COUNT(IF(Referee1=$A34,IF(AwayTeam=AJ$4,1)))+COUNT(IF(Referee2=$A34,IF(AwayTeam=AJ$4,1)))</f>
        <v>1</v>
      </c>
      <c r="AK34" s="8">
        <f t="array" ref="AK34">COUNT(IF(Referee1=$A34,IF(AwayTeam=AK$4,1)))+COUNT(IF(Referee2=$A34,IF(AwayTeam=AK$4,1)))</f>
        <v>0</v>
      </c>
      <c r="AL34" s="8">
        <f t="array" ref="AL34">COUNT(IF(Referee1=$A34,IF(AwayTeam=AL$4,1)))+COUNT(IF(Referee2=$A34,IF(AwayTeam=AL$4,1)))</f>
        <v>3</v>
      </c>
      <c r="AM34" s="8">
        <f t="array" ref="AM34">COUNT(IF(Referee1=$A34,IF(AwayTeam=AM$4,1)))+COUNT(IF(Referee2=$A34,IF(AwayTeam=AM$4,1)))</f>
        <v>0</v>
      </c>
      <c r="AN34" s="8">
        <f t="array" ref="AN34">COUNT(IF(Referee1=$A34,IF(AwayTeam=AN$4,1)))+COUNT(IF(Referee2=$A34,IF(AwayTeam=AN$4,1)))</f>
        <v>0</v>
      </c>
      <c r="AO34" s="8">
        <f t="array" ref="AO34">COUNT(IF(Referee1=$A34,IF(AwayTeam=AO$4,1)))+COUNT(IF(Referee2=$A34,IF(AwayTeam=AO$4,1)))</f>
        <v>0</v>
      </c>
      <c r="AP34" s="8">
        <f t="array" ref="AP34">COUNT(IF(Referee1=$A34,IF(AwayTeam=AP$4,1)))+COUNT(IF(Referee2=$A34,IF(AwayTeam=AP$4,1)))</f>
        <v>0</v>
      </c>
    </row>
    <row r="35" spans="1:42" x14ac:dyDescent="0.2">
      <c r="A35" s="8" t="str">
        <f>IF(Info!A32&lt;&gt;0,Info!A32,"")</f>
        <v>Thackaberry, Andy</v>
      </c>
      <c r="B35" s="8">
        <f t="shared" si="0"/>
        <v>1</v>
      </c>
      <c r="C35" s="8">
        <f t="array" ref="C35">COUNT(IF(Referee1=$A35,IF(HomeTeam=C$4,1)))+COUNT(IF(Referee2=$A35,IF(HomeTeam=C$4,1)))</f>
        <v>0</v>
      </c>
      <c r="D35" s="8">
        <f t="array" ref="D35">COUNT(IF(Referee1=$A35,IF(HomeTeam=D$4,1)))+COUNT(IF(Referee2=$A35,IF(HomeTeam=D$4,1)))</f>
        <v>0</v>
      </c>
      <c r="E35" s="8">
        <f t="array" ref="E35">COUNT(IF(Referee1=$A35,IF(HomeTeam=E$4,1)))+COUNT(IF(Referee2=$A35,IF(HomeTeam=E$4,1)))</f>
        <v>0</v>
      </c>
      <c r="F35" s="8">
        <f t="array" ref="F35">COUNT(IF(Referee1=$A35,IF(HomeTeam=F$4,1)))+COUNT(IF(Referee2=$A35,IF(HomeTeam=F$4,1)))</f>
        <v>0</v>
      </c>
      <c r="G35" s="8">
        <f t="array" ref="G35">COUNT(IF(Referee1=$A35,IF(HomeTeam=G$4,1)))+COUNT(IF(Referee2=$A35,IF(HomeTeam=G$4,1)))</f>
        <v>0</v>
      </c>
      <c r="H35" s="8">
        <f t="array" ref="H35">COUNT(IF(Referee1=$A35,IF(HomeTeam=H$4,1)))+COUNT(IF(Referee2=$A35,IF(HomeTeam=H$4,1)))</f>
        <v>0</v>
      </c>
      <c r="I35" s="8">
        <f t="array" ref="I35">COUNT(IF(Referee1=$A35,IF(HomeTeam=I$4,1)))+COUNT(IF(Referee2=$A35,IF(HomeTeam=I$4,1)))</f>
        <v>0</v>
      </c>
      <c r="J35" s="8">
        <f t="array" ref="J35">COUNT(IF(Referee1=$A35,IF(HomeTeam=J$4,1)))+COUNT(IF(Referee2=$A35,IF(HomeTeam=J$4,1)))</f>
        <v>0</v>
      </c>
      <c r="K35" s="8">
        <f t="array" ref="K35">COUNT(IF(Referee1=$A35,IF(HomeTeam=K$4,1)))+COUNT(IF(Referee2=$A35,IF(HomeTeam=K$4,1)))</f>
        <v>0</v>
      </c>
      <c r="L35" s="8">
        <f t="array" ref="L35">COUNT(IF(Referee1=$A35,IF(HomeTeam=L$4,1)))+COUNT(IF(Referee2=$A35,IF(HomeTeam=L$4,1)))</f>
        <v>1</v>
      </c>
      <c r="M35" s="8">
        <f t="array" ref="M35">COUNT(IF(Referee1=$A35,IF(HomeTeam=M$4,1)))+COUNT(IF(Referee2=$A35,IF(HomeTeam=M$4,1)))</f>
        <v>0</v>
      </c>
      <c r="N35" s="8">
        <f t="array" ref="N35">COUNT(IF(Referee1=$A35,IF(HomeTeam=N$4,1)))+COUNT(IF(Referee2=$A35,IF(HomeTeam=N$4,1)))</f>
        <v>0</v>
      </c>
      <c r="O35" s="8">
        <f t="array" ref="O35">COUNT(IF(Referee1=$A35,IF(HomeTeam=O$4,1)))+COUNT(IF(Referee2=$A35,IF(HomeTeam=O$4,1)))</f>
        <v>0</v>
      </c>
      <c r="P35" s="8">
        <f t="array" ref="P35">COUNT(IF(Referee1=$A35,IF(HomeTeam=P$4,1)))+COUNT(IF(Referee2=$A35,IF(HomeTeam=P$4,1)))</f>
        <v>0</v>
      </c>
      <c r="Q35" s="8">
        <f t="array" ref="Q35">COUNT(IF(Referee1=$A35,IF(HomeTeam=Q$4,1)))+COUNT(IF(Referee2=$A35,IF(HomeTeam=Q$4,1)))</f>
        <v>0</v>
      </c>
      <c r="R35" s="8">
        <f t="array" ref="R35">COUNT(IF(Referee1=$A35,IF(HomeTeam=R$4,1)))+COUNT(IF(Referee2=$A35,IF(HomeTeam=R$4,1)))</f>
        <v>0</v>
      </c>
      <c r="S35" s="8">
        <f t="array" ref="S35">COUNT(IF(Referee1=$A35,IF(HomeTeam=S$4,1)))+COUNT(IF(Referee2=$A35,IF(HomeTeam=S$4,1)))</f>
        <v>0</v>
      </c>
      <c r="T35" s="8">
        <f t="array" ref="T35">COUNT(IF(Referee1=$A35,IF(HomeTeam=T$4,1)))+COUNT(IF(Referee2=$A35,IF(HomeTeam=T$4,1)))</f>
        <v>0</v>
      </c>
      <c r="U35" s="8">
        <f t="array" ref="U35">COUNT(IF(Referee1=$A35,IF(HomeTeam=U$4,1)))+COUNT(IF(Referee2=$A35,IF(HomeTeam=U$4,1)))</f>
        <v>0</v>
      </c>
      <c r="V35" s="8">
        <f t="array" ref="V35">COUNT(IF(Referee1=$A35,IF(HomeTeam=V$4,1)))+COUNT(IF(Referee2=$A35,IF(HomeTeam=V$4,1)))</f>
        <v>0</v>
      </c>
      <c r="W35" s="8">
        <f t="array" ref="W35">COUNT(IF(Referee1=$A35,IF(AwayTeam=W$4,1)))+COUNT(IF(Referee2=$A35,IF(AwayTeam=W$4,1)))</f>
        <v>0</v>
      </c>
      <c r="X35" s="8">
        <f t="array" ref="X35">COUNT(IF(Referee1=$A35,IF(AwayTeam=X$4,1)))+COUNT(IF(Referee2=$A35,IF(AwayTeam=X$4,1)))</f>
        <v>1</v>
      </c>
      <c r="Y35" s="8">
        <f t="array" ref="Y35">COUNT(IF(Referee1=$A35,IF(AwayTeam=Y$4,1)))+COUNT(IF(Referee2=$A35,IF(AwayTeam=Y$4,1)))</f>
        <v>0</v>
      </c>
      <c r="Z35" s="8">
        <f t="array" ref="Z35">COUNT(IF(Referee1=$A35,IF(AwayTeam=Z$4,1)))+COUNT(IF(Referee2=$A35,IF(AwayTeam=Z$4,1)))</f>
        <v>0</v>
      </c>
      <c r="AA35" s="8">
        <f t="array" ref="AA35">COUNT(IF(Referee1=$A35,IF(AwayTeam=AA$4,1)))+COUNT(IF(Referee2=$A35,IF(AwayTeam=AA$4,1)))</f>
        <v>0</v>
      </c>
      <c r="AB35" s="8">
        <f t="array" ref="AB35">COUNT(IF(Referee1=$A35,IF(AwayTeam=AB$4,1)))+COUNT(IF(Referee2=$A35,IF(AwayTeam=AB$4,1)))</f>
        <v>0</v>
      </c>
      <c r="AC35" s="8">
        <f t="array" ref="AC35">COUNT(IF(Referee1=$A35,IF(AwayTeam=AC$4,1)))+COUNT(IF(Referee2=$A35,IF(AwayTeam=AC$4,1)))</f>
        <v>0</v>
      </c>
      <c r="AD35" s="8">
        <f t="array" ref="AD35">COUNT(IF(Referee1=$A35,IF(AwayTeam=AD$4,1)))+COUNT(IF(Referee2=$A35,IF(AwayTeam=AD$4,1)))</f>
        <v>0</v>
      </c>
      <c r="AE35" s="8">
        <f t="array" ref="AE35">COUNT(IF(Referee1=$A35,IF(AwayTeam=AE$4,1)))+COUNT(IF(Referee2=$A35,IF(AwayTeam=AE$4,1)))</f>
        <v>0</v>
      </c>
      <c r="AF35" s="8">
        <f t="array" ref="AF35">COUNT(IF(Referee1=$A35,IF(AwayTeam=AF$4,1)))+COUNT(IF(Referee2=$A35,IF(AwayTeam=AF$4,1)))</f>
        <v>0</v>
      </c>
      <c r="AG35" s="8">
        <f t="array" ref="AG35">COUNT(IF(Referee1=$A35,IF(AwayTeam=AG$4,1)))+COUNT(IF(Referee2=$A35,IF(AwayTeam=AG$4,1)))</f>
        <v>0</v>
      </c>
      <c r="AH35" s="8">
        <f t="array" ref="AH35">COUNT(IF(Referee1=$A35,IF(AwayTeam=AH$4,1)))+COUNT(IF(Referee2=$A35,IF(AwayTeam=AH$4,1)))</f>
        <v>0</v>
      </c>
      <c r="AI35" s="8">
        <f t="array" ref="AI35">COUNT(IF(Referee1=$A35,IF(AwayTeam=AI$4,1)))+COUNT(IF(Referee2=$A35,IF(AwayTeam=AI$4,1)))</f>
        <v>0</v>
      </c>
      <c r="AJ35" s="8">
        <f t="array" ref="AJ35">COUNT(IF(Referee1=$A35,IF(AwayTeam=AJ$4,1)))+COUNT(IF(Referee2=$A35,IF(AwayTeam=AJ$4,1)))</f>
        <v>0</v>
      </c>
      <c r="AK35" s="8">
        <f t="array" ref="AK35">COUNT(IF(Referee1=$A35,IF(AwayTeam=AK$4,1)))+COUNT(IF(Referee2=$A35,IF(AwayTeam=AK$4,1)))</f>
        <v>0</v>
      </c>
      <c r="AL35" s="8">
        <f t="array" ref="AL35">COUNT(IF(Referee1=$A35,IF(AwayTeam=AL$4,1)))+COUNT(IF(Referee2=$A35,IF(AwayTeam=AL$4,1)))</f>
        <v>0</v>
      </c>
      <c r="AM35" s="8">
        <f t="array" ref="AM35">COUNT(IF(Referee1=$A35,IF(AwayTeam=AM$4,1)))+COUNT(IF(Referee2=$A35,IF(AwayTeam=AM$4,1)))</f>
        <v>0</v>
      </c>
      <c r="AN35" s="8">
        <f t="array" ref="AN35">COUNT(IF(Referee1=$A35,IF(AwayTeam=AN$4,1)))+COUNT(IF(Referee2=$A35,IF(AwayTeam=AN$4,1)))</f>
        <v>0</v>
      </c>
      <c r="AO35" s="8">
        <f t="array" ref="AO35">COUNT(IF(Referee1=$A35,IF(AwayTeam=AO$4,1)))+COUNT(IF(Referee2=$A35,IF(AwayTeam=AO$4,1)))</f>
        <v>0</v>
      </c>
      <c r="AP35" s="8">
        <f t="array" ref="AP35">COUNT(IF(Referee1=$A35,IF(AwayTeam=AP$4,1)))+COUNT(IF(Referee2=$A35,IF(AwayTeam=AP$4,1)))</f>
        <v>0</v>
      </c>
    </row>
    <row r="36" spans="1:42" x14ac:dyDescent="0.2">
      <c r="A36" s="8" t="str">
        <f>IF(Info!A33&lt;&gt;0,Info!A33,"")</f>
        <v>Vida, Bruce</v>
      </c>
      <c r="B36" s="8">
        <f t="shared" si="0"/>
        <v>1</v>
      </c>
      <c r="C36" s="8">
        <f t="array" ref="C36">COUNT(IF(Referee1=$A36,IF(HomeTeam=C$4,1)))+COUNT(IF(Referee2=$A36,IF(HomeTeam=C$4,1)))</f>
        <v>0</v>
      </c>
      <c r="D36" s="8">
        <f t="array" ref="D36">COUNT(IF(Referee1=$A36,IF(HomeTeam=D$4,1)))+COUNT(IF(Referee2=$A36,IF(HomeTeam=D$4,1)))</f>
        <v>0</v>
      </c>
      <c r="E36" s="8">
        <f t="array" ref="E36">COUNT(IF(Referee1=$A36,IF(HomeTeam=E$4,1)))+COUNT(IF(Referee2=$A36,IF(HomeTeam=E$4,1)))</f>
        <v>0</v>
      </c>
      <c r="F36" s="8">
        <f t="array" ref="F36">COUNT(IF(Referee1=$A36,IF(HomeTeam=F$4,1)))+COUNT(IF(Referee2=$A36,IF(HomeTeam=F$4,1)))</f>
        <v>0</v>
      </c>
      <c r="G36" s="8">
        <f t="array" ref="G36">COUNT(IF(Referee1=$A36,IF(HomeTeam=G$4,1)))+COUNT(IF(Referee2=$A36,IF(HomeTeam=G$4,1)))</f>
        <v>0</v>
      </c>
      <c r="H36" s="8">
        <f t="array" ref="H36">COUNT(IF(Referee1=$A36,IF(HomeTeam=H$4,1)))+COUNT(IF(Referee2=$A36,IF(HomeTeam=H$4,1)))</f>
        <v>0</v>
      </c>
      <c r="I36" s="8">
        <f t="array" ref="I36">COUNT(IF(Referee1=$A36,IF(HomeTeam=I$4,1)))+COUNT(IF(Referee2=$A36,IF(HomeTeam=I$4,1)))</f>
        <v>0</v>
      </c>
      <c r="J36" s="8">
        <f t="array" ref="J36">COUNT(IF(Referee1=$A36,IF(HomeTeam=J$4,1)))+COUNT(IF(Referee2=$A36,IF(HomeTeam=J$4,1)))</f>
        <v>0</v>
      </c>
      <c r="K36" s="8">
        <f t="array" ref="K36">COUNT(IF(Referee1=$A36,IF(HomeTeam=K$4,1)))+COUNT(IF(Referee2=$A36,IF(HomeTeam=K$4,1)))</f>
        <v>0</v>
      </c>
      <c r="L36" s="8">
        <f t="array" ref="L36">COUNT(IF(Referee1=$A36,IF(HomeTeam=L$4,1)))+COUNT(IF(Referee2=$A36,IF(HomeTeam=L$4,1)))</f>
        <v>0</v>
      </c>
      <c r="M36" s="8">
        <f t="array" ref="M36">COUNT(IF(Referee1=$A36,IF(HomeTeam=M$4,1)))+COUNT(IF(Referee2=$A36,IF(HomeTeam=M$4,1)))</f>
        <v>0</v>
      </c>
      <c r="N36" s="8">
        <f t="array" ref="N36">COUNT(IF(Referee1=$A36,IF(HomeTeam=N$4,1)))+COUNT(IF(Referee2=$A36,IF(HomeTeam=N$4,1)))</f>
        <v>0</v>
      </c>
      <c r="O36" s="8">
        <f t="array" ref="O36">COUNT(IF(Referee1=$A36,IF(HomeTeam=O$4,1)))+COUNT(IF(Referee2=$A36,IF(HomeTeam=O$4,1)))</f>
        <v>0</v>
      </c>
      <c r="P36" s="8">
        <f t="array" ref="P36">COUNT(IF(Referee1=$A36,IF(HomeTeam=P$4,1)))+COUNT(IF(Referee2=$A36,IF(HomeTeam=P$4,1)))</f>
        <v>1</v>
      </c>
      <c r="Q36" s="8">
        <f t="array" ref="Q36">COUNT(IF(Referee1=$A36,IF(HomeTeam=Q$4,1)))+COUNT(IF(Referee2=$A36,IF(HomeTeam=Q$4,1)))</f>
        <v>0</v>
      </c>
      <c r="R36" s="8">
        <f t="array" ref="R36">COUNT(IF(Referee1=$A36,IF(HomeTeam=R$4,1)))+COUNT(IF(Referee2=$A36,IF(HomeTeam=R$4,1)))</f>
        <v>0</v>
      </c>
      <c r="S36" s="8">
        <f t="array" ref="S36">COUNT(IF(Referee1=$A36,IF(HomeTeam=S$4,1)))+COUNT(IF(Referee2=$A36,IF(HomeTeam=S$4,1)))</f>
        <v>0</v>
      </c>
      <c r="T36" s="8">
        <f t="array" ref="T36">COUNT(IF(Referee1=$A36,IF(HomeTeam=T$4,1)))+COUNT(IF(Referee2=$A36,IF(HomeTeam=T$4,1)))</f>
        <v>0</v>
      </c>
      <c r="U36" s="8">
        <f t="array" ref="U36">COUNT(IF(Referee1=$A36,IF(HomeTeam=U$4,1)))+COUNT(IF(Referee2=$A36,IF(HomeTeam=U$4,1)))</f>
        <v>0</v>
      </c>
      <c r="V36" s="8">
        <f t="array" ref="V36">COUNT(IF(Referee1=$A36,IF(HomeTeam=V$4,1)))+COUNT(IF(Referee2=$A36,IF(HomeTeam=V$4,1)))</f>
        <v>0</v>
      </c>
      <c r="W36" s="8">
        <f t="array" ref="W36">COUNT(IF(Referee1=$A36,IF(AwayTeam=W$4,1)))+COUNT(IF(Referee2=$A36,IF(AwayTeam=W$4,1)))</f>
        <v>0</v>
      </c>
      <c r="X36" s="8">
        <f t="array" ref="X36">COUNT(IF(Referee1=$A36,IF(AwayTeam=X$4,1)))+COUNT(IF(Referee2=$A36,IF(AwayTeam=X$4,1)))</f>
        <v>0</v>
      </c>
      <c r="Y36" s="8">
        <f t="array" ref="Y36">COUNT(IF(Referee1=$A36,IF(AwayTeam=Y$4,1)))+COUNT(IF(Referee2=$A36,IF(AwayTeam=Y$4,1)))</f>
        <v>0</v>
      </c>
      <c r="Z36" s="8">
        <f t="array" ref="Z36">COUNT(IF(Referee1=$A36,IF(AwayTeam=Z$4,1)))+COUNT(IF(Referee2=$A36,IF(AwayTeam=Z$4,1)))</f>
        <v>1</v>
      </c>
      <c r="AA36" s="8">
        <f t="array" ref="AA36">COUNT(IF(Referee1=$A36,IF(AwayTeam=AA$4,1)))+COUNT(IF(Referee2=$A36,IF(AwayTeam=AA$4,1)))</f>
        <v>0</v>
      </c>
      <c r="AB36" s="8">
        <f t="array" ref="AB36">COUNT(IF(Referee1=$A36,IF(AwayTeam=AB$4,1)))+COUNT(IF(Referee2=$A36,IF(AwayTeam=AB$4,1)))</f>
        <v>0</v>
      </c>
      <c r="AC36" s="8">
        <f t="array" ref="AC36">COUNT(IF(Referee1=$A36,IF(AwayTeam=AC$4,1)))+COUNT(IF(Referee2=$A36,IF(AwayTeam=AC$4,1)))</f>
        <v>0</v>
      </c>
      <c r="AD36" s="8">
        <f t="array" ref="AD36">COUNT(IF(Referee1=$A36,IF(AwayTeam=AD$4,1)))+COUNT(IF(Referee2=$A36,IF(AwayTeam=AD$4,1)))</f>
        <v>0</v>
      </c>
      <c r="AE36" s="8">
        <f t="array" ref="AE36">COUNT(IF(Referee1=$A36,IF(AwayTeam=AE$4,1)))+COUNT(IF(Referee2=$A36,IF(AwayTeam=AE$4,1)))</f>
        <v>0</v>
      </c>
      <c r="AF36" s="8">
        <f t="array" ref="AF36">COUNT(IF(Referee1=$A36,IF(AwayTeam=AF$4,1)))+COUNT(IF(Referee2=$A36,IF(AwayTeam=AF$4,1)))</f>
        <v>0</v>
      </c>
      <c r="AG36" s="8">
        <f t="array" ref="AG36">COUNT(IF(Referee1=$A36,IF(AwayTeam=AG$4,1)))+COUNT(IF(Referee2=$A36,IF(AwayTeam=AG$4,1)))</f>
        <v>0</v>
      </c>
      <c r="AH36" s="8">
        <f t="array" ref="AH36">COUNT(IF(Referee1=$A36,IF(AwayTeam=AH$4,1)))+COUNT(IF(Referee2=$A36,IF(AwayTeam=AH$4,1)))</f>
        <v>0</v>
      </c>
      <c r="AI36" s="8">
        <f t="array" ref="AI36">COUNT(IF(Referee1=$A36,IF(AwayTeam=AI$4,1)))+COUNT(IF(Referee2=$A36,IF(AwayTeam=AI$4,1)))</f>
        <v>0</v>
      </c>
      <c r="AJ36" s="8">
        <f t="array" ref="AJ36">COUNT(IF(Referee1=$A36,IF(AwayTeam=AJ$4,1)))+COUNT(IF(Referee2=$A36,IF(AwayTeam=AJ$4,1)))</f>
        <v>0</v>
      </c>
      <c r="AK36" s="8">
        <f t="array" ref="AK36">COUNT(IF(Referee1=$A36,IF(AwayTeam=AK$4,1)))+COUNT(IF(Referee2=$A36,IF(AwayTeam=AK$4,1)))</f>
        <v>0</v>
      </c>
      <c r="AL36" s="8">
        <f t="array" ref="AL36">COUNT(IF(Referee1=$A36,IF(AwayTeam=AL$4,1)))+COUNT(IF(Referee2=$A36,IF(AwayTeam=AL$4,1)))</f>
        <v>0</v>
      </c>
      <c r="AM36" s="8">
        <f t="array" ref="AM36">COUNT(IF(Referee1=$A36,IF(AwayTeam=AM$4,1)))+COUNT(IF(Referee2=$A36,IF(AwayTeam=AM$4,1)))</f>
        <v>0</v>
      </c>
      <c r="AN36" s="8">
        <f t="array" ref="AN36">COUNT(IF(Referee1=$A36,IF(AwayTeam=AN$4,1)))+COUNT(IF(Referee2=$A36,IF(AwayTeam=AN$4,1)))</f>
        <v>0</v>
      </c>
      <c r="AO36" s="8">
        <f t="array" ref="AO36">COUNT(IF(Referee1=$A36,IF(AwayTeam=AO$4,1)))+COUNT(IF(Referee2=$A36,IF(AwayTeam=AO$4,1)))</f>
        <v>0</v>
      </c>
      <c r="AP36" s="8">
        <f t="array" ref="AP36">COUNT(IF(Referee1=$A36,IF(AwayTeam=AP$4,1)))+COUNT(IF(Referee2=$A36,IF(AwayTeam=AP$4,1)))</f>
        <v>0</v>
      </c>
    </row>
    <row r="37" spans="1:42" x14ac:dyDescent="0.2">
      <c r="A37" s="8" t="str">
        <f>IF(Info!A34&lt;&gt;0,Info!A34,"")</f>
        <v>Vikhter, Anthony</v>
      </c>
      <c r="B37" s="8">
        <f t="shared" si="0"/>
        <v>13</v>
      </c>
      <c r="C37" s="8">
        <f t="array" ref="C37">COUNT(IF(Referee1=$A37,IF(HomeTeam=C$4,1)))+COUNT(IF(Referee2=$A37,IF(HomeTeam=C$4,1)))</f>
        <v>0</v>
      </c>
      <c r="D37" s="8">
        <f t="array" ref="D37">COUNT(IF(Referee1=$A37,IF(HomeTeam=D$4,1)))+COUNT(IF(Referee2=$A37,IF(HomeTeam=D$4,1)))</f>
        <v>1</v>
      </c>
      <c r="E37" s="8">
        <f t="array" ref="E37">COUNT(IF(Referee1=$A37,IF(HomeTeam=E$4,1)))+COUNT(IF(Referee2=$A37,IF(HomeTeam=E$4,1)))</f>
        <v>1</v>
      </c>
      <c r="F37" s="8">
        <f t="array" ref="F37">COUNT(IF(Referee1=$A37,IF(HomeTeam=F$4,1)))+COUNT(IF(Referee2=$A37,IF(HomeTeam=F$4,1)))</f>
        <v>2</v>
      </c>
      <c r="G37" s="8">
        <f t="array" ref="G37">COUNT(IF(Referee1=$A37,IF(HomeTeam=G$4,1)))+COUNT(IF(Referee2=$A37,IF(HomeTeam=G$4,1)))</f>
        <v>1</v>
      </c>
      <c r="H37" s="8">
        <f t="array" ref="H37">COUNT(IF(Referee1=$A37,IF(HomeTeam=H$4,1)))+COUNT(IF(Referee2=$A37,IF(HomeTeam=H$4,1)))</f>
        <v>0</v>
      </c>
      <c r="I37" s="8">
        <f t="array" ref="I37">COUNT(IF(Referee1=$A37,IF(HomeTeam=I$4,1)))+COUNT(IF(Referee2=$A37,IF(HomeTeam=I$4,1)))</f>
        <v>1</v>
      </c>
      <c r="J37" s="8">
        <f t="array" ref="J37">COUNT(IF(Referee1=$A37,IF(HomeTeam=J$4,1)))+COUNT(IF(Referee2=$A37,IF(HomeTeam=J$4,1)))</f>
        <v>0</v>
      </c>
      <c r="K37" s="8">
        <f t="array" ref="K37">COUNT(IF(Referee1=$A37,IF(HomeTeam=K$4,1)))+COUNT(IF(Referee2=$A37,IF(HomeTeam=K$4,1)))</f>
        <v>1</v>
      </c>
      <c r="L37" s="8">
        <f t="array" ref="L37">COUNT(IF(Referee1=$A37,IF(HomeTeam=L$4,1)))+COUNT(IF(Referee2=$A37,IF(HomeTeam=L$4,1)))</f>
        <v>0</v>
      </c>
      <c r="M37" s="8">
        <f t="array" ref="M37">COUNT(IF(Referee1=$A37,IF(HomeTeam=M$4,1)))+COUNT(IF(Referee2=$A37,IF(HomeTeam=M$4,1)))</f>
        <v>0</v>
      </c>
      <c r="N37" s="8">
        <f t="array" ref="N37">COUNT(IF(Referee1=$A37,IF(HomeTeam=N$4,1)))+COUNT(IF(Referee2=$A37,IF(HomeTeam=N$4,1)))</f>
        <v>1</v>
      </c>
      <c r="O37" s="8">
        <f t="array" ref="O37">COUNT(IF(Referee1=$A37,IF(HomeTeam=O$4,1)))+COUNT(IF(Referee2=$A37,IF(HomeTeam=O$4,1)))</f>
        <v>1</v>
      </c>
      <c r="P37" s="8">
        <f t="array" ref="P37">COUNT(IF(Referee1=$A37,IF(HomeTeam=P$4,1)))+COUNT(IF(Referee2=$A37,IF(HomeTeam=P$4,1)))</f>
        <v>0</v>
      </c>
      <c r="Q37" s="8">
        <f t="array" ref="Q37">COUNT(IF(Referee1=$A37,IF(HomeTeam=Q$4,1)))+COUNT(IF(Referee2=$A37,IF(HomeTeam=Q$4,1)))</f>
        <v>0</v>
      </c>
      <c r="R37" s="8">
        <f t="array" ref="R37">COUNT(IF(Referee1=$A37,IF(HomeTeam=R$4,1)))+COUNT(IF(Referee2=$A37,IF(HomeTeam=R$4,1)))</f>
        <v>2</v>
      </c>
      <c r="S37" s="8">
        <f t="array" ref="S37">COUNT(IF(Referee1=$A37,IF(HomeTeam=S$4,1)))+COUNT(IF(Referee2=$A37,IF(HomeTeam=S$4,1)))</f>
        <v>2</v>
      </c>
      <c r="T37" s="8">
        <f t="array" ref="T37">COUNT(IF(Referee1=$A37,IF(HomeTeam=T$4,1)))+COUNT(IF(Referee2=$A37,IF(HomeTeam=T$4,1)))</f>
        <v>0</v>
      </c>
      <c r="U37" s="8">
        <f t="array" ref="U37">COUNT(IF(Referee1=$A37,IF(HomeTeam=U$4,1)))+COUNT(IF(Referee2=$A37,IF(HomeTeam=U$4,1)))</f>
        <v>0</v>
      </c>
      <c r="V37" s="8">
        <f t="array" ref="V37">COUNT(IF(Referee1=$A37,IF(HomeTeam=V$4,1)))+COUNT(IF(Referee2=$A37,IF(HomeTeam=V$4,1)))</f>
        <v>0</v>
      </c>
      <c r="W37" s="8">
        <f t="array" ref="W37">COUNT(IF(Referee1=$A37,IF(AwayTeam=W$4,1)))+COUNT(IF(Referee2=$A37,IF(AwayTeam=W$4,1)))</f>
        <v>3</v>
      </c>
      <c r="X37" s="8">
        <f t="array" ref="X37">COUNT(IF(Referee1=$A37,IF(AwayTeam=X$4,1)))+COUNT(IF(Referee2=$A37,IF(AwayTeam=X$4,1)))</f>
        <v>4</v>
      </c>
      <c r="Y37" s="8">
        <f t="array" ref="Y37">COUNT(IF(Referee1=$A37,IF(AwayTeam=Y$4,1)))+COUNT(IF(Referee2=$A37,IF(AwayTeam=Y$4,1)))</f>
        <v>0</v>
      </c>
      <c r="Z37" s="8">
        <f t="array" ref="Z37">COUNT(IF(Referee1=$A37,IF(AwayTeam=Z$4,1)))+COUNT(IF(Referee2=$A37,IF(AwayTeam=Z$4,1)))</f>
        <v>1</v>
      </c>
      <c r="AA37" s="8">
        <f t="array" ref="AA37">COUNT(IF(Referee1=$A37,IF(AwayTeam=AA$4,1)))+COUNT(IF(Referee2=$A37,IF(AwayTeam=AA$4,1)))</f>
        <v>1</v>
      </c>
      <c r="AB37" s="8">
        <f t="array" ref="AB37">COUNT(IF(Referee1=$A37,IF(AwayTeam=AB$4,1)))+COUNT(IF(Referee2=$A37,IF(AwayTeam=AB$4,1)))</f>
        <v>0</v>
      </c>
      <c r="AC37" s="8">
        <f t="array" ref="AC37">COUNT(IF(Referee1=$A37,IF(AwayTeam=AC$4,1)))+COUNT(IF(Referee2=$A37,IF(AwayTeam=AC$4,1)))</f>
        <v>0</v>
      </c>
      <c r="AD37" s="8">
        <f t="array" ref="AD37">COUNT(IF(Referee1=$A37,IF(AwayTeam=AD$4,1)))+COUNT(IF(Referee2=$A37,IF(AwayTeam=AD$4,1)))</f>
        <v>0</v>
      </c>
      <c r="AE37" s="8">
        <f t="array" ref="AE37">COUNT(IF(Referee1=$A37,IF(AwayTeam=AE$4,1)))+COUNT(IF(Referee2=$A37,IF(AwayTeam=AE$4,1)))</f>
        <v>0</v>
      </c>
      <c r="AF37" s="8">
        <f t="array" ref="AF37">COUNT(IF(Referee1=$A37,IF(AwayTeam=AF$4,1)))+COUNT(IF(Referee2=$A37,IF(AwayTeam=AF$4,1)))</f>
        <v>1</v>
      </c>
      <c r="AG37" s="8">
        <f t="array" ref="AG37">COUNT(IF(Referee1=$A37,IF(AwayTeam=AG$4,1)))+COUNT(IF(Referee2=$A37,IF(AwayTeam=AG$4,1)))</f>
        <v>0</v>
      </c>
      <c r="AH37" s="8">
        <f t="array" ref="AH37">COUNT(IF(Referee1=$A37,IF(AwayTeam=AH$4,1)))+COUNT(IF(Referee2=$A37,IF(AwayTeam=AH$4,1)))</f>
        <v>1</v>
      </c>
      <c r="AI37" s="8">
        <f t="array" ref="AI37">COUNT(IF(Referee1=$A37,IF(AwayTeam=AI$4,1)))+COUNT(IF(Referee2=$A37,IF(AwayTeam=AI$4,1)))</f>
        <v>1</v>
      </c>
      <c r="AJ37" s="8">
        <f t="array" ref="AJ37">COUNT(IF(Referee1=$A37,IF(AwayTeam=AJ$4,1)))+COUNT(IF(Referee2=$A37,IF(AwayTeam=AJ$4,1)))</f>
        <v>0</v>
      </c>
      <c r="AK37" s="8">
        <f t="array" ref="AK37">COUNT(IF(Referee1=$A37,IF(AwayTeam=AK$4,1)))+COUNT(IF(Referee2=$A37,IF(AwayTeam=AK$4,1)))</f>
        <v>1</v>
      </c>
      <c r="AL37" s="8">
        <f t="array" ref="AL37">COUNT(IF(Referee1=$A37,IF(AwayTeam=AL$4,1)))+COUNT(IF(Referee2=$A37,IF(AwayTeam=AL$4,1)))</f>
        <v>0</v>
      </c>
      <c r="AM37" s="8">
        <f t="array" ref="AM37">COUNT(IF(Referee1=$A37,IF(AwayTeam=AM$4,1)))+COUNT(IF(Referee2=$A37,IF(AwayTeam=AM$4,1)))</f>
        <v>0</v>
      </c>
      <c r="AN37" s="8">
        <f t="array" ref="AN37">COUNT(IF(Referee1=$A37,IF(AwayTeam=AN$4,1)))+COUNT(IF(Referee2=$A37,IF(AwayTeam=AN$4,1)))</f>
        <v>0</v>
      </c>
      <c r="AO37" s="8">
        <f t="array" ref="AO37">COUNT(IF(Referee1=$A37,IF(AwayTeam=AO$4,1)))+COUNT(IF(Referee2=$A37,IF(AwayTeam=AO$4,1)))</f>
        <v>0</v>
      </c>
      <c r="AP37" s="8">
        <f t="array" ref="AP37">COUNT(IF(Referee1=$A37,IF(AwayTeam=AP$4,1)))+COUNT(IF(Referee2=$A37,IF(AwayTeam=AP$4,1)))</f>
        <v>0</v>
      </c>
    </row>
    <row r="38" spans="1:42" x14ac:dyDescent="0.2">
      <c r="A38" s="8" t="str">
        <f>IF(Info!A35&lt;&gt;0,Info!A35,"")</f>
        <v>Wohlford, Trevor</v>
      </c>
      <c r="B38" s="8">
        <f t="shared" si="0"/>
        <v>27</v>
      </c>
      <c r="C38" s="8">
        <f t="array" ref="C38">COUNT(IF(Referee1=$A38,IF(HomeTeam=C$4,1)))+COUNT(IF(Referee2=$A38,IF(HomeTeam=C$4,1)))</f>
        <v>7</v>
      </c>
      <c r="D38" s="8">
        <f t="array" ref="D38">COUNT(IF(Referee1=$A38,IF(HomeTeam=D$4,1)))+COUNT(IF(Referee2=$A38,IF(HomeTeam=D$4,1)))</f>
        <v>3</v>
      </c>
      <c r="E38" s="8">
        <f t="array" ref="E38">COUNT(IF(Referee1=$A38,IF(HomeTeam=E$4,1)))+COUNT(IF(Referee2=$A38,IF(HomeTeam=E$4,1)))</f>
        <v>1</v>
      </c>
      <c r="F38" s="8">
        <f t="array" ref="F38">COUNT(IF(Referee1=$A38,IF(HomeTeam=F$4,1)))+COUNT(IF(Referee2=$A38,IF(HomeTeam=F$4,1)))</f>
        <v>6</v>
      </c>
      <c r="G38" s="8">
        <f t="array" ref="G38">COUNT(IF(Referee1=$A38,IF(HomeTeam=G$4,1)))+COUNT(IF(Referee2=$A38,IF(HomeTeam=G$4,1)))</f>
        <v>1</v>
      </c>
      <c r="H38" s="8">
        <f t="array" ref="H38">COUNT(IF(Referee1=$A38,IF(HomeTeam=H$4,1)))+COUNT(IF(Referee2=$A38,IF(HomeTeam=H$4,1)))</f>
        <v>2</v>
      </c>
      <c r="I38" s="8">
        <f t="array" ref="I38">COUNT(IF(Referee1=$A38,IF(HomeTeam=I$4,1)))+COUNT(IF(Referee2=$A38,IF(HomeTeam=I$4,1)))</f>
        <v>1</v>
      </c>
      <c r="J38" s="8">
        <f t="array" ref="J38">COUNT(IF(Referee1=$A38,IF(HomeTeam=J$4,1)))+COUNT(IF(Referee2=$A38,IF(HomeTeam=J$4,1)))</f>
        <v>0</v>
      </c>
      <c r="K38" s="8">
        <f t="array" ref="K38">COUNT(IF(Referee1=$A38,IF(HomeTeam=K$4,1)))+COUNT(IF(Referee2=$A38,IF(HomeTeam=K$4,1)))</f>
        <v>1</v>
      </c>
      <c r="L38" s="8">
        <f t="array" ref="L38">COUNT(IF(Referee1=$A38,IF(HomeTeam=L$4,1)))+COUNT(IF(Referee2=$A38,IF(HomeTeam=L$4,1)))</f>
        <v>0</v>
      </c>
      <c r="M38" s="8">
        <f t="array" ref="M38">COUNT(IF(Referee1=$A38,IF(HomeTeam=M$4,1)))+COUNT(IF(Referee2=$A38,IF(HomeTeam=M$4,1)))</f>
        <v>1</v>
      </c>
      <c r="N38" s="8">
        <f t="array" ref="N38">COUNT(IF(Referee1=$A38,IF(HomeTeam=N$4,1)))+COUNT(IF(Referee2=$A38,IF(HomeTeam=N$4,1)))</f>
        <v>0</v>
      </c>
      <c r="O38" s="8">
        <f t="array" ref="O38">COUNT(IF(Referee1=$A38,IF(HomeTeam=O$4,1)))+COUNT(IF(Referee2=$A38,IF(HomeTeam=O$4,1)))</f>
        <v>0</v>
      </c>
      <c r="P38" s="8">
        <f t="array" ref="P38">COUNT(IF(Referee1=$A38,IF(HomeTeam=P$4,1)))+COUNT(IF(Referee2=$A38,IF(HomeTeam=P$4,1)))</f>
        <v>1</v>
      </c>
      <c r="Q38" s="8">
        <f t="array" ref="Q38">COUNT(IF(Referee1=$A38,IF(HomeTeam=Q$4,1)))+COUNT(IF(Referee2=$A38,IF(HomeTeam=Q$4,1)))</f>
        <v>0</v>
      </c>
      <c r="R38" s="8">
        <f t="array" ref="R38">COUNT(IF(Referee1=$A38,IF(HomeTeam=R$4,1)))+COUNT(IF(Referee2=$A38,IF(HomeTeam=R$4,1)))</f>
        <v>0</v>
      </c>
      <c r="S38" s="8">
        <f t="array" ref="S38">COUNT(IF(Referee1=$A38,IF(HomeTeam=S$4,1)))+COUNT(IF(Referee2=$A38,IF(HomeTeam=S$4,1)))</f>
        <v>3</v>
      </c>
      <c r="T38" s="8">
        <f t="array" ref="T38">COUNT(IF(Referee1=$A38,IF(HomeTeam=T$4,1)))+COUNT(IF(Referee2=$A38,IF(HomeTeam=T$4,1)))</f>
        <v>0</v>
      </c>
      <c r="U38" s="8">
        <f t="array" ref="U38">COUNT(IF(Referee1=$A38,IF(HomeTeam=U$4,1)))+COUNT(IF(Referee2=$A38,IF(HomeTeam=U$4,1)))</f>
        <v>0</v>
      </c>
      <c r="V38" s="8">
        <f t="array" ref="V38">COUNT(IF(Referee1=$A38,IF(HomeTeam=V$4,1)))+COUNT(IF(Referee2=$A38,IF(HomeTeam=V$4,1)))</f>
        <v>0</v>
      </c>
      <c r="W38" s="8">
        <f t="array" ref="W38">COUNT(IF(Referee1=$A38,IF(AwayTeam=W$4,1)))+COUNT(IF(Referee2=$A38,IF(AwayTeam=W$4,1)))</f>
        <v>2</v>
      </c>
      <c r="X38" s="8">
        <f t="array" ref="X38">COUNT(IF(Referee1=$A38,IF(AwayTeam=X$4,1)))+COUNT(IF(Referee2=$A38,IF(AwayTeam=X$4,1)))</f>
        <v>7</v>
      </c>
      <c r="Y38" s="8">
        <f t="array" ref="Y38">COUNT(IF(Referee1=$A38,IF(AwayTeam=Y$4,1)))+COUNT(IF(Referee2=$A38,IF(AwayTeam=Y$4,1)))</f>
        <v>0</v>
      </c>
      <c r="Z38" s="8">
        <f t="array" ref="Z38">COUNT(IF(Referee1=$A38,IF(AwayTeam=Z$4,1)))+COUNT(IF(Referee2=$A38,IF(AwayTeam=Z$4,1)))</f>
        <v>1</v>
      </c>
      <c r="AA38" s="8">
        <f t="array" ref="AA38">COUNT(IF(Referee1=$A38,IF(AwayTeam=AA$4,1)))+COUNT(IF(Referee2=$A38,IF(AwayTeam=AA$4,1)))</f>
        <v>2</v>
      </c>
      <c r="AB38" s="8">
        <f t="array" ref="AB38">COUNT(IF(Referee1=$A38,IF(AwayTeam=AB$4,1)))+COUNT(IF(Referee2=$A38,IF(AwayTeam=AB$4,1)))</f>
        <v>0</v>
      </c>
      <c r="AC38" s="8">
        <f t="array" ref="AC38">COUNT(IF(Referee1=$A38,IF(AwayTeam=AC$4,1)))+COUNT(IF(Referee2=$A38,IF(AwayTeam=AC$4,1)))</f>
        <v>2</v>
      </c>
      <c r="AD38" s="8">
        <f t="array" ref="AD38">COUNT(IF(Referee1=$A38,IF(AwayTeam=AD$4,1)))+COUNT(IF(Referee2=$A38,IF(AwayTeam=AD$4,1)))</f>
        <v>1</v>
      </c>
      <c r="AE38" s="8">
        <f t="array" ref="AE38">COUNT(IF(Referee1=$A38,IF(AwayTeam=AE$4,1)))+COUNT(IF(Referee2=$A38,IF(AwayTeam=AE$4,1)))</f>
        <v>0</v>
      </c>
      <c r="AF38" s="8">
        <f t="array" ref="AF38">COUNT(IF(Referee1=$A38,IF(AwayTeam=AF$4,1)))+COUNT(IF(Referee2=$A38,IF(AwayTeam=AF$4,1)))</f>
        <v>1</v>
      </c>
      <c r="AG38" s="8">
        <f t="array" ref="AG38">COUNT(IF(Referee1=$A38,IF(AwayTeam=AG$4,1)))+COUNT(IF(Referee2=$A38,IF(AwayTeam=AG$4,1)))</f>
        <v>3</v>
      </c>
      <c r="AH38" s="8">
        <f t="array" ref="AH38">COUNT(IF(Referee1=$A38,IF(AwayTeam=AH$4,1)))+COUNT(IF(Referee2=$A38,IF(AwayTeam=AH$4,1)))</f>
        <v>1</v>
      </c>
      <c r="AI38" s="8">
        <f t="array" ref="AI38">COUNT(IF(Referee1=$A38,IF(AwayTeam=AI$4,1)))+COUNT(IF(Referee2=$A38,IF(AwayTeam=AI$4,1)))</f>
        <v>1</v>
      </c>
      <c r="AJ38" s="8">
        <f t="array" ref="AJ38">COUNT(IF(Referee1=$A38,IF(AwayTeam=AJ$4,1)))+COUNT(IF(Referee2=$A38,IF(AwayTeam=AJ$4,1)))</f>
        <v>2</v>
      </c>
      <c r="AK38" s="8">
        <f t="array" ref="AK38">COUNT(IF(Referee1=$A38,IF(AwayTeam=AK$4,1)))+COUNT(IF(Referee2=$A38,IF(AwayTeam=AK$4,1)))</f>
        <v>1</v>
      </c>
      <c r="AL38" s="8">
        <f t="array" ref="AL38">COUNT(IF(Referee1=$A38,IF(AwayTeam=AL$4,1)))+COUNT(IF(Referee2=$A38,IF(AwayTeam=AL$4,1)))</f>
        <v>2</v>
      </c>
      <c r="AM38" s="8">
        <f t="array" ref="AM38">COUNT(IF(Referee1=$A38,IF(AwayTeam=AM$4,1)))+COUNT(IF(Referee2=$A38,IF(AwayTeam=AM$4,1)))</f>
        <v>1</v>
      </c>
      <c r="AN38" s="8">
        <f t="array" ref="AN38">COUNT(IF(Referee1=$A38,IF(AwayTeam=AN$4,1)))+COUNT(IF(Referee2=$A38,IF(AwayTeam=AN$4,1)))</f>
        <v>0</v>
      </c>
      <c r="AO38" s="8">
        <f t="array" ref="AO38">COUNT(IF(Referee1=$A38,IF(AwayTeam=AO$4,1)))+COUNT(IF(Referee2=$A38,IF(AwayTeam=AO$4,1)))</f>
        <v>0</v>
      </c>
      <c r="AP38" s="8">
        <f t="array" ref="AP38">COUNT(IF(Referee1=$A38,IF(AwayTeam=AP$4,1)))+COUNT(IF(Referee2=$A38,IF(AwayTeam=AP$4,1)))</f>
        <v>0</v>
      </c>
    </row>
    <row r="39" spans="1:42" x14ac:dyDescent="0.2">
      <c r="A39" s="8" t="str">
        <f>IF(Info!A36&lt;&gt;0,Info!A36,"")</f>
        <v>Yerkovich, Riley</v>
      </c>
      <c r="B39" s="8">
        <f t="shared" si="0"/>
        <v>9</v>
      </c>
      <c r="C39" s="8">
        <f t="array" ref="C39">COUNT(IF(Referee1=$A39,IF(HomeTeam=C$4,1)))+COUNT(IF(Referee2=$A39,IF(HomeTeam=C$4,1)))</f>
        <v>0</v>
      </c>
      <c r="D39" s="8">
        <f t="array" ref="D39">COUNT(IF(Referee1=$A39,IF(HomeTeam=D$4,1)))+COUNT(IF(Referee2=$A39,IF(HomeTeam=D$4,1)))</f>
        <v>1</v>
      </c>
      <c r="E39" s="8">
        <f t="array" ref="E39">COUNT(IF(Referee1=$A39,IF(HomeTeam=E$4,1)))+COUNT(IF(Referee2=$A39,IF(HomeTeam=E$4,1)))</f>
        <v>0</v>
      </c>
      <c r="F39" s="8">
        <f t="array" ref="F39">COUNT(IF(Referee1=$A39,IF(HomeTeam=F$4,1)))+COUNT(IF(Referee2=$A39,IF(HomeTeam=F$4,1)))</f>
        <v>2</v>
      </c>
      <c r="G39" s="8">
        <f t="array" ref="G39">COUNT(IF(Referee1=$A39,IF(HomeTeam=G$4,1)))+COUNT(IF(Referee2=$A39,IF(HomeTeam=G$4,1)))</f>
        <v>2</v>
      </c>
      <c r="H39" s="8">
        <f t="array" ref="H39">COUNT(IF(Referee1=$A39,IF(HomeTeam=H$4,1)))+COUNT(IF(Referee2=$A39,IF(HomeTeam=H$4,1)))</f>
        <v>1</v>
      </c>
      <c r="I39" s="8">
        <f t="array" ref="I39">COUNT(IF(Referee1=$A39,IF(HomeTeam=I$4,1)))+COUNT(IF(Referee2=$A39,IF(HomeTeam=I$4,1)))</f>
        <v>0</v>
      </c>
      <c r="J39" s="8">
        <f t="array" ref="J39">COUNT(IF(Referee1=$A39,IF(HomeTeam=J$4,1)))+COUNT(IF(Referee2=$A39,IF(HomeTeam=J$4,1)))</f>
        <v>2</v>
      </c>
      <c r="K39" s="8">
        <f t="array" ref="K39">COUNT(IF(Referee1=$A39,IF(HomeTeam=K$4,1)))+COUNT(IF(Referee2=$A39,IF(HomeTeam=K$4,1)))</f>
        <v>0</v>
      </c>
      <c r="L39" s="8">
        <f t="array" ref="L39">COUNT(IF(Referee1=$A39,IF(HomeTeam=L$4,1)))+COUNT(IF(Referee2=$A39,IF(HomeTeam=L$4,1)))</f>
        <v>0</v>
      </c>
      <c r="M39" s="8">
        <f t="array" ref="M39">COUNT(IF(Referee1=$A39,IF(HomeTeam=M$4,1)))+COUNT(IF(Referee2=$A39,IF(HomeTeam=M$4,1)))</f>
        <v>0</v>
      </c>
      <c r="N39" s="8">
        <f t="array" ref="N39">COUNT(IF(Referee1=$A39,IF(HomeTeam=N$4,1)))+COUNT(IF(Referee2=$A39,IF(HomeTeam=N$4,1)))</f>
        <v>0</v>
      </c>
      <c r="O39" s="8">
        <f t="array" ref="O39">COUNT(IF(Referee1=$A39,IF(HomeTeam=O$4,1)))+COUNT(IF(Referee2=$A39,IF(HomeTeam=O$4,1)))</f>
        <v>0</v>
      </c>
      <c r="P39" s="8">
        <f t="array" ref="P39">COUNT(IF(Referee1=$A39,IF(HomeTeam=P$4,1)))+COUNT(IF(Referee2=$A39,IF(HomeTeam=P$4,1)))</f>
        <v>0</v>
      </c>
      <c r="Q39" s="8">
        <f t="array" ref="Q39">COUNT(IF(Referee1=$A39,IF(HomeTeam=Q$4,1)))+COUNT(IF(Referee2=$A39,IF(HomeTeam=Q$4,1)))</f>
        <v>1</v>
      </c>
      <c r="R39" s="8">
        <f t="array" ref="R39">COUNT(IF(Referee1=$A39,IF(HomeTeam=R$4,1)))+COUNT(IF(Referee2=$A39,IF(HomeTeam=R$4,1)))</f>
        <v>0</v>
      </c>
      <c r="S39" s="8">
        <f t="array" ref="S39">COUNT(IF(Referee1=$A39,IF(HomeTeam=S$4,1)))+COUNT(IF(Referee2=$A39,IF(HomeTeam=S$4,1)))</f>
        <v>0</v>
      </c>
      <c r="T39" s="8">
        <f t="array" ref="T39">COUNT(IF(Referee1=$A39,IF(HomeTeam=T$4,1)))+COUNT(IF(Referee2=$A39,IF(HomeTeam=T$4,1)))</f>
        <v>0</v>
      </c>
      <c r="U39" s="8">
        <f t="array" ref="U39">COUNT(IF(Referee1=$A39,IF(HomeTeam=U$4,1)))+COUNT(IF(Referee2=$A39,IF(HomeTeam=U$4,1)))</f>
        <v>0</v>
      </c>
      <c r="V39" s="8">
        <f t="array" ref="V39">COUNT(IF(Referee1=$A39,IF(HomeTeam=V$4,1)))+COUNT(IF(Referee2=$A39,IF(HomeTeam=V$4,1)))</f>
        <v>0</v>
      </c>
      <c r="W39" s="8">
        <f t="array" ref="W39">COUNT(IF(Referee1=$A39,IF(AwayTeam=W$4,1)))+COUNT(IF(Referee2=$A39,IF(AwayTeam=W$4,1)))</f>
        <v>1</v>
      </c>
      <c r="X39" s="8">
        <f t="array" ref="X39">COUNT(IF(Referee1=$A39,IF(AwayTeam=X$4,1)))+COUNT(IF(Referee2=$A39,IF(AwayTeam=X$4,1)))</f>
        <v>1</v>
      </c>
      <c r="Y39" s="8">
        <f t="array" ref="Y39">COUNT(IF(Referee1=$A39,IF(AwayTeam=Y$4,1)))+COUNT(IF(Referee2=$A39,IF(AwayTeam=Y$4,1)))</f>
        <v>0</v>
      </c>
      <c r="Z39" s="8">
        <f t="array" ref="Z39">COUNT(IF(Referee1=$A39,IF(AwayTeam=Z$4,1)))+COUNT(IF(Referee2=$A39,IF(AwayTeam=Z$4,1)))</f>
        <v>3</v>
      </c>
      <c r="AA39" s="8">
        <f t="array" ref="AA39">COUNT(IF(Referee1=$A39,IF(AwayTeam=AA$4,1)))+COUNT(IF(Referee2=$A39,IF(AwayTeam=AA$4,1)))</f>
        <v>0</v>
      </c>
      <c r="AB39" s="8">
        <f t="array" ref="AB39">COUNT(IF(Referee1=$A39,IF(AwayTeam=AB$4,1)))+COUNT(IF(Referee2=$A39,IF(AwayTeam=AB$4,1)))</f>
        <v>0</v>
      </c>
      <c r="AC39" s="8">
        <f t="array" ref="AC39">COUNT(IF(Referee1=$A39,IF(AwayTeam=AC$4,1)))+COUNT(IF(Referee2=$A39,IF(AwayTeam=AC$4,1)))</f>
        <v>0</v>
      </c>
      <c r="AD39" s="8">
        <f t="array" ref="AD39">COUNT(IF(Referee1=$A39,IF(AwayTeam=AD$4,1)))+COUNT(IF(Referee2=$A39,IF(AwayTeam=AD$4,1)))</f>
        <v>0</v>
      </c>
      <c r="AE39" s="8">
        <f t="array" ref="AE39">COUNT(IF(Referee1=$A39,IF(AwayTeam=AE$4,1)))+COUNT(IF(Referee2=$A39,IF(AwayTeam=AE$4,1)))</f>
        <v>0</v>
      </c>
      <c r="AF39" s="8">
        <f t="array" ref="AF39">COUNT(IF(Referee1=$A39,IF(AwayTeam=AF$4,1)))+COUNT(IF(Referee2=$A39,IF(AwayTeam=AF$4,1)))</f>
        <v>1</v>
      </c>
      <c r="AG39" s="8">
        <f t="array" ref="AG39">COUNT(IF(Referee1=$A39,IF(AwayTeam=AG$4,1)))+COUNT(IF(Referee2=$A39,IF(AwayTeam=AG$4,1)))</f>
        <v>2</v>
      </c>
      <c r="AH39" s="8">
        <f t="array" ref="AH39">COUNT(IF(Referee1=$A39,IF(AwayTeam=AH$4,1)))+COUNT(IF(Referee2=$A39,IF(AwayTeam=AH$4,1)))</f>
        <v>0</v>
      </c>
      <c r="AI39" s="8">
        <f t="array" ref="AI39">COUNT(IF(Referee1=$A39,IF(AwayTeam=AI$4,1)))+COUNT(IF(Referee2=$A39,IF(AwayTeam=AI$4,1)))</f>
        <v>0</v>
      </c>
      <c r="AJ39" s="8">
        <f t="array" ref="AJ39">COUNT(IF(Referee1=$A39,IF(AwayTeam=AJ$4,1)))+COUNT(IF(Referee2=$A39,IF(AwayTeam=AJ$4,1)))</f>
        <v>0</v>
      </c>
      <c r="AK39" s="8">
        <f t="array" ref="AK39">COUNT(IF(Referee1=$A39,IF(AwayTeam=AK$4,1)))+COUNT(IF(Referee2=$A39,IF(AwayTeam=AK$4,1)))</f>
        <v>0</v>
      </c>
      <c r="AL39" s="8">
        <f t="array" ref="AL39">COUNT(IF(Referee1=$A39,IF(AwayTeam=AL$4,1)))+COUNT(IF(Referee2=$A39,IF(AwayTeam=AL$4,1)))</f>
        <v>1</v>
      </c>
      <c r="AM39" s="8">
        <f t="array" ref="AM39">COUNT(IF(Referee1=$A39,IF(AwayTeam=AM$4,1)))+COUNT(IF(Referee2=$A39,IF(AwayTeam=AM$4,1)))</f>
        <v>0</v>
      </c>
      <c r="AN39" s="8">
        <f t="array" ref="AN39">COUNT(IF(Referee1=$A39,IF(AwayTeam=AN$4,1)))+COUNT(IF(Referee2=$A39,IF(AwayTeam=AN$4,1)))</f>
        <v>0</v>
      </c>
      <c r="AO39" s="8">
        <f t="array" ref="AO39">COUNT(IF(Referee1=$A39,IF(AwayTeam=AO$4,1)))+COUNT(IF(Referee2=$A39,IF(AwayTeam=AO$4,1)))</f>
        <v>0</v>
      </c>
      <c r="AP39" s="8">
        <f t="array" ref="AP39">COUNT(IF(Referee1=$A39,IF(AwayTeam=AP$4,1)))+COUNT(IF(Referee2=$A39,IF(AwayTeam=AP$4,1)))</f>
        <v>0</v>
      </c>
    </row>
    <row r="40" spans="1:42" x14ac:dyDescent="0.2">
      <c r="A40" s="8" t="str">
        <f>IF(Info!A37&lt;&gt;0,Info!A37,"")</f>
        <v>Referee 36</v>
      </c>
      <c r="B40" s="8">
        <f t="shared" si="0"/>
        <v>0</v>
      </c>
      <c r="C40" s="8">
        <f t="array" ref="C40">COUNT(IF(Referee1=$A40,IF(HomeTeam=C$4,1)))+COUNT(IF(Referee2=$A40,IF(HomeTeam=C$4,1)))</f>
        <v>0</v>
      </c>
      <c r="D40" s="8">
        <f t="array" ref="D40">COUNT(IF(Referee1=$A40,IF(HomeTeam=D$4,1)))+COUNT(IF(Referee2=$A40,IF(HomeTeam=D$4,1)))</f>
        <v>0</v>
      </c>
      <c r="E40" s="8">
        <f t="array" ref="E40">COUNT(IF(Referee1=$A40,IF(HomeTeam=E$4,1)))+COUNT(IF(Referee2=$A40,IF(HomeTeam=E$4,1)))</f>
        <v>0</v>
      </c>
      <c r="F40" s="8">
        <f t="array" ref="F40">COUNT(IF(Referee1=$A40,IF(HomeTeam=F$4,1)))+COUNT(IF(Referee2=$A40,IF(HomeTeam=F$4,1)))</f>
        <v>0</v>
      </c>
      <c r="G40" s="8">
        <f t="array" ref="G40">COUNT(IF(Referee1=$A40,IF(HomeTeam=G$4,1)))+COUNT(IF(Referee2=$A40,IF(HomeTeam=G$4,1)))</f>
        <v>0</v>
      </c>
      <c r="H40" s="8">
        <f t="array" ref="H40">COUNT(IF(Referee1=$A40,IF(HomeTeam=H$4,1)))+COUNT(IF(Referee2=$A40,IF(HomeTeam=H$4,1)))</f>
        <v>0</v>
      </c>
      <c r="I40" s="8">
        <f t="array" ref="I40">COUNT(IF(Referee1=$A40,IF(HomeTeam=I$4,1)))+COUNT(IF(Referee2=$A40,IF(HomeTeam=I$4,1)))</f>
        <v>0</v>
      </c>
      <c r="J40" s="8">
        <f t="array" ref="J40">COUNT(IF(Referee1=$A40,IF(HomeTeam=J$4,1)))+COUNT(IF(Referee2=$A40,IF(HomeTeam=J$4,1)))</f>
        <v>0</v>
      </c>
      <c r="K40" s="8">
        <f t="array" ref="K40">COUNT(IF(Referee1=$A40,IF(HomeTeam=K$4,1)))+COUNT(IF(Referee2=$A40,IF(HomeTeam=K$4,1)))</f>
        <v>0</v>
      </c>
      <c r="L40" s="8">
        <f t="array" ref="L40">COUNT(IF(Referee1=$A40,IF(HomeTeam=L$4,1)))+COUNT(IF(Referee2=$A40,IF(HomeTeam=L$4,1)))</f>
        <v>0</v>
      </c>
      <c r="M40" s="8">
        <f t="array" ref="M40">COUNT(IF(Referee1=$A40,IF(HomeTeam=M$4,1)))+COUNT(IF(Referee2=$A40,IF(HomeTeam=M$4,1)))</f>
        <v>0</v>
      </c>
      <c r="N40" s="8">
        <f t="array" ref="N40">COUNT(IF(Referee1=$A40,IF(HomeTeam=N$4,1)))+COUNT(IF(Referee2=$A40,IF(HomeTeam=N$4,1)))</f>
        <v>0</v>
      </c>
      <c r="O40" s="8">
        <f t="array" ref="O40">COUNT(IF(Referee1=$A40,IF(HomeTeam=O$4,1)))+COUNT(IF(Referee2=$A40,IF(HomeTeam=O$4,1)))</f>
        <v>0</v>
      </c>
      <c r="P40" s="8">
        <f t="array" ref="P40">COUNT(IF(Referee1=$A40,IF(HomeTeam=P$4,1)))+COUNT(IF(Referee2=$A40,IF(HomeTeam=P$4,1)))</f>
        <v>0</v>
      </c>
      <c r="Q40" s="8">
        <f t="array" ref="Q40">COUNT(IF(Referee1=$A40,IF(HomeTeam=Q$4,1)))+COUNT(IF(Referee2=$A40,IF(HomeTeam=Q$4,1)))</f>
        <v>0</v>
      </c>
      <c r="R40" s="8">
        <f t="array" ref="R40">COUNT(IF(Referee1=$A40,IF(HomeTeam=R$4,1)))+COUNT(IF(Referee2=$A40,IF(HomeTeam=R$4,1)))</f>
        <v>0</v>
      </c>
      <c r="S40" s="8">
        <f t="array" ref="S40">COUNT(IF(Referee1=$A40,IF(HomeTeam=S$4,1)))+COUNT(IF(Referee2=$A40,IF(HomeTeam=S$4,1)))</f>
        <v>0</v>
      </c>
      <c r="T40" s="8">
        <f t="array" ref="T40">COUNT(IF(Referee1=$A40,IF(HomeTeam=T$4,1)))+COUNT(IF(Referee2=$A40,IF(HomeTeam=T$4,1)))</f>
        <v>0</v>
      </c>
      <c r="U40" s="8">
        <f t="array" ref="U40">COUNT(IF(Referee1=$A40,IF(HomeTeam=U$4,1)))+COUNT(IF(Referee2=$A40,IF(HomeTeam=U$4,1)))</f>
        <v>0</v>
      </c>
      <c r="V40" s="8">
        <f t="array" ref="V40">COUNT(IF(Referee1=$A40,IF(HomeTeam=V$4,1)))+COUNT(IF(Referee2=$A40,IF(HomeTeam=V$4,1)))</f>
        <v>0</v>
      </c>
      <c r="W40" s="8">
        <f t="array" ref="W40">COUNT(IF(Referee1=$A40,IF(AwayTeam=W$4,1)))+COUNT(IF(Referee2=$A40,IF(AwayTeam=W$4,1)))</f>
        <v>0</v>
      </c>
      <c r="X40" s="8">
        <f t="array" ref="X40">COUNT(IF(Referee1=$A40,IF(AwayTeam=X$4,1)))+COUNT(IF(Referee2=$A40,IF(AwayTeam=X$4,1)))</f>
        <v>0</v>
      </c>
      <c r="Y40" s="8">
        <f t="array" ref="Y40">COUNT(IF(Referee1=$A40,IF(AwayTeam=Y$4,1)))+COUNT(IF(Referee2=$A40,IF(AwayTeam=Y$4,1)))</f>
        <v>0</v>
      </c>
      <c r="Z40" s="8">
        <f t="array" ref="Z40">COUNT(IF(Referee1=$A40,IF(AwayTeam=Z$4,1)))+COUNT(IF(Referee2=$A40,IF(AwayTeam=Z$4,1)))</f>
        <v>0</v>
      </c>
      <c r="AA40" s="8">
        <f t="array" ref="AA40">COUNT(IF(Referee1=$A40,IF(AwayTeam=AA$4,1)))+COUNT(IF(Referee2=$A40,IF(AwayTeam=AA$4,1)))</f>
        <v>0</v>
      </c>
      <c r="AB40" s="8">
        <f t="array" ref="AB40">COUNT(IF(Referee1=$A40,IF(AwayTeam=AB$4,1)))+COUNT(IF(Referee2=$A40,IF(AwayTeam=AB$4,1)))</f>
        <v>0</v>
      </c>
      <c r="AC40" s="8">
        <f t="array" ref="AC40">COUNT(IF(Referee1=$A40,IF(AwayTeam=AC$4,1)))+COUNT(IF(Referee2=$A40,IF(AwayTeam=AC$4,1)))</f>
        <v>0</v>
      </c>
      <c r="AD40" s="8">
        <f t="array" ref="AD40">COUNT(IF(Referee1=$A40,IF(AwayTeam=AD$4,1)))+COUNT(IF(Referee2=$A40,IF(AwayTeam=AD$4,1)))</f>
        <v>0</v>
      </c>
      <c r="AE40" s="8">
        <f t="array" ref="AE40">COUNT(IF(Referee1=$A40,IF(AwayTeam=AE$4,1)))+COUNT(IF(Referee2=$A40,IF(AwayTeam=AE$4,1)))</f>
        <v>0</v>
      </c>
      <c r="AF40" s="8">
        <f t="array" ref="AF40">COUNT(IF(Referee1=$A40,IF(AwayTeam=AF$4,1)))+COUNT(IF(Referee2=$A40,IF(AwayTeam=AF$4,1)))</f>
        <v>0</v>
      </c>
      <c r="AG40" s="8">
        <f t="array" ref="AG40">COUNT(IF(Referee1=$A40,IF(AwayTeam=AG$4,1)))+COUNT(IF(Referee2=$A40,IF(AwayTeam=AG$4,1)))</f>
        <v>0</v>
      </c>
      <c r="AH40" s="8">
        <f t="array" ref="AH40">COUNT(IF(Referee1=$A40,IF(AwayTeam=AH$4,1)))+COUNT(IF(Referee2=$A40,IF(AwayTeam=AH$4,1)))</f>
        <v>0</v>
      </c>
      <c r="AI40" s="8">
        <f t="array" ref="AI40">COUNT(IF(Referee1=$A40,IF(AwayTeam=AI$4,1)))+COUNT(IF(Referee2=$A40,IF(AwayTeam=AI$4,1)))</f>
        <v>0</v>
      </c>
      <c r="AJ40" s="8">
        <f t="array" ref="AJ40">COUNT(IF(Referee1=$A40,IF(AwayTeam=AJ$4,1)))+COUNT(IF(Referee2=$A40,IF(AwayTeam=AJ$4,1)))</f>
        <v>0</v>
      </c>
      <c r="AK40" s="8">
        <f t="array" ref="AK40">COUNT(IF(Referee1=$A40,IF(AwayTeam=AK$4,1)))+COUNT(IF(Referee2=$A40,IF(AwayTeam=AK$4,1)))</f>
        <v>0</v>
      </c>
      <c r="AL40" s="8">
        <f t="array" ref="AL40">COUNT(IF(Referee1=$A40,IF(AwayTeam=AL$4,1)))+COUNT(IF(Referee2=$A40,IF(AwayTeam=AL$4,1)))</f>
        <v>0</v>
      </c>
      <c r="AM40" s="8">
        <f t="array" ref="AM40">COUNT(IF(Referee1=$A40,IF(AwayTeam=AM$4,1)))+COUNT(IF(Referee2=$A40,IF(AwayTeam=AM$4,1)))</f>
        <v>0</v>
      </c>
      <c r="AN40" s="8">
        <f t="array" ref="AN40">COUNT(IF(Referee1=$A40,IF(AwayTeam=AN$4,1)))+COUNT(IF(Referee2=$A40,IF(AwayTeam=AN$4,1)))</f>
        <v>0</v>
      </c>
      <c r="AO40" s="8">
        <f t="array" ref="AO40">COUNT(IF(Referee1=$A40,IF(AwayTeam=AO$4,1)))+COUNT(IF(Referee2=$A40,IF(AwayTeam=AO$4,1)))</f>
        <v>0</v>
      </c>
      <c r="AP40" s="8">
        <f t="array" ref="AP40">COUNT(IF(Referee1=$A40,IF(AwayTeam=AP$4,1)))+COUNT(IF(Referee2=$A40,IF(AwayTeam=AP$4,1)))</f>
        <v>0</v>
      </c>
    </row>
    <row r="41" spans="1:42" x14ac:dyDescent="0.2">
      <c r="A41" s="8" t="str">
        <f>IF(Info!A38&lt;&gt;0,Info!A38,"")</f>
        <v>Referee 37</v>
      </c>
      <c r="B41" s="8">
        <f t="shared" si="0"/>
        <v>0</v>
      </c>
      <c r="C41" s="8">
        <f t="array" ref="C41">COUNT(IF(Referee1=$A41,IF(HomeTeam=C$4,1)))+COUNT(IF(Referee2=$A41,IF(HomeTeam=C$4,1)))</f>
        <v>0</v>
      </c>
      <c r="D41" s="8">
        <f t="array" ref="D41">COUNT(IF(Referee1=$A41,IF(HomeTeam=D$4,1)))+COUNT(IF(Referee2=$A41,IF(HomeTeam=D$4,1)))</f>
        <v>0</v>
      </c>
      <c r="E41" s="8">
        <f t="array" ref="E41">COUNT(IF(Referee1=$A41,IF(HomeTeam=E$4,1)))+COUNT(IF(Referee2=$A41,IF(HomeTeam=E$4,1)))</f>
        <v>0</v>
      </c>
      <c r="F41" s="8">
        <f t="array" ref="F41">COUNT(IF(Referee1=$A41,IF(HomeTeam=F$4,1)))+COUNT(IF(Referee2=$A41,IF(HomeTeam=F$4,1)))</f>
        <v>0</v>
      </c>
      <c r="G41" s="8">
        <f t="array" ref="G41">COUNT(IF(Referee1=$A41,IF(HomeTeam=G$4,1)))+COUNT(IF(Referee2=$A41,IF(HomeTeam=G$4,1)))</f>
        <v>0</v>
      </c>
      <c r="H41" s="8">
        <f t="array" ref="H41">COUNT(IF(Referee1=$A41,IF(HomeTeam=H$4,1)))+COUNT(IF(Referee2=$A41,IF(HomeTeam=H$4,1)))</f>
        <v>0</v>
      </c>
      <c r="I41" s="8">
        <f t="array" ref="I41">COUNT(IF(Referee1=$A41,IF(HomeTeam=I$4,1)))+COUNT(IF(Referee2=$A41,IF(HomeTeam=I$4,1)))</f>
        <v>0</v>
      </c>
      <c r="J41" s="8">
        <f t="array" ref="J41">COUNT(IF(Referee1=$A41,IF(HomeTeam=J$4,1)))+COUNT(IF(Referee2=$A41,IF(HomeTeam=J$4,1)))</f>
        <v>0</v>
      </c>
      <c r="K41" s="8">
        <f t="array" ref="K41">COUNT(IF(Referee1=$A41,IF(HomeTeam=K$4,1)))+COUNT(IF(Referee2=$A41,IF(HomeTeam=K$4,1)))</f>
        <v>0</v>
      </c>
      <c r="L41" s="8">
        <f t="array" ref="L41">COUNT(IF(Referee1=$A41,IF(HomeTeam=L$4,1)))+COUNT(IF(Referee2=$A41,IF(HomeTeam=L$4,1)))</f>
        <v>0</v>
      </c>
      <c r="M41" s="8">
        <f t="array" ref="M41">COUNT(IF(Referee1=$A41,IF(HomeTeam=M$4,1)))+COUNT(IF(Referee2=$A41,IF(HomeTeam=M$4,1)))</f>
        <v>0</v>
      </c>
      <c r="N41" s="8">
        <f t="array" ref="N41">COUNT(IF(Referee1=$A41,IF(HomeTeam=N$4,1)))+COUNT(IF(Referee2=$A41,IF(HomeTeam=N$4,1)))</f>
        <v>0</v>
      </c>
      <c r="O41" s="8">
        <f t="array" ref="O41">COUNT(IF(Referee1=$A41,IF(HomeTeam=O$4,1)))+COUNT(IF(Referee2=$A41,IF(HomeTeam=O$4,1)))</f>
        <v>0</v>
      </c>
      <c r="P41" s="8">
        <f t="array" ref="P41">COUNT(IF(Referee1=$A41,IF(HomeTeam=P$4,1)))+COUNT(IF(Referee2=$A41,IF(HomeTeam=P$4,1)))</f>
        <v>0</v>
      </c>
      <c r="Q41" s="8">
        <f t="array" ref="Q41">COUNT(IF(Referee1=$A41,IF(HomeTeam=Q$4,1)))+COUNT(IF(Referee2=$A41,IF(HomeTeam=Q$4,1)))</f>
        <v>0</v>
      </c>
      <c r="R41" s="8">
        <f t="array" ref="R41">COUNT(IF(Referee1=$A41,IF(HomeTeam=R$4,1)))+COUNT(IF(Referee2=$A41,IF(HomeTeam=R$4,1)))</f>
        <v>0</v>
      </c>
      <c r="S41" s="8">
        <f t="array" ref="S41">COUNT(IF(Referee1=$A41,IF(HomeTeam=S$4,1)))+COUNT(IF(Referee2=$A41,IF(HomeTeam=S$4,1)))</f>
        <v>0</v>
      </c>
      <c r="T41" s="8">
        <f t="array" ref="T41">COUNT(IF(Referee1=$A41,IF(HomeTeam=T$4,1)))+COUNT(IF(Referee2=$A41,IF(HomeTeam=T$4,1)))</f>
        <v>0</v>
      </c>
      <c r="U41" s="8">
        <f t="array" ref="U41">COUNT(IF(Referee1=$A41,IF(HomeTeam=U$4,1)))+COUNT(IF(Referee2=$A41,IF(HomeTeam=U$4,1)))</f>
        <v>0</v>
      </c>
      <c r="V41" s="8">
        <f t="array" ref="V41">COUNT(IF(Referee1=$A41,IF(HomeTeam=V$4,1)))+COUNT(IF(Referee2=$A41,IF(HomeTeam=V$4,1)))</f>
        <v>0</v>
      </c>
      <c r="W41" s="8">
        <f t="array" ref="W41">COUNT(IF(Referee1=$A41,IF(AwayTeam=W$4,1)))+COUNT(IF(Referee2=$A41,IF(AwayTeam=W$4,1)))</f>
        <v>0</v>
      </c>
      <c r="X41" s="8">
        <f t="array" ref="X41">COUNT(IF(Referee1=$A41,IF(AwayTeam=X$4,1)))+COUNT(IF(Referee2=$A41,IF(AwayTeam=X$4,1)))</f>
        <v>0</v>
      </c>
      <c r="Y41" s="8">
        <f t="array" ref="Y41">COUNT(IF(Referee1=$A41,IF(AwayTeam=Y$4,1)))+COUNT(IF(Referee2=$A41,IF(AwayTeam=Y$4,1)))</f>
        <v>0</v>
      </c>
      <c r="Z41" s="8">
        <f t="array" ref="Z41">COUNT(IF(Referee1=$A41,IF(AwayTeam=Z$4,1)))+COUNT(IF(Referee2=$A41,IF(AwayTeam=Z$4,1)))</f>
        <v>0</v>
      </c>
      <c r="AA41" s="8">
        <f t="array" ref="AA41">COUNT(IF(Referee1=$A41,IF(AwayTeam=AA$4,1)))+COUNT(IF(Referee2=$A41,IF(AwayTeam=AA$4,1)))</f>
        <v>0</v>
      </c>
      <c r="AB41" s="8">
        <f t="array" ref="AB41">COUNT(IF(Referee1=$A41,IF(AwayTeam=AB$4,1)))+COUNT(IF(Referee2=$A41,IF(AwayTeam=AB$4,1)))</f>
        <v>0</v>
      </c>
      <c r="AC41" s="8">
        <f t="array" ref="AC41">COUNT(IF(Referee1=$A41,IF(AwayTeam=AC$4,1)))+COUNT(IF(Referee2=$A41,IF(AwayTeam=AC$4,1)))</f>
        <v>0</v>
      </c>
      <c r="AD41" s="8">
        <f t="array" ref="AD41">COUNT(IF(Referee1=$A41,IF(AwayTeam=AD$4,1)))+COUNT(IF(Referee2=$A41,IF(AwayTeam=AD$4,1)))</f>
        <v>0</v>
      </c>
      <c r="AE41" s="8">
        <f t="array" ref="AE41">COUNT(IF(Referee1=$A41,IF(AwayTeam=AE$4,1)))+COUNT(IF(Referee2=$A41,IF(AwayTeam=AE$4,1)))</f>
        <v>0</v>
      </c>
      <c r="AF41" s="8">
        <f t="array" ref="AF41">COUNT(IF(Referee1=$A41,IF(AwayTeam=AF$4,1)))+COUNT(IF(Referee2=$A41,IF(AwayTeam=AF$4,1)))</f>
        <v>0</v>
      </c>
      <c r="AG41" s="8">
        <f t="array" ref="AG41">COUNT(IF(Referee1=$A41,IF(AwayTeam=AG$4,1)))+COUNT(IF(Referee2=$A41,IF(AwayTeam=AG$4,1)))</f>
        <v>0</v>
      </c>
      <c r="AH41" s="8">
        <f t="array" ref="AH41">COUNT(IF(Referee1=$A41,IF(AwayTeam=AH$4,1)))+COUNT(IF(Referee2=$A41,IF(AwayTeam=AH$4,1)))</f>
        <v>0</v>
      </c>
      <c r="AI41" s="8">
        <f t="array" ref="AI41">COUNT(IF(Referee1=$A41,IF(AwayTeam=AI$4,1)))+COUNT(IF(Referee2=$A41,IF(AwayTeam=AI$4,1)))</f>
        <v>0</v>
      </c>
      <c r="AJ41" s="8">
        <f t="array" ref="AJ41">COUNT(IF(Referee1=$A41,IF(AwayTeam=AJ$4,1)))+COUNT(IF(Referee2=$A41,IF(AwayTeam=AJ$4,1)))</f>
        <v>0</v>
      </c>
      <c r="AK41" s="8">
        <f t="array" ref="AK41">COUNT(IF(Referee1=$A41,IF(AwayTeam=AK$4,1)))+COUNT(IF(Referee2=$A41,IF(AwayTeam=AK$4,1)))</f>
        <v>0</v>
      </c>
      <c r="AL41" s="8">
        <f t="array" ref="AL41">COUNT(IF(Referee1=$A41,IF(AwayTeam=AL$4,1)))+COUNT(IF(Referee2=$A41,IF(AwayTeam=AL$4,1)))</f>
        <v>0</v>
      </c>
      <c r="AM41" s="8">
        <f t="array" ref="AM41">COUNT(IF(Referee1=$A41,IF(AwayTeam=AM$4,1)))+COUNT(IF(Referee2=$A41,IF(AwayTeam=AM$4,1)))</f>
        <v>0</v>
      </c>
      <c r="AN41" s="8">
        <f t="array" ref="AN41">COUNT(IF(Referee1=$A41,IF(AwayTeam=AN$4,1)))+COUNT(IF(Referee2=$A41,IF(AwayTeam=AN$4,1)))</f>
        <v>0</v>
      </c>
      <c r="AO41" s="8">
        <f t="array" ref="AO41">COUNT(IF(Referee1=$A41,IF(AwayTeam=AO$4,1)))+COUNT(IF(Referee2=$A41,IF(AwayTeam=AO$4,1)))</f>
        <v>0</v>
      </c>
      <c r="AP41" s="8">
        <f t="array" ref="AP41">COUNT(IF(Referee1=$A41,IF(AwayTeam=AP$4,1)))+COUNT(IF(Referee2=$A41,IF(AwayTeam=AP$4,1)))</f>
        <v>0</v>
      </c>
    </row>
    <row r="42" spans="1:42" x14ac:dyDescent="0.2">
      <c r="A42" s="8" t="str">
        <f>IF(Info!A39&lt;&gt;0,Info!A39,"")</f>
        <v>Referee 38</v>
      </c>
      <c r="B42" s="8">
        <f t="shared" si="0"/>
        <v>0</v>
      </c>
      <c r="C42" s="8">
        <f t="array" ref="C42">COUNT(IF(Referee1=$A42,IF(HomeTeam=C$4,1)))+COUNT(IF(Referee2=$A42,IF(HomeTeam=C$4,1)))</f>
        <v>0</v>
      </c>
      <c r="D42" s="8">
        <f t="array" ref="D42">COUNT(IF(Referee1=$A42,IF(HomeTeam=D$4,1)))+COUNT(IF(Referee2=$A42,IF(HomeTeam=D$4,1)))</f>
        <v>0</v>
      </c>
      <c r="E42" s="8">
        <f t="array" ref="E42">COUNT(IF(Referee1=$A42,IF(HomeTeam=E$4,1)))+COUNT(IF(Referee2=$A42,IF(HomeTeam=E$4,1)))</f>
        <v>0</v>
      </c>
      <c r="F42" s="8">
        <f t="array" ref="F42">COUNT(IF(Referee1=$A42,IF(HomeTeam=F$4,1)))+COUNT(IF(Referee2=$A42,IF(HomeTeam=F$4,1)))</f>
        <v>0</v>
      </c>
      <c r="G42" s="8">
        <f t="array" ref="G42">COUNT(IF(Referee1=$A42,IF(HomeTeam=G$4,1)))+COUNT(IF(Referee2=$A42,IF(HomeTeam=G$4,1)))</f>
        <v>0</v>
      </c>
      <c r="H42" s="8">
        <f t="array" ref="H42">COUNT(IF(Referee1=$A42,IF(HomeTeam=H$4,1)))+COUNT(IF(Referee2=$A42,IF(HomeTeam=H$4,1)))</f>
        <v>0</v>
      </c>
      <c r="I42" s="8">
        <f t="array" ref="I42">COUNT(IF(Referee1=$A42,IF(HomeTeam=I$4,1)))+COUNT(IF(Referee2=$A42,IF(HomeTeam=I$4,1)))</f>
        <v>0</v>
      </c>
      <c r="J42" s="8">
        <f t="array" ref="J42">COUNT(IF(Referee1=$A42,IF(HomeTeam=J$4,1)))+COUNT(IF(Referee2=$A42,IF(HomeTeam=J$4,1)))</f>
        <v>0</v>
      </c>
      <c r="K42" s="8">
        <f t="array" ref="K42">COUNT(IF(Referee1=$A42,IF(HomeTeam=K$4,1)))+COUNT(IF(Referee2=$A42,IF(HomeTeam=K$4,1)))</f>
        <v>0</v>
      </c>
      <c r="L42" s="8">
        <f t="array" ref="L42">COUNT(IF(Referee1=$A42,IF(HomeTeam=L$4,1)))+COUNT(IF(Referee2=$A42,IF(HomeTeam=L$4,1)))</f>
        <v>0</v>
      </c>
      <c r="M42" s="8">
        <f t="array" ref="M42">COUNT(IF(Referee1=$A42,IF(HomeTeam=M$4,1)))+COUNT(IF(Referee2=$A42,IF(HomeTeam=M$4,1)))</f>
        <v>0</v>
      </c>
      <c r="N42" s="8">
        <f t="array" ref="N42">COUNT(IF(Referee1=$A42,IF(HomeTeam=N$4,1)))+COUNT(IF(Referee2=$A42,IF(HomeTeam=N$4,1)))</f>
        <v>0</v>
      </c>
      <c r="O42" s="8">
        <f t="array" ref="O42">COUNT(IF(Referee1=$A42,IF(HomeTeam=O$4,1)))+COUNT(IF(Referee2=$A42,IF(HomeTeam=O$4,1)))</f>
        <v>0</v>
      </c>
      <c r="P42" s="8">
        <f t="array" ref="P42">COUNT(IF(Referee1=$A42,IF(HomeTeam=P$4,1)))+COUNT(IF(Referee2=$A42,IF(HomeTeam=P$4,1)))</f>
        <v>0</v>
      </c>
      <c r="Q42" s="8">
        <f t="array" ref="Q42">COUNT(IF(Referee1=$A42,IF(HomeTeam=Q$4,1)))+COUNT(IF(Referee2=$A42,IF(HomeTeam=Q$4,1)))</f>
        <v>0</v>
      </c>
      <c r="R42" s="8">
        <f t="array" ref="R42">COUNT(IF(Referee1=$A42,IF(HomeTeam=R$4,1)))+COUNT(IF(Referee2=$A42,IF(HomeTeam=R$4,1)))</f>
        <v>0</v>
      </c>
      <c r="S42" s="8">
        <f t="array" ref="S42">COUNT(IF(Referee1=$A42,IF(HomeTeam=S$4,1)))+COUNT(IF(Referee2=$A42,IF(HomeTeam=S$4,1)))</f>
        <v>0</v>
      </c>
      <c r="T42" s="8">
        <f t="array" ref="T42">COUNT(IF(Referee1=$A42,IF(HomeTeam=T$4,1)))+COUNT(IF(Referee2=$A42,IF(HomeTeam=T$4,1)))</f>
        <v>0</v>
      </c>
      <c r="U42" s="8">
        <f t="array" ref="U42">COUNT(IF(Referee1=$A42,IF(HomeTeam=U$4,1)))+COUNT(IF(Referee2=$A42,IF(HomeTeam=U$4,1)))</f>
        <v>0</v>
      </c>
      <c r="V42" s="8">
        <f t="array" ref="V42">COUNT(IF(Referee1=$A42,IF(HomeTeam=V$4,1)))+COUNT(IF(Referee2=$A42,IF(HomeTeam=V$4,1)))</f>
        <v>0</v>
      </c>
      <c r="W42" s="8">
        <f t="array" ref="W42">COUNT(IF(Referee1=$A42,IF(AwayTeam=W$4,1)))+COUNT(IF(Referee2=$A42,IF(AwayTeam=W$4,1)))</f>
        <v>0</v>
      </c>
      <c r="X42" s="8">
        <f t="array" ref="X42">COUNT(IF(Referee1=$A42,IF(AwayTeam=X$4,1)))+COUNT(IF(Referee2=$A42,IF(AwayTeam=X$4,1)))</f>
        <v>0</v>
      </c>
      <c r="Y42" s="8">
        <f t="array" ref="Y42">COUNT(IF(Referee1=$A42,IF(AwayTeam=Y$4,1)))+COUNT(IF(Referee2=$A42,IF(AwayTeam=Y$4,1)))</f>
        <v>0</v>
      </c>
      <c r="Z42" s="8">
        <f t="array" ref="Z42">COUNT(IF(Referee1=$A42,IF(AwayTeam=Z$4,1)))+COUNT(IF(Referee2=$A42,IF(AwayTeam=Z$4,1)))</f>
        <v>0</v>
      </c>
      <c r="AA42" s="8">
        <f t="array" ref="AA42">COUNT(IF(Referee1=$A42,IF(AwayTeam=AA$4,1)))+COUNT(IF(Referee2=$A42,IF(AwayTeam=AA$4,1)))</f>
        <v>0</v>
      </c>
      <c r="AB42" s="8">
        <f t="array" ref="AB42">COUNT(IF(Referee1=$A42,IF(AwayTeam=AB$4,1)))+COUNT(IF(Referee2=$A42,IF(AwayTeam=AB$4,1)))</f>
        <v>0</v>
      </c>
      <c r="AC42" s="8">
        <f t="array" ref="AC42">COUNT(IF(Referee1=$A42,IF(AwayTeam=AC$4,1)))+COUNT(IF(Referee2=$A42,IF(AwayTeam=AC$4,1)))</f>
        <v>0</v>
      </c>
      <c r="AD42" s="8">
        <f t="array" ref="AD42">COUNT(IF(Referee1=$A42,IF(AwayTeam=AD$4,1)))+COUNT(IF(Referee2=$A42,IF(AwayTeam=AD$4,1)))</f>
        <v>0</v>
      </c>
      <c r="AE42" s="8">
        <f t="array" ref="AE42">COUNT(IF(Referee1=$A42,IF(AwayTeam=AE$4,1)))+COUNT(IF(Referee2=$A42,IF(AwayTeam=AE$4,1)))</f>
        <v>0</v>
      </c>
      <c r="AF42" s="8">
        <f t="array" ref="AF42">COUNT(IF(Referee1=$A42,IF(AwayTeam=AF$4,1)))+COUNT(IF(Referee2=$A42,IF(AwayTeam=AF$4,1)))</f>
        <v>0</v>
      </c>
      <c r="AG42" s="8">
        <f t="array" ref="AG42">COUNT(IF(Referee1=$A42,IF(AwayTeam=AG$4,1)))+COUNT(IF(Referee2=$A42,IF(AwayTeam=AG$4,1)))</f>
        <v>0</v>
      </c>
      <c r="AH42" s="8">
        <f t="array" ref="AH42">COUNT(IF(Referee1=$A42,IF(AwayTeam=AH$4,1)))+COUNT(IF(Referee2=$A42,IF(AwayTeam=AH$4,1)))</f>
        <v>0</v>
      </c>
      <c r="AI42" s="8">
        <f t="array" ref="AI42">COUNT(IF(Referee1=$A42,IF(AwayTeam=AI$4,1)))+COUNT(IF(Referee2=$A42,IF(AwayTeam=AI$4,1)))</f>
        <v>0</v>
      </c>
      <c r="AJ42" s="8">
        <f t="array" ref="AJ42">COUNT(IF(Referee1=$A42,IF(AwayTeam=AJ$4,1)))+COUNT(IF(Referee2=$A42,IF(AwayTeam=AJ$4,1)))</f>
        <v>0</v>
      </c>
      <c r="AK42" s="8">
        <f t="array" ref="AK42">COUNT(IF(Referee1=$A42,IF(AwayTeam=AK$4,1)))+COUNT(IF(Referee2=$A42,IF(AwayTeam=AK$4,1)))</f>
        <v>0</v>
      </c>
      <c r="AL42" s="8">
        <f t="array" ref="AL42">COUNT(IF(Referee1=$A42,IF(AwayTeam=AL$4,1)))+COUNT(IF(Referee2=$A42,IF(AwayTeam=AL$4,1)))</f>
        <v>0</v>
      </c>
      <c r="AM42" s="8">
        <f t="array" ref="AM42">COUNT(IF(Referee1=$A42,IF(AwayTeam=AM$4,1)))+COUNT(IF(Referee2=$A42,IF(AwayTeam=AM$4,1)))</f>
        <v>0</v>
      </c>
      <c r="AN42" s="8">
        <f t="array" ref="AN42">COUNT(IF(Referee1=$A42,IF(AwayTeam=AN$4,1)))+COUNT(IF(Referee2=$A42,IF(AwayTeam=AN$4,1)))</f>
        <v>0</v>
      </c>
      <c r="AO42" s="8">
        <f t="array" ref="AO42">COUNT(IF(Referee1=$A42,IF(AwayTeam=AO$4,1)))+COUNT(IF(Referee2=$A42,IF(AwayTeam=AO$4,1)))</f>
        <v>0</v>
      </c>
      <c r="AP42" s="8">
        <f t="array" ref="AP42">COUNT(IF(Referee1=$A42,IF(AwayTeam=AP$4,1)))+COUNT(IF(Referee2=$A42,IF(AwayTeam=AP$4,1)))</f>
        <v>0</v>
      </c>
    </row>
    <row r="43" spans="1:42" x14ac:dyDescent="0.2">
      <c r="A43" s="8" t="str">
        <f>IF(Info!A40&lt;&gt;0,Info!A40,"")</f>
        <v>Referee 39</v>
      </c>
      <c r="B43" s="8">
        <f t="shared" si="0"/>
        <v>0</v>
      </c>
      <c r="C43" s="8">
        <f t="array" ref="C43">COUNT(IF(Referee1=$A43,IF(HomeTeam=C$4,1)))+COUNT(IF(Referee2=$A43,IF(HomeTeam=C$4,1)))</f>
        <v>0</v>
      </c>
      <c r="D43" s="8">
        <f t="array" ref="D43">COUNT(IF(Referee1=$A43,IF(HomeTeam=D$4,1)))+COUNT(IF(Referee2=$A43,IF(HomeTeam=D$4,1)))</f>
        <v>0</v>
      </c>
      <c r="E43" s="8">
        <f t="array" ref="E43">COUNT(IF(Referee1=$A43,IF(HomeTeam=E$4,1)))+COUNT(IF(Referee2=$A43,IF(HomeTeam=E$4,1)))</f>
        <v>0</v>
      </c>
      <c r="F43" s="8">
        <f t="array" ref="F43">COUNT(IF(Referee1=$A43,IF(HomeTeam=F$4,1)))+COUNT(IF(Referee2=$A43,IF(HomeTeam=F$4,1)))</f>
        <v>0</v>
      </c>
      <c r="G43" s="8">
        <f t="array" ref="G43">COUNT(IF(Referee1=$A43,IF(HomeTeam=G$4,1)))+COUNT(IF(Referee2=$A43,IF(HomeTeam=G$4,1)))</f>
        <v>0</v>
      </c>
      <c r="H43" s="8">
        <f t="array" ref="H43">COUNT(IF(Referee1=$A43,IF(HomeTeam=H$4,1)))+COUNT(IF(Referee2=$A43,IF(HomeTeam=H$4,1)))</f>
        <v>0</v>
      </c>
      <c r="I43" s="8">
        <f t="array" ref="I43">COUNT(IF(Referee1=$A43,IF(HomeTeam=I$4,1)))+COUNT(IF(Referee2=$A43,IF(HomeTeam=I$4,1)))</f>
        <v>0</v>
      </c>
      <c r="J43" s="8">
        <f t="array" ref="J43">COUNT(IF(Referee1=$A43,IF(HomeTeam=J$4,1)))+COUNT(IF(Referee2=$A43,IF(HomeTeam=J$4,1)))</f>
        <v>0</v>
      </c>
      <c r="K43" s="8">
        <f t="array" ref="K43">COUNT(IF(Referee1=$A43,IF(HomeTeam=K$4,1)))+COUNT(IF(Referee2=$A43,IF(HomeTeam=K$4,1)))</f>
        <v>0</v>
      </c>
      <c r="L43" s="8">
        <f t="array" ref="L43">COUNT(IF(Referee1=$A43,IF(HomeTeam=L$4,1)))+COUNT(IF(Referee2=$A43,IF(HomeTeam=L$4,1)))</f>
        <v>0</v>
      </c>
      <c r="M43" s="8">
        <f t="array" ref="M43">COUNT(IF(Referee1=$A43,IF(HomeTeam=M$4,1)))+COUNT(IF(Referee2=$A43,IF(HomeTeam=M$4,1)))</f>
        <v>0</v>
      </c>
      <c r="N43" s="8">
        <f t="array" ref="N43">COUNT(IF(Referee1=$A43,IF(HomeTeam=N$4,1)))+COUNT(IF(Referee2=$A43,IF(HomeTeam=N$4,1)))</f>
        <v>0</v>
      </c>
      <c r="O43" s="8">
        <f t="array" ref="O43">COUNT(IF(Referee1=$A43,IF(HomeTeam=O$4,1)))+COUNT(IF(Referee2=$A43,IF(HomeTeam=O$4,1)))</f>
        <v>0</v>
      </c>
      <c r="P43" s="8">
        <f t="array" ref="P43">COUNT(IF(Referee1=$A43,IF(HomeTeam=P$4,1)))+COUNT(IF(Referee2=$A43,IF(HomeTeam=P$4,1)))</f>
        <v>0</v>
      </c>
      <c r="Q43" s="8">
        <f t="array" ref="Q43">COUNT(IF(Referee1=$A43,IF(HomeTeam=Q$4,1)))+COUNT(IF(Referee2=$A43,IF(HomeTeam=Q$4,1)))</f>
        <v>0</v>
      </c>
      <c r="R43" s="8">
        <f t="array" ref="R43">COUNT(IF(Referee1=$A43,IF(HomeTeam=R$4,1)))+COUNT(IF(Referee2=$A43,IF(HomeTeam=R$4,1)))</f>
        <v>0</v>
      </c>
      <c r="S43" s="8">
        <f t="array" ref="S43">COUNT(IF(Referee1=$A43,IF(HomeTeam=S$4,1)))+COUNT(IF(Referee2=$A43,IF(HomeTeam=S$4,1)))</f>
        <v>0</v>
      </c>
      <c r="T43" s="8">
        <f t="array" ref="T43">COUNT(IF(Referee1=$A43,IF(HomeTeam=T$4,1)))+COUNT(IF(Referee2=$A43,IF(HomeTeam=T$4,1)))</f>
        <v>0</v>
      </c>
      <c r="U43" s="8">
        <f t="array" ref="U43">COUNT(IF(Referee1=$A43,IF(HomeTeam=U$4,1)))+COUNT(IF(Referee2=$A43,IF(HomeTeam=U$4,1)))</f>
        <v>0</v>
      </c>
      <c r="V43" s="8">
        <f t="array" ref="V43">COUNT(IF(Referee1=$A43,IF(HomeTeam=V$4,1)))+COUNT(IF(Referee2=$A43,IF(HomeTeam=V$4,1)))</f>
        <v>0</v>
      </c>
      <c r="W43" s="8">
        <f t="array" ref="W43">COUNT(IF(Referee1=$A43,IF(AwayTeam=W$4,1)))+COUNT(IF(Referee2=$A43,IF(AwayTeam=W$4,1)))</f>
        <v>0</v>
      </c>
      <c r="X43" s="8">
        <f t="array" ref="X43">COUNT(IF(Referee1=$A43,IF(AwayTeam=X$4,1)))+COUNT(IF(Referee2=$A43,IF(AwayTeam=X$4,1)))</f>
        <v>0</v>
      </c>
      <c r="Y43" s="8">
        <f t="array" ref="Y43">COUNT(IF(Referee1=$A43,IF(AwayTeam=Y$4,1)))+COUNT(IF(Referee2=$A43,IF(AwayTeam=Y$4,1)))</f>
        <v>0</v>
      </c>
      <c r="Z43" s="8">
        <f t="array" ref="Z43">COUNT(IF(Referee1=$A43,IF(AwayTeam=Z$4,1)))+COUNT(IF(Referee2=$A43,IF(AwayTeam=Z$4,1)))</f>
        <v>0</v>
      </c>
      <c r="AA43" s="8">
        <f t="array" ref="AA43">COUNT(IF(Referee1=$A43,IF(AwayTeam=AA$4,1)))+COUNT(IF(Referee2=$A43,IF(AwayTeam=AA$4,1)))</f>
        <v>0</v>
      </c>
      <c r="AB43" s="8">
        <f t="array" ref="AB43">COUNT(IF(Referee1=$A43,IF(AwayTeam=AB$4,1)))+COUNT(IF(Referee2=$A43,IF(AwayTeam=AB$4,1)))</f>
        <v>0</v>
      </c>
      <c r="AC43" s="8">
        <f t="array" ref="AC43">COUNT(IF(Referee1=$A43,IF(AwayTeam=AC$4,1)))+COUNT(IF(Referee2=$A43,IF(AwayTeam=AC$4,1)))</f>
        <v>0</v>
      </c>
      <c r="AD43" s="8">
        <f t="array" ref="AD43">COUNT(IF(Referee1=$A43,IF(AwayTeam=AD$4,1)))+COUNT(IF(Referee2=$A43,IF(AwayTeam=AD$4,1)))</f>
        <v>0</v>
      </c>
      <c r="AE43" s="8">
        <f t="array" ref="AE43">COUNT(IF(Referee1=$A43,IF(AwayTeam=AE$4,1)))+COUNT(IF(Referee2=$A43,IF(AwayTeam=AE$4,1)))</f>
        <v>0</v>
      </c>
      <c r="AF43" s="8">
        <f t="array" ref="AF43">COUNT(IF(Referee1=$A43,IF(AwayTeam=AF$4,1)))+COUNT(IF(Referee2=$A43,IF(AwayTeam=AF$4,1)))</f>
        <v>0</v>
      </c>
      <c r="AG43" s="8">
        <f t="array" ref="AG43">COUNT(IF(Referee1=$A43,IF(AwayTeam=AG$4,1)))+COUNT(IF(Referee2=$A43,IF(AwayTeam=AG$4,1)))</f>
        <v>0</v>
      </c>
      <c r="AH43" s="8">
        <f t="array" ref="AH43">COUNT(IF(Referee1=$A43,IF(AwayTeam=AH$4,1)))+COUNT(IF(Referee2=$A43,IF(AwayTeam=AH$4,1)))</f>
        <v>0</v>
      </c>
      <c r="AI43" s="8">
        <f t="array" ref="AI43">COUNT(IF(Referee1=$A43,IF(AwayTeam=AI$4,1)))+COUNT(IF(Referee2=$A43,IF(AwayTeam=AI$4,1)))</f>
        <v>0</v>
      </c>
      <c r="AJ43" s="8">
        <f t="array" ref="AJ43">COUNT(IF(Referee1=$A43,IF(AwayTeam=AJ$4,1)))+COUNT(IF(Referee2=$A43,IF(AwayTeam=AJ$4,1)))</f>
        <v>0</v>
      </c>
      <c r="AK43" s="8">
        <f t="array" ref="AK43">COUNT(IF(Referee1=$A43,IF(AwayTeam=AK$4,1)))+COUNT(IF(Referee2=$A43,IF(AwayTeam=AK$4,1)))</f>
        <v>0</v>
      </c>
      <c r="AL43" s="8">
        <f t="array" ref="AL43">COUNT(IF(Referee1=$A43,IF(AwayTeam=AL$4,1)))+COUNT(IF(Referee2=$A43,IF(AwayTeam=AL$4,1)))</f>
        <v>0</v>
      </c>
      <c r="AM43" s="8">
        <f t="array" ref="AM43">COUNT(IF(Referee1=$A43,IF(AwayTeam=AM$4,1)))+COUNT(IF(Referee2=$A43,IF(AwayTeam=AM$4,1)))</f>
        <v>0</v>
      </c>
      <c r="AN43" s="8">
        <f t="array" ref="AN43">COUNT(IF(Referee1=$A43,IF(AwayTeam=AN$4,1)))+COUNT(IF(Referee2=$A43,IF(AwayTeam=AN$4,1)))</f>
        <v>0</v>
      </c>
      <c r="AO43" s="8">
        <f t="array" ref="AO43">COUNT(IF(Referee1=$A43,IF(AwayTeam=AO$4,1)))+COUNT(IF(Referee2=$A43,IF(AwayTeam=AO$4,1)))</f>
        <v>0</v>
      </c>
      <c r="AP43" s="8">
        <f t="array" ref="AP43">COUNT(IF(Referee1=$A43,IF(AwayTeam=AP$4,1)))+COUNT(IF(Referee2=$A43,IF(AwayTeam=AP$4,1)))</f>
        <v>0</v>
      </c>
    </row>
    <row r="44" spans="1:42" x14ac:dyDescent="0.2">
      <c r="A44" s="8" t="str">
        <f>IF(Info!A41&lt;&gt;0,Info!A41,"")</f>
        <v>Referee 40</v>
      </c>
      <c r="B44" s="8">
        <f t="shared" si="0"/>
        <v>0</v>
      </c>
      <c r="C44" s="8">
        <f t="array" ref="C44">COUNT(IF(Referee1=$A44,IF(HomeTeam=C$4,1)))+COUNT(IF(Referee2=$A44,IF(HomeTeam=C$4,1)))</f>
        <v>0</v>
      </c>
      <c r="D44" s="8">
        <f t="array" ref="D44">COUNT(IF(Referee1=$A44,IF(HomeTeam=D$4,1)))+COUNT(IF(Referee2=$A44,IF(HomeTeam=D$4,1)))</f>
        <v>0</v>
      </c>
      <c r="E44" s="8">
        <f t="array" ref="E44">COUNT(IF(Referee1=$A44,IF(HomeTeam=E$4,1)))+COUNT(IF(Referee2=$A44,IF(HomeTeam=E$4,1)))</f>
        <v>0</v>
      </c>
      <c r="F44" s="8">
        <f t="array" ref="F44">COUNT(IF(Referee1=$A44,IF(HomeTeam=F$4,1)))+COUNT(IF(Referee2=$A44,IF(HomeTeam=F$4,1)))</f>
        <v>0</v>
      </c>
      <c r="G44" s="8">
        <f t="array" ref="G44">COUNT(IF(Referee1=$A44,IF(HomeTeam=G$4,1)))+COUNT(IF(Referee2=$A44,IF(HomeTeam=G$4,1)))</f>
        <v>0</v>
      </c>
      <c r="H44" s="8">
        <f t="array" ref="H44">COUNT(IF(Referee1=$A44,IF(HomeTeam=H$4,1)))+COUNT(IF(Referee2=$A44,IF(HomeTeam=H$4,1)))</f>
        <v>0</v>
      </c>
      <c r="I44" s="8">
        <f t="array" ref="I44">COUNT(IF(Referee1=$A44,IF(HomeTeam=I$4,1)))+COUNT(IF(Referee2=$A44,IF(HomeTeam=I$4,1)))</f>
        <v>0</v>
      </c>
      <c r="J44" s="8">
        <f t="array" ref="J44">COUNT(IF(Referee1=$A44,IF(HomeTeam=J$4,1)))+COUNT(IF(Referee2=$A44,IF(HomeTeam=J$4,1)))</f>
        <v>0</v>
      </c>
      <c r="K44" s="8">
        <f t="array" ref="K44">COUNT(IF(Referee1=$A44,IF(HomeTeam=K$4,1)))+COUNT(IF(Referee2=$A44,IF(HomeTeam=K$4,1)))</f>
        <v>0</v>
      </c>
      <c r="L44" s="8">
        <f t="array" ref="L44">COUNT(IF(Referee1=$A44,IF(HomeTeam=L$4,1)))+COUNT(IF(Referee2=$A44,IF(HomeTeam=L$4,1)))</f>
        <v>0</v>
      </c>
      <c r="M44" s="8">
        <f t="array" ref="M44">COUNT(IF(Referee1=$A44,IF(HomeTeam=M$4,1)))+COUNT(IF(Referee2=$A44,IF(HomeTeam=M$4,1)))</f>
        <v>0</v>
      </c>
      <c r="N44" s="8">
        <f t="array" ref="N44">COUNT(IF(Referee1=$A44,IF(HomeTeam=N$4,1)))+COUNT(IF(Referee2=$A44,IF(HomeTeam=N$4,1)))</f>
        <v>0</v>
      </c>
      <c r="O44" s="8">
        <f t="array" ref="O44">COUNT(IF(Referee1=$A44,IF(HomeTeam=O$4,1)))+COUNT(IF(Referee2=$A44,IF(HomeTeam=O$4,1)))</f>
        <v>0</v>
      </c>
      <c r="P44" s="8">
        <f t="array" ref="P44">COUNT(IF(Referee1=$A44,IF(HomeTeam=P$4,1)))+COUNT(IF(Referee2=$A44,IF(HomeTeam=P$4,1)))</f>
        <v>0</v>
      </c>
      <c r="Q44" s="8">
        <f t="array" ref="Q44">COUNT(IF(Referee1=$A44,IF(HomeTeam=Q$4,1)))+COUNT(IF(Referee2=$A44,IF(HomeTeam=Q$4,1)))</f>
        <v>0</v>
      </c>
      <c r="R44" s="8">
        <f t="array" ref="R44">COUNT(IF(Referee1=$A44,IF(HomeTeam=R$4,1)))+COUNT(IF(Referee2=$A44,IF(HomeTeam=R$4,1)))</f>
        <v>0</v>
      </c>
      <c r="S44" s="8">
        <f t="array" ref="S44">COUNT(IF(Referee1=$A44,IF(HomeTeam=S$4,1)))+COUNT(IF(Referee2=$A44,IF(HomeTeam=S$4,1)))</f>
        <v>0</v>
      </c>
      <c r="T44" s="8">
        <f t="array" ref="T44">COUNT(IF(Referee1=$A44,IF(HomeTeam=T$4,1)))+COUNT(IF(Referee2=$A44,IF(HomeTeam=T$4,1)))</f>
        <v>0</v>
      </c>
      <c r="U44" s="8">
        <f t="array" ref="U44">COUNT(IF(Referee1=$A44,IF(HomeTeam=U$4,1)))+COUNT(IF(Referee2=$A44,IF(HomeTeam=U$4,1)))</f>
        <v>0</v>
      </c>
      <c r="V44" s="8">
        <f t="array" ref="V44">COUNT(IF(Referee1=$A44,IF(HomeTeam=V$4,1)))+COUNT(IF(Referee2=$A44,IF(HomeTeam=V$4,1)))</f>
        <v>0</v>
      </c>
      <c r="W44" s="8">
        <f t="array" ref="W44">COUNT(IF(Referee1=$A44,IF(AwayTeam=W$4,1)))+COUNT(IF(Referee2=$A44,IF(AwayTeam=W$4,1)))</f>
        <v>0</v>
      </c>
      <c r="X44" s="8">
        <f t="array" ref="X44">COUNT(IF(Referee1=$A44,IF(AwayTeam=X$4,1)))+COUNT(IF(Referee2=$A44,IF(AwayTeam=X$4,1)))</f>
        <v>0</v>
      </c>
      <c r="Y44" s="8">
        <f t="array" ref="Y44">COUNT(IF(Referee1=$A44,IF(AwayTeam=Y$4,1)))+COUNT(IF(Referee2=$A44,IF(AwayTeam=Y$4,1)))</f>
        <v>0</v>
      </c>
      <c r="Z44" s="8">
        <f t="array" ref="Z44">COUNT(IF(Referee1=$A44,IF(AwayTeam=Z$4,1)))+COUNT(IF(Referee2=$A44,IF(AwayTeam=Z$4,1)))</f>
        <v>0</v>
      </c>
      <c r="AA44" s="8">
        <f t="array" ref="AA44">COUNT(IF(Referee1=$A44,IF(AwayTeam=AA$4,1)))+COUNT(IF(Referee2=$A44,IF(AwayTeam=AA$4,1)))</f>
        <v>0</v>
      </c>
      <c r="AB44" s="8">
        <f t="array" ref="AB44">COUNT(IF(Referee1=$A44,IF(AwayTeam=AB$4,1)))+COUNT(IF(Referee2=$A44,IF(AwayTeam=AB$4,1)))</f>
        <v>0</v>
      </c>
      <c r="AC44" s="8">
        <f t="array" ref="AC44">COUNT(IF(Referee1=$A44,IF(AwayTeam=AC$4,1)))+COUNT(IF(Referee2=$A44,IF(AwayTeam=AC$4,1)))</f>
        <v>0</v>
      </c>
      <c r="AD44" s="8">
        <f t="array" ref="AD44">COUNT(IF(Referee1=$A44,IF(AwayTeam=AD$4,1)))+COUNT(IF(Referee2=$A44,IF(AwayTeam=AD$4,1)))</f>
        <v>0</v>
      </c>
      <c r="AE44" s="8">
        <f t="array" ref="AE44">COUNT(IF(Referee1=$A44,IF(AwayTeam=AE$4,1)))+COUNT(IF(Referee2=$A44,IF(AwayTeam=AE$4,1)))</f>
        <v>0</v>
      </c>
      <c r="AF44" s="8">
        <f t="array" ref="AF44">COUNT(IF(Referee1=$A44,IF(AwayTeam=AF$4,1)))+COUNT(IF(Referee2=$A44,IF(AwayTeam=AF$4,1)))</f>
        <v>0</v>
      </c>
      <c r="AG44" s="8">
        <f t="array" ref="AG44">COUNT(IF(Referee1=$A44,IF(AwayTeam=AG$4,1)))+COUNT(IF(Referee2=$A44,IF(AwayTeam=AG$4,1)))</f>
        <v>0</v>
      </c>
      <c r="AH44" s="8">
        <f t="array" ref="AH44">COUNT(IF(Referee1=$A44,IF(AwayTeam=AH$4,1)))+COUNT(IF(Referee2=$A44,IF(AwayTeam=AH$4,1)))</f>
        <v>0</v>
      </c>
      <c r="AI44" s="8">
        <f t="array" ref="AI44">COUNT(IF(Referee1=$A44,IF(AwayTeam=AI$4,1)))+COUNT(IF(Referee2=$A44,IF(AwayTeam=AI$4,1)))</f>
        <v>0</v>
      </c>
      <c r="AJ44" s="8">
        <f t="array" ref="AJ44">COUNT(IF(Referee1=$A44,IF(AwayTeam=AJ$4,1)))+COUNT(IF(Referee2=$A44,IF(AwayTeam=AJ$4,1)))</f>
        <v>0</v>
      </c>
      <c r="AK44" s="8">
        <f t="array" ref="AK44">COUNT(IF(Referee1=$A44,IF(AwayTeam=AK$4,1)))+COUNT(IF(Referee2=$A44,IF(AwayTeam=AK$4,1)))</f>
        <v>0</v>
      </c>
      <c r="AL44" s="8">
        <f t="array" ref="AL44">COUNT(IF(Referee1=$A44,IF(AwayTeam=AL$4,1)))+COUNT(IF(Referee2=$A44,IF(AwayTeam=AL$4,1)))</f>
        <v>0</v>
      </c>
      <c r="AM44" s="8">
        <f t="array" ref="AM44">COUNT(IF(Referee1=$A44,IF(AwayTeam=AM$4,1)))+COUNT(IF(Referee2=$A44,IF(AwayTeam=AM$4,1)))</f>
        <v>0</v>
      </c>
      <c r="AN44" s="8">
        <f t="array" ref="AN44">COUNT(IF(Referee1=$A44,IF(AwayTeam=AN$4,1)))+COUNT(IF(Referee2=$A44,IF(AwayTeam=AN$4,1)))</f>
        <v>0</v>
      </c>
      <c r="AO44" s="8">
        <f t="array" ref="AO44">COUNT(IF(Referee1=$A44,IF(AwayTeam=AO$4,1)))+COUNT(IF(Referee2=$A44,IF(AwayTeam=AO$4,1)))</f>
        <v>0</v>
      </c>
      <c r="AP44" s="8">
        <f t="array" ref="AP44">COUNT(IF(Referee1=$A44,IF(AwayTeam=AP$4,1)))+COUNT(IF(Referee2=$A44,IF(AwayTeam=AP$4,1)))</f>
        <v>0</v>
      </c>
    </row>
    <row r="45" spans="1:42" x14ac:dyDescent="0.2">
      <c r="A45" s="8" t="str">
        <f>IF(Info!A42&lt;&gt;0,Info!A42,"")</f>
        <v>Referee 41</v>
      </c>
      <c r="B45" s="8">
        <f t="shared" si="0"/>
        <v>0</v>
      </c>
      <c r="C45" s="8">
        <f t="array" ref="C45">COUNT(IF(Referee1=$A45,IF(HomeTeam=C$4,1)))+COUNT(IF(Referee2=$A45,IF(HomeTeam=C$4,1)))</f>
        <v>0</v>
      </c>
      <c r="D45" s="8">
        <f t="array" ref="D45">COUNT(IF(Referee1=$A45,IF(HomeTeam=D$4,1)))+COUNT(IF(Referee2=$A45,IF(HomeTeam=D$4,1)))</f>
        <v>0</v>
      </c>
      <c r="E45" s="8">
        <f t="array" ref="E45">COUNT(IF(Referee1=$A45,IF(HomeTeam=E$4,1)))+COUNT(IF(Referee2=$A45,IF(HomeTeam=E$4,1)))</f>
        <v>0</v>
      </c>
      <c r="F45" s="8">
        <f t="array" ref="F45">COUNT(IF(Referee1=$A45,IF(HomeTeam=F$4,1)))+COUNT(IF(Referee2=$A45,IF(HomeTeam=F$4,1)))</f>
        <v>0</v>
      </c>
      <c r="G45" s="8">
        <f t="array" ref="G45">COUNT(IF(Referee1=$A45,IF(HomeTeam=G$4,1)))+COUNT(IF(Referee2=$A45,IF(HomeTeam=G$4,1)))</f>
        <v>0</v>
      </c>
      <c r="H45" s="8">
        <f t="array" ref="H45">COUNT(IF(Referee1=$A45,IF(HomeTeam=H$4,1)))+COUNT(IF(Referee2=$A45,IF(HomeTeam=H$4,1)))</f>
        <v>0</v>
      </c>
      <c r="I45" s="8">
        <f t="array" ref="I45">COUNT(IF(Referee1=$A45,IF(HomeTeam=I$4,1)))+COUNT(IF(Referee2=$A45,IF(HomeTeam=I$4,1)))</f>
        <v>0</v>
      </c>
      <c r="J45" s="8">
        <f t="array" ref="J45">COUNT(IF(Referee1=$A45,IF(HomeTeam=J$4,1)))+COUNT(IF(Referee2=$A45,IF(HomeTeam=J$4,1)))</f>
        <v>0</v>
      </c>
      <c r="K45" s="8">
        <f t="array" ref="K45">COUNT(IF(Referee1=$A45,IF(HomeTeam=K$4,1)))+COUNT(IF(Referee2=$A45,IF(HomeTeam=K$4,1)))</f>
        <v>0</v>
      </c>
      <c r="L45" s="8">
        <f t="array" ref="L45">COUNT(IF(Referee1=$A45,IF(HomeTeam=L$4,1)))+COUNT(IF(Referee2=$A45,IF(HomeTeam=L$4,1)))</f>
        <v>0</v>
      </c>
      <c r="M45" s="8">
        <f t="array" ref="M45">COUNT(IF(Referee1=$A45,IF(HomeTeam=M$4,1)))+COUNT(IF(Referee2=$A45,IF(HomeTeam=M$4,1)))</f>
        <v>0</v>
      </c>
      <c r="N45" s="8">
        <f t="array" ref="N45">COUNT(IF(Referee1=$A45,IF(HomeTeam=N$4,1)))+COUNT(IF(Referee2=$A45,IF(HomeTeam=N$4,1)))</f>
        <v>0</v>
      </c>
      <c r="O45" s="8">
        <f t="array" ref="O45">COUNT(IF(Referee1=$A45,IF(HomeTeam=O$4,1)))+COUNT(IF(Referee2=$A45,IF(HomeTeam=O$4,1)))</f>
        <v>0</v>
      </c>
      <c r="P45" s="8">
        <f t="array" ref="P45">COUNT(IF(Referee1=$A45,IF(HomeTeam=P$4,1)))+COUNT(IF(Referee2=$A45,IF(HomeTeam=P$4,1)))</f>
        <v>0</v>
      </c>
      <c r="Q45" s="8">
        <f t="array" ref="Q45">COUNT(IF(Referee1=$A45,IF(HomeTeam=Q$4,1)))+COUNT(IF(Referee2=$A45,IF(HomeTeam=Q$4,1)))</f>
        <v>0</v>
      </c>
      <c r="R45" s="8">
        <f t="array" ref="R45">COUNT(IF(Referee1=$A45,IF(HomeTeam=R$4,1)))+COUNT(IF(Referee2=$A45,IF(HomeTeam=R$4,1)))</f>
        <v>0</v>
      </c>
      <c r="S45" s="8">
        <f t="array" ref="S45">COUNT(IF(Referee1=$A45,IF(HomeTeam=S$4,1)))+COUNT(IF(Referee2=$A45,IF(HomeTeam=S$4,1)))</f>
        <v>0</v>
      </c>
      <c r="T45" s="8">
        <f t="array" ref="T45">COUNT(IF(Referee1=$A45,IF(HomeTeam=T$4,1)))+COUNT(IF(Referee2=$A45,IF(HomeTeam=T$4,1)))</f>
        <v>0</v>
      </c>
      <c r="U45" s="8">
        <f t="array" ref="U45">COUNT(IF(Referee1=$A45,IF(HomeTeam=U$4,1)))+COUNT(IF(Referee2=$A45,IF(HomeTeam=U$4,1)))</f>
        <v>0</v>
      </c>
      <c r="V45" s="8">
        <f t="array" ref="V45">COUNT(IF(Referee1=$A45,IF(HomeTeam=V$4,1)))+COUNT(IF(Referee2=$A45,IF(HomeTeam=V$4,1)))</f>
        <v>0</v>
      </c>
      <c r="W45" s="8">
        <f t="array" ref="W45">COUNT(IF(Referee1=$A45,IF(AwayTeam=W$4,1)))+COUNT(IF(Referee2=$A45,IF(AwayTeam=W$4,1)))</f>
        <v>0</v>
      </c>
      <c r="X45" s="8">
        <f t="array" ref="X45">COUNT(IF(Referee1=$A45,IF(AwayTeam=X$4,1)))+COUNT(IF(Referee2=$A45,IF(AwayTeam=X$4,1)))</f>
        <v>0</v>
      </c>
      <c r="Y45" s="8">
        <f t="array" ref="Y45">COUNT(IF(Referee1=$A45,IF(AwayTeam=Y$4,1)))+COUNT(IF(Referee2=$A45,IF(AwayTeam=Y$4,1)))</f>
        <v>0</v>
      </c>
      <c r="Z45" s="8">
        <f t="array" ref="Z45">COUNT(IF(Referee1=$A45,IF(AwayTeam=Z$4,1)))+COUNT(IF(Referee2=$A45,IF(AwayTeam=Z$4,1)))</f>
        <v>0</v>
      </c>
      <c r="AA45" s="8">
        <f t="array" ref="AA45">COUNT(IF(Referee1=$A45,IF(AwayTeam=AA$4,1)))+COUNT(IF(Referee2=$A45,IF(AwayTeam=AA$4,1)))</f>
        <v>0</v>
      </c>
      <c r="AB45" s="8">
        <f t="array" ref="AB45">COUNT(IF(Referee1=$A45,IF(AwayTeam=AB$4,1)))+COUNT(IF(Referee2=$A45,IF(AwayTeam=AB$4,1)))</f>
        <v>0</v>
      </c>
      <c r="AC45" s="8">
        <f t="array" ref="AC45">COUNT(IF(Referee1=$A45,IF(AwayTeam=AC$4,1)))+COUNT(IF(Referee2=$A45,IF(AwayTeam=AC$4,1)))</f>
        <v>0</v>
      </c>
      <c r="AD45" s="8">
        <f t="array" ref="AD45">COUNT(IF(Referee1=$A45,IF(AwayTeam=AD$4,1)))+COUNT(IF(Referee2=$A45,IF(AwayTeam=AD$4,1)))</f>
        <v>0</v>
      </c>
      <c r="AE45" s="8">
        <f t="array" ref="AE45">COUNT(IF(Referee1=$A45,IF(AwayTeam=AE$4,1)))+COUNT(IF(Referee2=$A45,IF(AwayTeam=AE$4,1)))</f>
        <v>0</v>
      </c>
      <c r="AF45" s="8">
        <f t="array" ref="AF45">COUNT(IF(Referee1=$A45,IF(AwayTeam=AF$4,1)))+COUNT(IF(Referee2=$A45,IF(AwayTeam=AF$4,1)))</f>
        <v>0</v>
      </c>
      <c r="AG45" s="8">
        <f t="array" ref="AG45">COUNT(IF(Referee1=$A45,IF(AwayTeam=AG$4,1)))+COUNT(IF(Referee2=$A45,IF(AwayTeam=AG$4,1)))</f>
        <v>0</v>
      </c>
      <c r="AH45" s="8">
        <f t="array" ref="AH45">COUNT(IF(Referee1=$A45,IF(AwayTeam=AH$4,1)))+COUNT(IF(Referee2=$A45,IF(AwayTeam=AH$4,1)))</f>
        <v>0</v>
      </c>
      <c r="AI45" s="8">
        <f t="array" ref="AI45">COUNT(IF(Referee1=$A45,IF(AwayTeam=AI$4,1)))+COUNT(IF(Referee2=$A45,IF(AwayTeam=AI$4,1)))</f>
        <v>0</v>
      </c>
      <c r="AJ45" s="8">
        <f t="array" ref="AJ45">COUNT(IF(Referee1=$A45,IF(AwayTeam=AJ$4,1)))+COUNT(IF(Referee2=$A45,IF(AwayTeam=AJ$4,1)))</f>
        <v>0</v>
      </c>
      <c r="AK45" s="8">
        <f t="array" ref="AK45">COUNT(IF(Referee1=$A45,IF(AwayTeam=AK$4,1)))+COUNT(IF(Referee2=$A45,IF(AwayTeam=AK$4,1)))</f>
        <v>0</v>
      </c>
      <c r="AL45" s="8">
        <f t="array" ref="AL45">COUNT(IF(Referee1=$A45,IF(AwayTeam=AL$4,1)))+COUNT(IF(Referee2=$A45,IF(AwayTeam=AL$4,1)))</f>
        <v>0</v>
      </c>
      <c r="AM45" s="8">
        <f t="array" ref="AM45">COUNT(IF(Referee1=$A45,IF(AwayTeam=AM$4,1)))+COUNT(IF(Referee2=$A45,IF(AwayTeam=AM$4,1)))</f>
        <v>0</v>
      </c>
      <c r="AN45" s="8">
        <f t="array" ref="AN45">COUNT(IF(Referee1=$A45,IF(AwayTeam=AN$4,1)))+COUNT(IF(Referee2=$A45,IF(AwayTeam=AN$4,1)))</f>
        <v>0</v>
      </c>
      <c r="AO45" s="8">
        <f t="array" ref="AO45">COUNT(IF(Referee1=$A45,IF(AwayTeam=AO$4,1)))+COUNT(IF(Referee2=$A45,IF(AwayTeam=AO$4,1)))</f>
        <v>0</v>
      </c>
      <c r="AP45" s="8">
        <f t="array" ref="AP45">COUNT(IF(Referee1=$A45,IF(AwayTeam=AP$4,1)))+COUNT(IF(Referee2=$A45,IF(AwayTeam=AP$4,1)))</f>
        <v>0</v>
      </c>
    </row>
    <row r="46" spans="1:42" x14ac:dyDescent="0.2">
      <c r="A46" s="8" t="str">
        <f>IF(Info!A43&lt;&gt;0,Info!A43,"")</f>
        <v>Referee 42</v>
      </c>
      <c r="B46" s="8">
        <f t="shared" si="0"/>
        <v>0</v>
      </c>
      <c r="C46" s="8">
        <f t="array" ref="C46">COUNT(IF(Referee1=$A46,IF(HomeTeam=C$4,1)))+COUNT(IF(Referee2=$A46,IF(HomeTeam=C$4,1)))</f>
        <v>0</v>
      </c>
      <c r="D46" s="8">
        <f t="array" ref="D46">COUNT(IF(Referee1=$A46,IF(HomeTeam=D$4,1)))+COUNT(IF(Referee2=$A46,IF(HomeTeam=D$4,1)))</f>
        <v>0</v>
      </c>
      <c r="E46" s="8">
        <f t="array" ref="E46">COUNT(IF(Referee1=$A46,IF(HomeTeam=E$4,1)))+COUNT(IF(Referee2=$A46,IF(HomeTeam=E$4,1)))</f>
        <v>0</v>
      </c>
      <c r="F46" s="8">
        <f t="array" ref="F46">COUNT(IF(Referee1=$A46,IF(HomeTeam=F$4,1)))+COUNT(IF(Referee2=$A46,IF(HomeTeam=F$4,1)))</f>
        <v>0</v>
      </c>
      <c r="G46" s="8">
        <f t="array" ref="G46">COUNT(IF(Referee1=$A46,IF(HomeTeam=G$4,1)))+COUNT(IF(Referee2=$A46,IF(HomeTeam=G$4,1)))</f>
        <v>0</v>
      </c>
      <c r="H46" s="8">
        <f t="array" ref="H46">COUNT(IF(Referee1=$A46,IF(HomeTeam=H$4,1)))+COUNT(IF(Referee2=$A46,IF(HomeTeam=H$4,1)))</f>
        <v>0</v>
      </c>
      <c r="I46" s="8">
        <f t="array" ref="I46">COUNT(IF(Referee1=$A46,IF(HomeTeam=I$4,1)))+COUNT(IF(Referee2=$A46,IF(HomeTeam=I$4,1)))</f>
        <v>0</v>
      </c>
      <c r="J46" s="8">
        <f t="array" ref="J46">COUNT(IF(Referee1=$A46,IF(HomeTeam=J$4,1)))+COUNT(IF(Referee2=$A46,IF(HomeTeam=J$4,1)))</f>
        <v>0</v>
      </c>
      <c r="K46" s="8">
        <f t="array" ref="K46">COUNT(IF(Referee1=$A46,IF(HomeTeam=K$4,1)))+COUNT(IF(Referee2=$A46,IF(HomeTeam=K$4,1)))</f>
        <v>0</v>
      </c>
      <c r="L46" s="8">
        <f t="array" ref="L46">COUNT(IF(Referee1=$A46,IF(HomeTeam=L$4,1)))+COUNT(IF(Referee2=$A46,IF(HomeTeam=L$4,1)))</f>
        <v>0</v>
      </c>
      <c r="M46" s="8">
        <f t="array" ref="M46">COUNT(IF(Referee1=$A46,IF(HomeTeam=M$4,1)))+COUNT(IF(Referee2=$A46,IF(HomeTeam=M$4,1)))</f>
        <v>0</v>
      </c>
      <c r="N46" s="8">
        <f t="array" ref="N46">COUNT(IF(Referee1=$A46,IF(HomeTeam=N$4,1)))+COUNT(IF(Referee2=$A46,IF(HomeTeam=N$4,1)))</f>
        <v>0</v>
      </c>
      <c r="O46" s="8">
        <f t="array" ref="O46">COUNT(IF(Referee1=$A46,IF(HomeTeam=O$4,1)))+COUNT(IF(Referee2=$A46,IF(HomeTeam=O$4,1)))</f>
        <v>0</v>
      </c>
      <c r="P46" s="8">
        <f t="array" ref="P46">COUNT(IF(Referee1=$A46,IF(HomeTeam=P$4,1)))+COUNT(IF(Referee2=$A46,IF(HomeTeam=P$4,1)))</f>
        <v>0</v>
      </c>
      <c r="Q46" s="8">
        <f t="array" ref="Q46">COUNT(IF(Referee1=$A46,IF(HomeTeam=Q$4,1)))+COUNT(IF(Referee2=$A46,IF(HomeTeam=Q$4,1)))</f>
        <v>0</v>
      </c>
      <c r="R46" s="8">
        <f t="array" ref="R46">COUNT(IF(Referee1=$A46,IF(HomeTeam=R$4,1)))+COUNT(IF(Referee2=$A46,IF(HomeTeam=R$4,1)))</f>
        <v>0</v>
      </c>
      <c r="S46" s="8">
        <f t="array" ref="S46">COUNT(IF(Referee1=$A46,IF(HomeTeam=S$4,1)))+COUNT(IF(Referee2=$A46,IF(HomeTeam=S$4,1)))</f>
        <v>0</v>
      </c>
      <c r="T46" s="8">
        <f t="array" ref="T46">COUNT(IF(Referee1=$A46,IF(HomeTeam=T$4,1)))+COUNT(IF(Referee2=$A46,IF(HomeTeam=T$4,1)))</f>
        <v>0</v>
      </c>
      <c r="U46" s="8">
        <f t="array" ref="U46">COUNT(IF(Referee1=$A46,IF(HomeTeam=U$4,1)))+COUNT(IF(Referee2=$A46,IF(HomeTeam=U$4,1)))</f>
        <v>0</v>
      </c>
      <c r="V46" s="8">
        <f t="array" ref="V46">COUNT(IF(Referee1=$A46,IF(HomeTeam=V$4,1)))+COUNT(IF(Referee2=$A46,IF(HomeTeam=V$4,1)))</f>
        <v>0</v>
      </c>
      <c r="W46" s="8">
        <f t="array" ref="W46">COUNT(IF(Referee1=$A46,IF(AwayTeam=W$4,1)))+COUNT(IF(Referee2=$A46,IF(AwayTeam=W$4,1)))</f>
        <v>0</v>
      </c>
      <c r="X46" s="8">
        <f t="array" ref="X46">COUNT(IF(Referee1=$A46,IF(AwayTeam=X$4,1)))+COUNT(IF(Referee2=$A46,IF(AwayTeam=X$4,1)))</f>
        <v>0</v>
      </c>
      <c r="Y46" s="8">
        <f t="array" ref="Y46">COUNT(IF(Referee1=$A46,IF(AwayTeam=Y$4,1)))+COUNT(IF(Referee2=$A46,IF(AwayTeam=Y$4,1)))</f>
        <v>0</v>
      </c>
      <c r="Z46" s="8">
        <f t="array" ref="Z46">COUNT(IF(Referee1=$A46,IF(AwayTeam=Z$4,1)))+COUNT(IF(Referee2=$A46,IF(AwayTeam=Z$4,1)))</f>
        <v>0</v>
      </c>
      <c r="AA46" s="8">
        <f t="array" ref="AA46">COUNT(IF(Referee1=$A46,IF(AwayTeam=AA$4,1)))+COUNT(IF(Referee2=$A46,IF(AwayTeam=AA$4,1)))</f>
        <v>0</v>
      </c>
      <c r="AB46" s="8">
        <f t="array" ref="AB46">COUNT(IF(Referee1=$A46,IF(AwayTeam=AB$4,1)))+COUNT(IF(Referee2=$A46,IF(AwayTeam=AB$4,1)))</f>
        <v>0</v>
      </c>
      <c r="AC46" s="8">
        <f t="array" ref="AC46">COUNT(IF(Referee1=$A46,IF(AwayTeam=AC$4,1)))+COUNT(IF(Referee2=$A46,IF(AwayTeam=AC$4,1)))</f>
        <v>0</v>
      </c>
      <c r="AD46" s="8">
        <f t="array" ref="AD46">COUNT(IF(Referee1=$A46,IF(AwayTeam=AD$4,1)))+COUNT(IF(Referee2=$A46,IF(AwayTeam=AD$4,1)))</f>
        <v>0</v>
      </c>
      <c r="AE46" s="8">
        <f t="array" ref="AE46">COUNT(IF(Referee1=$A46,IF(AwayTeam=AE$4,1)))+COUNT(IF(Referee2=$A46,IF(AwayTeam=AE$4,1)))</f>
        <v>0</v>
      </c>
      <c r="AF46" s="8">
        <f t="array" ref="AF46">COUNT(IF(Referee1=$A46,IF(AwayTeam=AF$4,1)))+COUNT(IF(Referee2=$A46,IF(AwayTeam=AF$4,1)))</f>
        <v>0</v>
      </c>
      <c r="AG46" s="8">
        <f t="array" ref="AG46">COUNT(IF(Referee1=$A46,IF(AwayTeam=AG$4,1)))+COUNT(IF(Referee2=$A46,IF(AwayTeam=AG$4,1)))</f>
        <v>0</v>
      </c>
      <c r="AH46" s="8">
        <f t="array" ref="AH46">COUNT(IF(Referee1=$A46,IF(AwayTeam=AH$4,1)))+COUNT(IF(Referee2=$A46,IF(AwayTeam=AH$4,1)))</f>
        <v>0</v>
      </c>
      <c r="AI46" s="8">
        <f t="array" ref="AI46">COUNT(IF(Referee1=$A46,IF(AwayTeam=AI$4,1)))+COUNT(IF(Referee2=$A46,IF(AwayTeam=AI$4,1)))</f>
        <v>0</v>
      </c>
      <c r="AJ46" s="8">
        <f t="array" ref="AJ46">COUNT(IF(Referee1=$A46,IF(AwayTeam=AJ$4,1)))+COUNT(IF(Referee2=$A46,IF(AwayTeam=AJ$4,1)))</f>
        <v>0</v>
      </c>
      <c r="AK46" s="8">
        <f t="array" ref="AK46">COUNT(IF(Referee1=$A46,IF(AwayTeam=AK$4,1)))+COUNT(IF(Referee2=$A46,IF(AwayTeam=AK$4,1)))</f>
        <v>0</v>
      </c>
      <c r="AL46" s="8">
        <f t="array" ref="AL46">COUNT(IF(Referee1=$A46,IF(AwayTeam=AL$4,1)))+COUNT(IF(Referee2=$A46,IF(AwayTeam=AL$4,1)))</f>
        <v>0</v>
      </c>
      <c r="AM46" s="8">
        <f t="array" ref="AM46">COUNT(IF(Referee1=$A46,IF(AwayTeam=AM$4,1)))+COUNT(IF(Referee2=$A46,IF(AwayTeam=AM$4,1)))</f>
        <v>0</v>
      </c>
      <c r="AN46" s="8">
        <f t="array" ref="AN46">COUNT(IF(Referee1=$A46,IF(AwayTeam=AN$4,1)))+COUNT(IF(Referee2=$A46,IF(AwayTeam=AN$4,1)))</f>
        <v>0</v>
      </c>
      <c r="AO46" s="8">
        <f t="array" ref="AO46">COUNT(IF(Referee1=$A46,IF(AwayTeam=AO$4,1)))+COUNT(IF(Referee2=$A46,IF(AwayTeam=AO$4,1)))</f>
        <v>0</v>
      </c>
      <c r="AP46" s="8">
        <f t="array" ref="AP46">COUNT(IF(Referee1=$A46,IF(AwayTeam=AP$4,1)))+COUNT(IF(Referee2=$A46,IF(AwayTeam=AP$4,1)))</f>
        <v>0</v>
      </c>
    </row>
    <row r="47" spans="1:42" x14ac:dyDescent="0.2">
      <c r="A47" s="8" t="str">
        <f>IF(Info!A44&lt;&gt;0,Info!A44,"")</f>
        <v>Referee 43</v>
      </c>
      <c r="B47" s="8">
        <f t="shared" si="0"/>
        <v>0</v>
      </c>
      <c r="C47" s="8">
        <f t="array" ref="C47">COUNT(IF(Referee1=$A47,IF(HomeTeam=C$4,1)))+COUNT(IF(Referee2=$A47,IF(HomeTeam=C$4,1)))</f>
        <v>0</v>
      </c>
      <c r="D47" s="8">
        <f t="array" ref="D47">COUNT(IF(Referee1=$A47,IF(HomeTeam=D$4,1)))+COUNT(IF(Referee2=$A47,IF(HomeTeam=D$4,1)))</f>
        <v>0</v>
      </c>
      <c r="E47" s="8">
        <f t="array" ref="E47">COUNT(IF(Referee1=$A47,IF(HomeTeam=E$4,1)))+COUNT(IF(Referee2=$A47,IF(HomeTeam=E$4,1)))</f>
        <v>0</v>
      </c>
      <c r="F47" s="8">
        <f t="array" ref="F47">COUNT(IF(Referee1=$A47,IF(HomeTeam=F$4,1)))+COUNT(IF(Referee2=$A47,IF(HomeTeam=F$4,1)))</f>
        <v>0</v>
      </c>
      <c r="G47" s="8">
        <f t="array" ref="G47">COUNT(IF(Referee1=$A47,IF(HomeTeam=G$4,1)))+COUNT(IF(Referee2=$A47,IF(HomeTeam=G$4,1)))</f>
        <v>0</v>
      </c>
      <c r="H47" s="8">
        <f t="array" ref="H47">COUNT(IF(Referee1=$A47,IF(HomeTeam=H$4,1)))+COUNT(IF(Referee2=$A47,IF(HomeTeam=H$4,1)))</f>
        <v>0</v>
      </c>
      <c r="I47" s="8">
        <f t="array" ref="I47">COUNT(IF(Referee1=$A47,IF(HomeTeam=I$4,1)))+COUNT(IF(Referee2=$A47,IF(HomeTeam=I$4,1)))</f>
        <v>0</v>
      </c>
      <c r="J47" s="8">
        <f t="array" ref="J47">COUNT(IF(Referee1=$A47,IF(HomeTeam=J$4,1)))+COUNT(IF(Referee2=$A47,IF(HomeTeam=J$4,1)))</f>
        <v>0</v>
      </c>
      <c r="K47" s="8">
        <f t="array" ref="K47">COUNT(IF(Referee1=$A47,IF(HomeTeam=K$4,1)))+COUNT(IF(Referee2=$A47,IF(HomeTeam=K$4,1)))</f>
        <v>0</v>
      </c>
      <c r="L47" s="8">
        <f t="array" ref="L47">COUNT(IF(Referee1=$A47,IF(HomeTeam=L$4,1)))+COUNT(IF(Referee2=$A47,IF(HomeTeam=L$4,1)))</f>
        <v>0</v>
      </c>
      <c r="M47" s="8">
        <f t="array" ref="M47">COUNT(IF(Referee1=$A47,IF(HomeTeam=M$4,1)))+COUNT(IF(Referee2=$A47,IF(HomeTeam=M$4,1)))</f>
        <v>0</v>
      </c>
      <c r="N47" s="8">
        <f t="array" ref="N47">COUNT(IF(Referee1=$A47,IF(HomeTeam=N$4,1)))+COUNT(IF(Referee2=$A47,IF(HomeTeam=N$4,1)))</f>
        <v>0</v>
      </c>
      <c r="O47" s="8">
        <f t="array" ref="O47">COUNT(IF(Referee1=$A47,IF(HomeTeam=O$4,1)))+COUNT(IF(Referee2=$A47,IF(HomeTeam=O$4,1)))</f>
        <v>0</v>
      </c>
      <c r="P47" s="8">
        <f t="array" ref="P47">COUNT(IF(Referee1=$A47,IF(HomeTeam=P$4,1)))+COUNT(IF(Referee2=$A47,IF(HomeTeam=P$4,1)))</f>
        <v>0</v>
      </c>
      <c r="Q47" s="8">
        <f t="array" ref="Q47">COUNT(IF(Referee1=$A47,IF(HomeTeam=Q$4,1)))+COUNT(IF(Referee2=$A47,IF(HomeTeam=Q$4,1)))</f>
        <v>0</v>
      </c>
      <c r="R47" s="8">
        <f t="array" ref="R47">COUNT(IF(Referee1=$A47,IF(HomeTeam=R$4,1)))+COUNT(IF(Referee2=$A47,IF(HomeTeam=R$4,1)))</f>
        <v>0</v>
      </c>
      <c r="S47" s="8">
        <f t="array" ref="S47">COUNT(IF(Referee1=$A47,IF(HomeTeam=S$4,1)))+COUNT(IF(Referee2=$A47,IF(HomeTeam=S$4,1)))</f>
        <v>0</v>
      </c>
      <c r="T47" s="8">
        <f t="array" ref="T47">COUNT(IF(Referee1=$A47,IF(HomeTeam=T$4,1)))+COUNT(IF(Referee2=$A47,IF(HomeTeam=T$4,1)))</f>
        <v>0</v>
      </c>
      <c r="U47" s="8">
        <f t="array" ref="U47">COUNT(IF(Referee1=$A47,IF(HomeTeam=U$4,1)))+COUNT(IF(Referee2=$A47,IF(HomeTeam=U$4,1)))</f>
        <v>0</v>
      </c>
      <c r="V47" s="8">
        <f t="array" ref="V47">COUNT(IF(Referee1=$A47,IF(HomeTeam=V$4,1)))+COUNT(IF(Referee2=$A47,IF(HomeTeam=V$4,1)))</f>
        <v>0</v>
      </c>
      <c r="W47" s="8">
        <f t="array" ref="W47">COUNT(IF(Referee1=$A47,IF(AwayTeam=W$4,1)))+COUNT(IF(Referee2=$A47,IF(AwayTeam=W$4,1)))</f>
        <v>0</v>
      </c>
      <c r="X47" s="8">
        <f t="array" ref="X47">COUNT(IF(Referee1=$A47,IF(AwayTeam=X$4,1)))+COUNT(IF(Referee2=$A47,IF(AwayTeam=X$4,1)))</f>
        <v>0</v>
      </c>
      <c r="Y47" s="8">
        <f t="array" ref="Y47">COUNT(IF(Referee1=$A47,IF(AwayTeam=Y$4,1)))+COUNT(IF(Referee2=$A47,IF(AwayTeam=Y$4,1)))</f>
        <v>0</v>
      </c>
      <c r="Z47" s="8">
        <f t="array" ref="Z47">COUNT(IF(Referee1=$A47,IF(AwayTeam=Z$4,1)))+COUNT(IF(Referee2=$A47,IF(AwayTeam=Z$4,1)))</f>
        <v>0</v>
      </c>
      <c r="AA47" s="8">
        <f t="array" ref="AA47">COUNT(IF(Referee1=$A47,IF(AwayTeam=AA$4,1)))+COUNT(IF(Referee2=$A47,IF(AwayTeam=AA$4,1)))</f>
        <v>0</v>
      </c>
      <c r="AB47" s="8">
        <f t="array" ref="AB47">COUNT(IF(Referee1=$A47,IF(AwayTeam=AB$4,1)))+COUNT(IF(Referee2=$A47,IF(AwayTeam=AB$4,1)))</f>
        <v>0</v>
      </c>
      <c r="AC47" s="8">
        <f t="array" ref="AC47">COUNT(IF(Referee1=$A47,IF(AwayTeam=AC$4,1)))+COUNT(IF(Referee2=$A47,IF(AwayTeam=AC$4,1)))</f>
        <v>0</v>
      </c>
      <c r="AD47" s="8">
        <f t="array" ref="AD47">COUNT(IF(Referee1=$A47,IF(AwayTeam=AD$4,1)))+COUNT(IF(Referee2=$A47,IF(AwayTeam=AD$4,1)))</f>
        <v>0</v>
      </c>
      <c r="AE47" s="8">
        <f t="array" ref="AE47">COUNT(IF(Referee1=$A47,IF(AwayTeam=AE$4,1)))+COUNT(IF(Referee2=$A47,IF(AwayTeam=AE$4,1)))</f>
        <v>0</v>
      </c>
      <c r="AF47" s="8">
        <f t="array" ref="AF47">COUNT(IF(Referee1=$A47,IF(AwayTeam=AF$4,1)))+COUNT(IF(Referee2=$A47,IF(AwayTeam=AF$4,1)))</f>
        <v>0</v>
      </c>
      <c r="AG47" s="8">
        <f t="array" ref="AG47">COUNT(IF(Referee1=$A47,IF(AwayTeam=AG$4,1)))+COUNT(IF(Referee2=$A47,IF(AwayTeam=AG$4,1)))</f>
        <v>0</v>
      </c>
      <c r="AH47" s="8">
        <f t="array" ref="AH47">COUNT(IF(Referee1=$A47,IF(AwayTeam=AH$4,1)))+COUNT(IF(Referee2=$A47,IF(AwayTeam=AH$4,1)))</f>
        <v>0</v>
      </c>
      <c r="AI47" s="8">
        <f t="array" ref="AI47">COUNT(IF(Referee1=$A47,IF(AwayTeam=AI$4,1)))+COUNT(IF(Referee2=$A47,IF(AwayTeam=AI$4,1)))</f>
        <v>0</v>
      </c>
      <c r="AJ47" s="8">
        <f t="array" ref="AJ47">COUNT(IF(Referee1=$A47,IF(AwayTeam=AJ$4,1)))+COUNT(IF(Referee2=$A47,IF(AwayTeam=AJ$4,1)))</f>
        <v>0</v>
      </c>
      <c r="AK47" s="8">
        <f t="array" ref="AK47">COUNT(IF(Referee1=$A47,IF(AwayTeam=AK$4,1)))+COUNT(IF(Referee2=$A47,IF(AwayTeam=AK$4,1)))</f>
        <v>0</v>
      </c>
      <c r="AL47" s="8">
        <f t="array" ref="AL47">COUNT(IF(Referee1=$A47,IF(AwayTeam=AL$4,1)))+COUNT(IF(Referee2=$A47,IF(AwayTeam=AL$4,1)))</f>
        <v>0</v>
      </c>
      <c r="AM47" s="8">
        <f t="array" ref="AM47">COUNT(IF(Referee1=$A47,IF(AwayTeam=AM$4,1)))+COUNT(IF(Referee2=$A47,IF(AwayTeam=AM$4,1)))</f>
        <v>0</v>
      </c>
      <c r="AN47" s="8">
        <f t="array" ref="AN47">COUNT(IF(Referee1=$A47,IF(AwayTeam=AN$4,1)))+COUNT(IF(Referee2=$A47,IF(AwayTeam=AN$4,1)))</f>
        <v>0</v>
      </c>
      <c r="AO47" s="8">
        <f t="array" ref="AO47">COUNT(IF(Referee1=$A47,IF(AwayTeam=AO$4,1)))+COUNT(IF(Referee2=$A47,IF(AwayTeam=AO$4,1)))</f>
        <v>0</v>
      </c>
      <c r="AP47" s="8">
        <f t="array" ref="AP47">COUNT(IF(Referee1=$A47,IF(AwayTeam=AP$4,1)))+COUNT(IF(Referee2=$A47,IF(AwayTeam=AP$4,1)))</f>
        <v>0</v>
      </c>
    </row>
    <row r="48" spans="1:42" x14ac:dyDescent="0.2">
      <c r="A48" s="8" t="str">
        <f>IF(Info!A45&lt;&gt;0,Info!A45,"")</f>
        <v>Referee 44</v>
      </c>
      <c r="B48" s="8">
        <f t="shared" si="0"/>
        <v>0</v>
      </c>
      <c r="C48" s="8">
        <f t="array" ref="C48">COUNT(IF(Referee1=$A48,IF(HomeTeam=C$4,1)))+COUNT(IF(Referee2=$A48,IF(HomeTeam=C$4,1)))</f>
        <v>0</v>
      </c>
      <c r="D48" s="8">
        <f t="array" ref="D48">COUNT(IF(Referee1=$A48,IF(HomeTeam=D$4,1)))+COUNT(IF(Referee2=$A48,IF(HomeTeam=D$4,1)))</f>
        <v>0</v>
      </c>
      <c r="E48" s="8">
        <f t="array" ref="E48">COUNT(IF(Referee1=$A48,IF(HomeTeam=E$4,1)))+COUNT(IF(Referee2=$A48,IF(HomeTeam=E$4,1)))</f>
        <v>0</v>
      </c>
      <c r="F48" s="8">
        <f t="array" ref="F48">COUNT(IF(Referee1=$A48,IF(HomeTeam=F$4,1)))+COUNT(IF(Referee2=$A48,IF(HomeTeam=F$4,1)))</f>
        <v>0</v>
      </c>
      <c r="G48" s="8">
        <f t="array" ref="G48">COUNT(IF(Referee1=$A48,IF(HomeTeam=G$4,1)))+COUNT(IF(Referee2=$A48,IF(HomeTeam=G$4,1)))</f>
        <v>0</v>
      </c>
      <c r="H48" s="8">
        <f t="array" ref="H48">COUNT(IF(Referee1=$A48,IF(HomeTeam=H$4,1)))+COUNT(IF(Referee2=$A48,IF(HomeTeam=H$4,1)))</f>
        <v>0</v>
      </c>
      <c r="I48" s="8">
        <f t="array" ref="I48">COUNT(IF(Referee1=$A48,IF(HomeTeam=I$4,1)))+COUNT(IF(Referee2=$A48,IF(HomeTeam=I$4,1)))</f>
        <v>0</v>
      </c>
      <c r="J48" s="8">
        <f t="array" ref="J48">COUNT(IF(Referee1=$A48,IF(HomeTeam=J$4,1)))+COUNT(IF(Referee2=$A48,IF(HomeTeam=J$4,1)))</f>
        <v>0</v>
      </c>
      <c r="K48" s="8">
        <f t="array" ref="K48">COUNT(IF(Referee1=$A48,IF(HomeTeam=K$4,1)))+COUNT(IF(Referee2=$A48,IF(HomeTeam=K$4,1)))</f>
        <v>0</v>
      </c>
      <c r="L48" s="8">
        <f t="array" ref="L48">COUNT(IF(Referee1=$A48,IF(HomeTeam=L$4,1)))+COUNT(IF(Referee2=$A48,IF(HomeTeam=L$4,1)))</f>
        <v>0</v>
      </c>
      <c r="M48" s="8">
        <f t="array" ref="M48">COUNT(IF(Referee1=$A48,IF(HomeTeam=M$4,1)))+COUNT(IF(Referee2=$A48,IF(HomeTeam=M$4,1)))</f>
        <v>0</v>
      </c>
      <c r="N48" s="8">
        <f t="array" ref="N48">COUNT(IF(Referee1=$A48,IF(HomeTeam=N$4,1)))+COUNT(IF(Referee2=$A48,IF(HomeTeam=N$4,1)))</f>
        <v>0</v>
      </c>
      <c r="O48" s="8">
        <f t="array" ref="O48">COUNT(IF(Referee1=$A48,IF(HomeTeam=O$4,1)))+COUNT(IF(Referee2=$A48,IF(HomeTeam=O$4,1)))</f>
        <v>0</v>
      </c>
      <c r="P48" s="8">
        <f t="array" ref="P48">COUNT(IF(Referee1=$A48,IF(HomeTeam=P$4,1)))+COUNT(IF(Referee2=$A48,IF(HomeTeam=P$4,1)))</f>
        <v>0</v>
      </c>
      <c r="Q48" s="8">
        <f t="array" ref="Q48">COUNT(IF(Referee1=$A48,IF(HomeTeam=Q$4,1)))+COUNT(IF(Referee2=$A48,IF(HomeTeam=Q$4,1)))</f>
        <v>0</v>
      </c>
      <c r="R48" s="8">
        <f t="array" ref="R48">COUNT(IF(Referee1=$A48,IF(HomeTeam=R$4,1)))+COUNT(IF(Referee2=$A48,IF(HomeTeam=R$4,1)))</f>
        <v>0</v>
      </c>
      <c r="S48" s="8">
        <f t="array" ref="S48">COUNT(IF(Referee1=$A48,IF(HomeTeam=S$4,1)))+COUNT(IF(Referee2=$A48,IF(HomeTeam=S$4,1)))</f>
        <v>0</v>
      </c>
      <c r="T48" s="8">
        <f t="array" ref="T48">COUNT(IF(Referee1=$A48,IF(HomeTeam=T$4,1)))+COUNT(IF(Referee2=$A48,IF(HomeTeam=T$4,1)))</f>
        <v>0</v>
      </c>
      <c r="U48" s="8">
        <f t="array" ref="U48">COUNT(IF(Referee1=$A48,IF(HomeTeam=U$4,1)))+COUNT(IF(Referee2=$A48,IF(HomeTeam=U$4,1)))</f>
        <v>0</v>
      </c>
      <c r="V48" s="8">
        <f t="array" ref="V48">COUNT(IF(Referee1=$A48,IF(HomeTeam=V$4,1)))+COUNT(IF(Referee2=$A48,IF(HomeTeam=V$4,1)))</f>
        <v>0</v>
      </c>
      <c r="W48" s="8">
        <f t="array" ref="W48">COUNT(IF(Referee1=$A48,IF(AwayTeam=W$4,1)))+COUNT(IF(Referee2=$A48,IF(AwayTeam=W$4,1)))</f>
        <v>0</v>
      </c>
      <c r="X48" s="8">
        <f t="array" ref="X48">COUNT(IF(Referee1=$A48,IF(AwayTeam=X$4,1)))+COUNT(IF(Referee2=$A48,IF(AwayTeam=X$4,1)))</f>
        <v>0</v>
      </c>
      <c r="Y48" s="8">
        <f t="array" ref="Y48">COUNT(IF(Referee1=$A48,IF(AwayTeam=Y$4,1)))+COUNT(IF(Referee2=$A48,IF(AwayTeam=Y$4,1)))</f>
        <v>0</v>
      </c>
      <c r="Z48" s="8">
        <f t="array" ref="Z48">COUNT(IF(Referee1=$A48,IF(AwayTeam=Z$4,1)))+COUNT(IF(Referee2=$A48,IF(AwayTeam=Z$4,1)))</f>
        <v>0</v>
      </c>
      <c r="AA48" s="8">
        <f t="array" ref="AA48">COUNT(IF(Referee1=$A48,IF(AwayTeam=AA$4,1)))+COUNT(IF(Referee2=$A48,IF(AwayTeam=AA$4,1)))</f>
        <v>0</v>
      </c>
      <c r="AB48" s="8">
        <f t="array" ref="AB48">COUNT(IF(Referee1=$A48,IF(AwayTeam=AB$4,1)))+COUNT(IF(Referee2=$A48,IF(AwayTeam=AB$4,1)))</f>
        <v>0</v>
      </c>
      <c r="AC48" s="8">
        <f t="array" ref="AC48">COUNT(IF(Referee1=$A48,IF(AwayTeam=AC$4,1)))+COUNT(IF(Referee2=$A48,IF(AwayTeam=AC$4,1)))</f>
        <v>0</v>
      </c>
      <c r="AD48" s="8">
        <f t="array" ref="AD48">COUNT(IF(Referee1=$A48,IF(AwayTeam=AD$4,1)))+COUNT(IF(Referee2=$A48,IF(AwayTeam=AD$4,1)))</f>
        <v>0</v>
      </c>
      <c r="AE48" s="8">
        <f t="array" ref="AE48">COUNT(IF(Referee1=$A48,IF(AwayTeam=AE$4,1)))+COUNT(IF(Referee2=$A48,IF(AwayTeam=AE$4,1)))</f>
        <v>0</v>
      </c>
      <c r="AF48" s="8">
        <f t="array" ref="AF48">COUNT(IF(Referee1=$A48,IF(AwayTeam=AF$4,1)))+COUNT(IF(Referee2=$A48,IF(AwayTeam=AF$4,1)))</f>
        <v>0</v>
      </c>
      <c r="AG48" s="8">
        <f t="array" ref="AG48">COUNT(IF(Referee1=$A48,IF(AwayTeam=AG$4,1)))+COUNT(IF(Referee2=$A48,IF(AwayTeam=AG$4,1)))</f>
        <v>0</v>
      </c>
      <c r="AH48" s="8">
        <f t="array" ref="AH48">COUNT(IF(Referee1=$A48,IF(AwayTeam=AH$4,1)))+COUNT(IF(Referee2=$A48,IF(AwayTeam=AH$4,1)))</f>
        <v>0</v>
      </c>
      <c r="AI48" s="8">
        <f t="array" ref="AI48">COUNT(IF(Referee1=$A48,IF(AwayTeam=AI$4,1)))+COUNT(IF(Referee2=$A48,IF(AwayTeam=AI$4,1)))</f>
        <v>0</v>
      </c>
      <c r="AJ48" s="8">
        <f t="array" ref="AJ48">COUNT(IF(Referee1=$A48,IF(AwayTeam=AJ$4,1)))+COUNT(IF(Referee2=$A48,IF(AwayTeam=AJ$4,1)))</f>
        <v>0</v>
      </c>
      <c r="AK48" s="8">
        <f t="array" ref="AK48">COUNT(IF(Referee1=$A48,IF(AwayTeam=AK$4,1)))+COUNT(IF(Referee2=$A48,IF(AwayTeam=AK$4,1)))</f>
        <v>0</v>
      </c>
      <c r="AL48" s="8">
        <f t="array" ref="AL48">COUNT(IF(Referee1=$A48,IF(AwayTeam=AL$4,1)))+COUNT(IF(Referee2=$A48,IF(AwayTeam=AL$4,1)))</f>
        <v>0</v>
      </c>
      <c r="AM48" s="8">
        <f t="array" ref="AM48">COUNT(IF(Referee1=$A48,IF(AwayTeam=AM$4,1)))+COUNT(IF(Referee2=$A48,IF(AwayTeam=AM$4,1)))</f>
        <v>0</v>
      </c>
      <c r="AN48" s="8">
        <f t="array" ref="AN48">COUNT(IF(Referee1=$A48,IF(AwayTeam=AN$4,1)))+COUNT(IF(Referee2=$A48,IF(AwayTeam=AN$4,1)))</f>
        <v>0</v>
      </c>
      <c r="AO48" s="8">
        <f t="array" ref="AO48">COUNT(IF(Referee1=$A48,IF(AwayTeam=AO$4,1)))+COUNT(IF(Referee2=$A48,IF(AwayTeam=AO$4,1)))</f>
        <v>0</v>
      </c>
      <c r="AP48" s="8">
        <f t="array" ref="AP48">COUNT(IF(Referee1=$A48,IF(AwayTeam=AP$4,1)))+COUNT(IF(Referee2=$A48,IF(AwayTeam=AP$4,1)))</f>
        <v>0</v>
      </c>
    </row>
    <row r="49" spans="1:42" x14ac:dyDescent="0.2">
      <c r="A49" s="8" t="str">
        <f>IF(Info!A46&lt;&gt;0,Info!A46,"")</f>
        <v>Referee 45</v>
      </c>
      <c r="B49" s="8">
        <f t="shared" si="0"/>
        <v>0</v>
      </c>
      <c r="C49" s="8">
        <f t="array" ref="C49">COUNT(IF(Referee1=$A49,IF(HomeTeam=C$4,1)))+COUNT(IF(Referee2=$A49,IF(HomeTeam=C$4,1)))</f>
        <v>0</v>
      </c>
      <c r="D49" s="8">
        <f t="array" ref="D49">COUNT(IF(Referee1=$A49,IF(HomeTeam=D$4,1)))+COUNT(IF(Referee2=$A49,IF(HomeTeam=D$4,1)))</f>
        <v>0</v>
      </c>
      <c r="E49" s="8">
        <f t="array" ref="E49">COUNT(IF(Referee1=$A49,IF(HomeTeam=E$4,1)))+COUNT(IF(Referee2=$A49,IF(HomeTeam=E$4,1)))</f>
        <v>0</v>
      </c>
      <c r="F49" s="8">
        <f t="array" ref="F49">COUNT(IF(Referee1=$A49,IF(HomeTeam=F$4,1)))+COUNT(IF(Referee2=$A49,IF(HomeTeam=F$4,1)))</f>
        <v>0</v>
      </c>
      <c r="G49" s="8">
        <f t="array" ref="G49">COUNT(IF(Referee1=$A49,IF(HomeTeam=G$4,1)))+COUNT(IF(Referee2=$A49,IF(HomeTeam=G$4,1)))</f>
        <v>0</v>
      </c>
      <c r="H49" s="8">
        <f t="array" ref="H49">COUNT(IF(Referee1=$A49,IF(HomeTeam=H$4,1)))+COUNT(IF(Referee2=$A49,IF(HomeTeam=H$4,1)))</f>
        <v>0</v>
      </c>
      <c r="I49" s="8">
        <f t="array" ref="I49">COUNT(IF(Referee1=$A49,IF(HomeTeam=I$4,1)))+COUNT(IF(Referee2=$A49,IF(HomeTeam=I$4,1)))</f>
        <v>0</v>
      </c>
      <c r="J49" s="8">
        <f t="array" ref="J49">COUNT(IF(Referee1=$A49,IF(HomeTeam=J$4,1)))+COUNT(IF(Referee2=$A49,IF(HomeTeam=J$4,1)))</f>
        <v>0</v>
      </c>
      <c r="K49" s="8">
        <f t="array" ref="K49">COUNT(IF(Referee1=$A49,IF(HomeTeam=K$4,1)))+COUNT(IF(Referee2=$A49,IF(HomeTeam=K$4,1)))</f>
        <v>0</v>
      </c>
      <c r="L49" s="8">
        <f t="array" ref="L49">COUNT(IF(Referee1=$A49,IF(HomeTeam=L$4,1)))+COUNT(IF(Referee2=$A49,IF(HomeTeam=L$4,1)))</f>
        <v>0</v>
      </c>
      <c r="M49" s="8">
        <f t="array" ref="M49">COUNT(IF(Referee1=$A49,IF(HomeTeam=M$4,1)))+COUNT(IF(Referee2=$A49,IF(HomeTeam=M$4,1)))</f>
        <v>0</v>
      </c>
      <c r="N49" s="8">
        <f t="array" ref="N49">COUNT(IF(Referee1=$A49,IF(HomeTeam=N$4,1)))+COUNT(IF(Referee2=$A49,IF(HomeTeam=N$4,1)))</f>
        <v>0</v>
      </c>
      <c r="O49" s="8">
        <f t="array" ref="O49">COUNT(IF(Referee1=$A49,IF(HomeTeam=O$4,1)))+COUNT(IF(Referee2=$A49,IF(HomeTeam=O$4,1)))</f>
        <v>0</v>
      </c>
      <c r="P49" s="8">
        <f t="array" ref="P49">COUNT(IF(Referee1=$A49,IF(HomeTeam=P$4,1)))+COUNT(IF(Referee2=$A49,IF(HomeTeam=P$4,1)))</f>
        <v>0</v>
      </c>
      <c r="Q49" s="8">
        <f t="array" ref="Q49">COUNT(IF(Referee1=$A49,IF(HomeTeam=Q$4,1)))+COUNT(IF(Referee2=$A49,IF(HomeTeam=Q$4,1)))</f>
        <v>0</v>
      </c>
      <c r="R49" s="8">
        <f t="array" ref="R49">COUNT(IF(Referee1=$A49,IF(HomeTeam=R$4,1)))+COUNT(IF(Referee2=$A49,IF(HomeTeam=R$4,1)))</f>
        <v>0</v>
      </c>
      <c r="S49" s="8">
        <f t="array" ref="S49">COUNT(IF(Referee1=$A49,IF(HomeTeam=S$4,1)))+COUNT(IF(Referee2=$A49,IF(HomeTeam=S$4,1)))</f>
        <v>0</v>
      </c>
      <c r="T49" s="8">
        <f t="array" ref="T49">COUNT(IF(Referee1=$A49,IF(HomeTeam=T$4,1)))+COUNT(IF(Referee2=$A49,IF(HomeTeam=T$4,1)))</f>
        <v>0</v>
      </c>
      <c r="U49" s="8">
        <f t="array" ref="U49">COUNT(IF(Referee1=$A49,IF(HomeTeam=U$4,1)))+COUNT(IF(Referee2=$A49,IF(HomeTeam=U$4,1)))</f>
        <v>0</v>
      </c>
      <c r="V49" s="8">
        <f t="array" ref="V49">COUNT(IF(Referee1=$A49,IF(HomeTeam=V$4,1)))+COUNT(IF(Referee2=$A49,IF(HomeTeam=V$4,1)))</f>
        <v>0</v>
      </c>
      <c r="W49" s="8">
        <f t="array" ref="W49">COUNT(IF(Referee1=$A49,IF(AwayTeam=W$4,1)))+COUNT(IF(Referee2=$A49,IF(AwayTeam=W$4,1)))</f>
        <v>0</v>
      </c>
      <c r="X49" s="8">
        <f t="array" ref="X49">COUNT(IF(Referee1=$A49,IF(AwayTeam=X$4,1)))+COUNT(IF(Referee2=$A49,IF(AwayTeam=X$4,1)))</f>
        <v>0</v>
      </c>
      <c r="Y49" s="8">
        <f t="array" ref="Y49">COUNT(IF(Referee1=$A49,IF(AwayTeam=Y$4,1)))+COUNT(IF(Referee2=$A49,IF(AwayTeam=Y$4,1)))</f>
        <v>0</v>
      </c>
      <c r="Z49" s="8">
        <f t="array" ref="Z49">COUNT(IF(Referee1=$A49,IF(AwayTeam=Z$4,1)))+COUNT(IF(Referee2=$A49,IF(AwayTeam=Z$4,1)))</f>
        <v>0</v>
      </c>
      <c r="AA49" s="8">
        <f t="array" ref="AA49">COUNT(IF(Referee1=$A49,IF(AwayTeam=AA$4,1)))+COUNT(IF(Referee2=$A49,IF(AwayTeam=AA$4,1)))</f>
        <v>0</v>
      </c>
      <c r="AB49" s="8">
        <f t="array" ref="AB49">COUNT(IF(Referee1=$A49,IF(AwayTeam=AB$4,1)))+COUNT(IF(Referee2=$A49,IF(AwayTeam=AB$4,1)))</f>
        <v>0</v>
      </c>
      <c r="AC49" s="8">
        <f t="array" ref="AC49">COUNT(IF(Referee1=$A49,IF(AwayTeam=AC$4,1)))+COUNT(IF(Referee2=$A49,IF(AwayTeam=AC$4,1)))</f>
        <v>0</v>
      </c>
      <c r="AD49" s="8">
        <f t="array" ref="AD49">COUNT(IF(Referee1=$A49,IF(AwayTeam=AD$4,1)))+COUNT(IF(Referee2=$A49,IF(AwayTeam=AD$4,1)))</f>
        <v>0</v>
      </c>
      <c r="AE49" s="8">
        <f t="array" ref="AE49">COUNT(IF(Referee1=$A49,IF(AwayTeam=AE$4,1)))+COUNT(IF(Referee2=$A49,IF(AwayTeam=AE$4,1)))</f>
        <v>0</v>
      </c>
      <c r="AF49" s="8">
        <f t="array" ref="AF49">COUNT(IF(Referee1=$A49,IF(AwayTeam=AF$4,1)))+COUNT(IF(Referee2=$A49,IF(AwayTeam=AF$4,1)))</f>
        <v>0</v>
      </c>
      <c r="AG49" s="8">
        <f t="array" ref="AG49">COUNT(IF(Referee1=$A49,IF(AwayTeam=AG$4,1)))+COUNT(IF(Referee2=$A49,IF(AwayTeam=AG$4,1)))</f>
        <v>0</v>
      </c>
      <c r="AH49" s="8">
        <f t="array" ref="AH49">COUNT(IF(Referee1=$A49,IF(AwayTeam=AH$4,1)))+COUNT(IF(Referee2=$A49,IF(AwayTeam=AH$4,1)))</f>
        <v>0</v>
      </c>
      <c r="AI49" s="8">
        <f t="array" ref="AI49">COUNT(IF(Referee1=$A49,IF(AwayTeam=AI$4,1)))+COUNT(IF(Referee2=$A49,IF(AwayTeam=AI$4,1)))</f>
        <v>0</v>
      </c>
      <c r="AJ49" s="8">
        <f t="array" ref="AJ49">COUNT(IF(Referee1=$A49,IF(AwayTeam=AJ$4,1)))+COUNT(IF(Referee2=$A49,IF(AwayTeam=AJ$4,1)))</f>
        <v>0</v>
      </c>
      <c r="AK49" s="8">
        <f t="array" ref="AK49">COUNT(IF(Referee1=$A49,IF(AwayTeam=AK$4,1)))+COUNT(IF(Referee2=$A49,IF(AwayTeam=AK$4,1)))</f>
        <v>0</v>
      </c>
      <c r="AL49" s="8">
        <f t="array" ref="AL49">COUNT(IF(Referee1=$A49,IF(AwayTeam=AL$4,1)))+COUNT(IF(Referee2=$A49,IF(AwayTeam=AL$4,1)))</f>
        <v>0</v>
      </c>
      <c r="AM49" s="8">
        <f t="array" ref="AM49">COUNT(IF(Referee1=$A49,IF(AwayTeam=AM$4,1)))+COUNT(IF(Referee2=$A49,IF(AwayTeam=AM$4,1)))</f>
        <v>0</v>
      </c>
      <c r="AN49" s="8">
        <f t="array" ref="AN49">COUNT(IF(Referee1=$A49,IF(AwayTeam=AN$4,1)))+COUNT(IF(Referee2=$A49,IF(AwayTeam=AN$4,1)))</f>
        <v>0</v>
      </c>
      <c r="AO49" s="8">
        <f t="array" ref="AO49">COUNT(IF(Referee1=$A49,IF(AwayTeam=AO$4,1)))+COUNT(IF(Referee2=$A49,IF(AwayTeam=AO$4,1)))</f>
        <v>0</v>
      </c>
      <c r="AP49" s="8">
        <f t="array" ref="AP49">COUNT(IF(Referee1=$A49,IF(AwayTeam=AP$4,1)))+COUNT(IF(Referee2=$A49,IF(AwayTeam=AP$4,1)))</f>
        <v>0</v>
      </c>
    </row>
    <row r="50" spans="1:42" x14ac:dyDescent="0.2">
      <c r="A50" s="8" t="str">
        <f>IF(Info!A47&lt;&gt;0,Info!A47,"")</f>
        <v>Referee 46</v>
      </c>
      <c r="B50" s="8">
        <f t="shared" si="0"/>
        <v>0</v>
      </c>
      <c r="C50" s="8">
        <f t="array" ref="C50">COUNT(IF(Referee1=$A50,IF(HomeTeam=C$4,1)))+COUNT(IF(Referee2=$A50,IF(HomeTeam=C$4,1)))</f>
        <v>0</v>
      </c>
      <c r="D50" s="8">
        <f t="array" ref="D50">COUNT(IF(Referee1=$A50,IF(HomeTeam=D$4,1)))+COUNT(IF(Referee2=$A50,IF(HomeTeam=D$4,1)))</f>
        <v>0</v>
      </c>
      <c r="E50" s="8">
        <f t="array" ref="E50">COUNT(IF(Referee1=$A50,IF(HomeTeam=E$4,1)))+COUNT(IF(Referee2=$A50,IF(HomeTeam=E$4,1)))</f>
        <v>0</v>
      </c>
      <c r="F50" s="8">
        <f t="array" ref="F50">COUNT(IF(Referee1=$A50,IF(HomeTeam=F$4,1)))+COUNT(IF(Referee2=$A50,IF(HomeTeam=F$4,1)))</f>
        <v>0</v>
      </c>
      <c r="G50" s="8">
        <f t="array" ref="G50">COUNT(IF(Referee1=$A50,IF(HomeTeam=G$4,1)))+COUNT(IF(Referee2=$A50,IF(HomeTeam=G$4,1)))</f>
        <v>0</v>
      </c>
      <c r="H50" s="8">
        <f t="array" ref="H50">COUNT(IF(Referee1=$A50,IF(HomeTeam=H$4,1)))+COUNT(IF(Referee2=$A50,IF(HomeTeam=H$4,1)))</f>
        <v>0</v>
      </c>
      <c r="I50" s="8">
        <f t="array" ref="I50">COUNT(IF(Referee1=$A50,IF(HomeTeam=I$4,1)))+COUNT(IF(Referee2=$A50,IF(HomeTeam=I$4,1)))</f>
        <v>0</v>
      </c>
      <c r="J50" s="8">
        <f t="array" ref="J50">COUNT(IF(Referee1=$A50,IF(HomeTeam=J$4,1)))+COUNT(IF(Referee2=$A50,IF(HomeTeam=J$4,1)))</f>
        <v>0</v>
      </c>
      <c r="K50" s="8">
        <f t="array" ref="K50">COUNT(IF(Referee1=$A50,IF(HomeTeam=K$4,1)))+COUNT(IF(Referee2=$A50,IF(HomeTeam=K$4,1)))</f>
        <v>0</v>
      </c>
      <c r="L50" s="8">
        <f t="array" ref="L50">COUNT(IF(Referee1=$A50,IF(HomeTeam=L$4,1)))+COUNT(IF(Referee2=$A50,IF(HomeTeam=L$4,1)))</f>
        <v>0</v>
      </c>
      <c r="M50" s="8">
        <f t="array" ref="M50">COUNT(IF(Referee1=$A50,IF(HomeTeam=M$4,1)))+COUNT(IF(Referee2=$A50,IF(HomeTeam=M$4,1)))</f>
        <v>0</v>
      </c>
      <c r="N50" s="8">
        <f t="array" ref="N50">COUNT(IF(Referee1=$A50,IF(HomeTeam=N$4,1)))+COUNT(IF(Referee2=$A50,IF(HomeTeam=N$4,1)))</f>
        <v>0</v>
      </c>
      <c r="O50" s="8">
        <f t="array" ref="O50">COUNT(IF(Referee1=$A50,IF(HomeTeam=O$4,1)))+COUNT(IF(Referee2=$A50,IF(HomeTeam=O$4,1)))</f>
        <v>0</v>
      </c>
      <c r="P50" s="8">
        <f t="array" ref="P50">COUNT(IF(Referee1=$A50,IF(HomeTeam=P$4,1)))+COUNT(IF(Referee2=$A50,IF(HomeTeam=P$4,1)))</f>
        <v>0</v>
      </c>
      <c r="Q50" s="8">
        <f t="array" ref="Q50">COUNT(IF(Referee1=$A50,IF(HomeTeam=Q$4,1)))+COUNT(IF(Referee2=$A50,IF(HomeTeam=Q$4,1)))</f>
        <v>0</v>
      </c>
      <c r="R50" s="8">
        <f t="array" ref="R50">COUNT(IF(Referee1=$A50,IF(HomeTeam=R$4,1)))+COUNT(IF(Referee2=$A50,IF(HomeTeam=R$4,1)))</f>
        <v>0</v>
      </c>
      <c r="S50" s="8">
        <f t="array" ref="S50">COUNT(IF(Referee1=$A50,IF(HomeTeam=S$4,1)))+COUNT(IF(Referee2=$A50,IF(HomeTeam=S$4,1)))</f>
        <v>0</v>
      </c>
      <c r="T50" s="8">
        <f t="array" ref="T50">COUNT(IF(Referee1=$A50,IF(HomeTeam=T$4,1)))+COUNT(IF(Referee2=$A50,IF(HomeTeam=T$4,1)))</f>
        <v>0</v>
      </c>
      <c r="U50" s="8">
        <f t="array" ref="U50">COUNT(IF(Referee1=$A50,IF(HomeTeam=U$4,1)))+COUNT(IF(Referee2=$A50,IF(HomeTeam=U$4,1)))</f>
        <v>0</v>
      </c>
      <c r="V50" s="8">
        <f t="array" ref="V50">COUNT(IF(Referee1=$A50,IF(HomeTeam=V$4,1)))+COUNT(IF(Referee2=$A50,IF(HomeTeam=V$4,1)))</f>
        <v>0</v>
      </c>
      <c r="W50" s="8">
        <f t="array" ref="W50">COUNT(IF(Referee1=$A50,IF(AwayTeam=W$4,1)))+COUNT(IF(Referee2=$A50,IF(AwayTeam=W$4,1)))</f>
        <v>0</v>
      </c>
      <c r="X50" s="8">
        <f t="array" ref="X50">COUNT(IF(Referee1=$A50,IF(AwayTeam=X$4,1)))+COUNT(IF(Referee2=$A50,IF(AwayTeam=X$4,1)))</f>
        <v>0</v>
      </c>
      <c r="Y50" s="8">
        <f t="array" ref="Y50">COUNT(IF(Referee1=$A50,IF(AwayTeam=Y$4,1)))+COUNT(IF(Referee2=$A50,IF(AwayTeam=Y$4,1)))</f>
        <v>0</v>
      </c>
      <c r="Z50" s="8">
        <f t="array" ref="Z50">COUNT(IF(Referee1=$A50,IF(AwayTeam=Z$4,1)))+COUNT(IF(Referee2=$A50,IF(AwayTeam=Z$4,1)))</f>
        <v>0</v>
      </c>
      <c r="AA50" s="8">
        <f t="array" ref="AA50">COUNT(IF(Referee1=$A50,IF(AwayTeam=AA$4,1)))+COUNT(IF(Referee2=$A50,IF(AwayTeam=AA$4,1)))</f>
        <v>0</v>
      </c>
      <c r="AB50" s="8">
        <f t="array" ref="AB50">COUNT(IF(Referee1=$A50,IF(AwayTeam=AB$4,1)))+COUNT(IF(Referee2=$A50,IF(AwayTeam=AB$4,1)))</f>
        <v>0</v>
      </c>
      <c r="AC50" s="8">
        <f t="array" ref="AC50">COUNT(IF(Referee1=$A50,IF(AwayTeam=AC$4,1)))+COUNT(IF(Referee2=$A50,IF(AwayTeam=AC$4,1)))</f>
        <v>0</v>
      </c>
      <c r="AD50" s="8">
        <f t="array" ref="AD50">COUNT(IF(Referee1=$A50,IF(AwayTeam=AD$4,1)))+COUNT(IF(Referee2=$A50,IF(AwayTeam=AD$4,1)))</f>
        <v>0</v>
      </c>
      <c r="AE50" s="8">
        <f t="array" ref="AE50">COUNT(IF(Referee1=$A50,IF(AwayTeam=AE$4,1)))+COUNT(IF(Referee2=$A50,IF(AwayTeam=AE$4,1)))</f>
        <v>0</v>
      </c>
      <c r="AF50" s="8">
        <f t="array" ref="AF50">COUNT(IF(Referee1=$A50,IF(AwayTeam=AF$4,1)))+COUNT(IF(Referee2=$A50,IF(AwayTeam=AF$4,1)))</f>
        <v>0</v>
      </c>
      <c r="AG50" s="8">
        <f t="array" ref="AG50">COUNT(IF(Referee1=$A50,IF(AwayTeam=AG$4,1)))+COUNT(IF(Referee2=$A50,IF(AwayTeam=AG$4,1)))</f>
        <v>0</v>
      </c>
      <c r="AH50" s="8">
        <f t="array" ref="AH50">COUNT(IF(Referee1=$A50,IF(AwayTeam=AH$4,1)))+COUNT(IF(Referee2=$A50,IF(AwayTeam=AH$4,1)))</f>
        <v>0</v>
      </c>
      <c r="AI50" s="8">
        <f t="array" ref="AI50">COUNT(IF(Referee1=$A50,IF(AwayTeam=AI$4,1)))+COUNT(IF(Referee2=$A50,IF(AwayTeam=AI$4,1)))</f>
        <v>0</v>
      </c>
      <c r="AJ50" s="8">
        <f t="array" ref="AJ50">COUNT(IF(Referee1=$A50,IF(AwayTeam=AJ$4,1)))+COUNT(IF(Referee2=$A50,IF(AwayTeam=AJ$4,1)))</f>
        <v>0</v>
      </c>
      <c r="AK50" s="8">
        <f t="array" ref="AK50">COUNT(IF(Referee1=$A50,IF(AwayTeam=AK$4,1)))+COUNT(IF(Referee2=$A50,IF(AwayTeam=AK$4,1)))</f>
        <v>0</v>
      </c>
      <c r="AL50" s="8">
        <f t="array" ref="AL50">COUNT(IF(Referee1=$A50,IF(AwayTeam=AL$4,1)))+COUNT(IF(Referee2=$A50,IF(AwayTeam=AL$4,1)))</f>
        <v>0</v>
      </c>
      <c r="AM50" s="8">
        <f t="array" ref="AM50">COUNT(IF(Referee1=$A50,IF(AwayTeam=AM$4,1)))+COUNT(IF(Referee2=$A50,IF(AwayTeam=AM$4,1)))</f>
        <v>0</v>
      </c>
      <c r="AN50" s="8">
        <f t="array" ref="AN50">COUNT(IF(Referee1=$A50,IF(AwayTeam=AN$4,1)))+COUNT(IF(Referee2=$A50,IF(AwayTeam=AN$4,1)))</f>
        <v>0</v>
      </c>
      <c r="AO50" s="8">
        <f t="array" ref="AO50">COUNT(IF(Referee1=$A50,IF(AwayTeam=AO$4,1)))+COUNT(IF(Referee2=$A50,IF(AwayTeam=AO$4,1)))</f>
        <v>0</v>
      </c>
      <c r="AP50" s="8">
        <f t="array" ref="AP50">COUNT(IF(Referee1=$A50,IF(AwayTeam=AP$4,1)))+COUNT(IF(Referee2=$A50,IF(AwayTeam=AP$4,1)))</f>
        <v>0</v>
      </c>
    </row>
    <row r="51" spans="1:42" x14ac:dyDescent="0.2">
      <c r="A51" s="8" t="str">
        <f>IF(Info!A48&lt;&gt;0,Info!A48,"")</f>
        <v>Referee 47</v>
      </c>
      <c r="B51" s="8">
        <f t="shared" si="0"/>
        <v>0</v>
      </c>
      <c r="C51" s="8">
        <f t="array" ref="C51">COUNT(IF(Referee1=$A51,IF(HomeTeam=C$4,1)))+COUNT(IF(Referee2=$A51,IF(HomeTeam=C$4,1)))</f>
        <v>0</v>
      </c>
      <c r="D51" s="8">
        <f t="array" ref="D51">COUNT(IF(Referee1=$A51,IF(HomeTeam=D$4,1)))+COUNT(IF(Referee2=$A51,IF(HomeTeam=D$4,1)))</f>
        <v>0</v>
      </c>
      <c r="E51" s="8">
        <f t="array" ref="E51">COUNT(IF(Referee1=$A51,IF(HomeTeam=E$4,1)))+COUNT(IF(Referee2=$A51,IF(HomeTeam=E$4,1)))</f>
        <v>0</v>
      </c>
      <c r="F51" s="8">
        <f t="array" ref="F51">COUNT(IF(Referee1=$A51,IF(HomeTeam=F$4,1)))+COUNT(IF(Referee2=$A51,IF(HomeTeam=F$4,1)))</f>
        <v>0</v>
      </c>
      <c r="G51" s="8">
        <f t="array" ref="G51">COUNT(IF(Referee1=$A51,IF(HomeTeam=G$4,1)))+COUNT(IF(Referee2=$A51,IF(HomeTeam=G$4,1)))</f>
        <v>0</v>
      </c>
      <c r="H51" s="8">
        <f t="array" ref="H51">COUNT(IF(Referee1=$A51,IF(HomeTeam=H$4,1)))+COUNT(IF(Referee2=$A51,IF(HomeTeam=H$4,1)))</f>
        <v>0</v>
      </c>
      <c r="I51" s="8">
        <f t="array" ref="I51">COUNT(IF(Referee1=$A51,IF(HomeTeam=I$4,1)))+COUNT(IF(Referee2=$A51,IF(HomeTeam=I$4,1)))</f>
        <v>0</v>
      </c>
      <c r="J51" s="8">
        <f t="array" ref="J51">COUNT(IF(Referee1=$A51,IF(HomeTeam=J$4,1)))+COUNT(IF(Referee2=$A51,IF(HomeTeam=J$4,1)))</f>
        <v>0</v>
      </c>
      <c r="K51" s="8">
        <f t="array" ref="K51">COUNT(IF(Referee1=$A51,IF(HomeTeam=K$4,1)))+COUNT(IF(Referee2=$A51,IF(HomeTeam=K$4,1)))</f>
        <v>0</v>
      </c>
      <c r="L51" s="8">
        <f t="array" ref="L51">COUNT(IF(Referee1=$A51,IF(HomeTeam=L$4,1)))+COUNT(IF(Referee2=$A51,IF(HomeTeam=L$4,1)))</f>
        <v>0</v>
      </c>
      <c r="M51" s="8">
        <f t="array" ref="M51">COUNT(IF(Referee1=$A51,IF(HomeTeam=M$4,1)))+COUNT(IF(Referee2=$A51,IF(HomeTeam=M$4,1)))</f>
        <v>0</v>
      </c>
      <c r="N51" s="8">
        <f t="array" ref="N51">COUNT(IF(Referee1=$A51,IF(HomeTeam=N$4,1)))+COUNT(IF(Referee2=$A51,IF(HomeTeam=N$4,1)))</f>
        <v>0</v>
      </c>
      <c r="O51" s="8">
        <f t="array" ref="O51">COUNT(IF(Referee1=$A51,IF(HomeTeam=O$4,1)))+COUNT(IF(Referee2=$A51,IF(HomeTeam=O$4,1)))</f>
        <v>0</v>
      </c>
      <c r="P51" s="8">
        <f t="array" ref="P51">COUNT(IF(Referee1=$A51,IF(HomeTeam=P$4,1)))+COUNT(IF(Referee2=$A51,IF(HomeTeam=P$4,1)))</f>
        <v>0</v>
      </c>
      <c r="Q51" s="8">
        <f t="array" ref="Q51">COUNT(IF(Referee1=$A51,IF(HomeTeam=Q$4,1)))+COUNT(IF(Referee2=$A51,IF(HomeTeam=Q$4,1)))</f>
        <v>0</v>
      </c>
      <c r="R51" s="8">
        <f t="array" ref="R51">COUNT(IF(Referee1=$A51,IF(HomeTeam=R$4,1)))+COUNT(IF(Referee2=$A51,IF(HomeTeam=R$4,1)))</f>
        <v>0</v>
      </c>
      <c r="S51" s="8">
        <f t="array" ref="S51">COUNT(IF(Referee1=$A51,IF(HomeTeam=S$4,1)))+COUNT(IF(Referee2=$A51,IF(HomeTeam=S$4,1)))</f>
        <v>0</v>
      </c>
      <c r="T51" s="8">
        <f t="array" ref="T51">COUNT(IF(Referee1=$A51,IF(HomeTeam=T$4,1)))+COUNT(IF(Referee2=$A51,IF(HomeTeam=T$4,1)))</f>
        <v>0</v>
      </c>
      <c r="U51" s="8">
        <f t="array" ref="U51">COUNT(IF(Referee1=$A51,IF(HomeTeam=U$4,1)))+COUNT(IF(Referee2=$A51,IF(HomeTeam=U$4,1)))</f>
        <v>0</v>
      </c>
      <c r="V51" s="8">
        <f t="array" ref="V51">COUNT(IF(Referee1=$A51,IF(HomeTeam=V$4,1)))+COUNT(IF(Referee2=$A51,IF(HomeTeam=V$4,1)))</f>
        <v>0</v>
      </c>
      <c r="W51" s="8">
        <f t="array" ref="W51">COUNT(IF(Referee1=$A51,IF(AwayTeam=W$4,1)))+COUNT(IF(Referee2=$A51,IF(AwayTeam=W$4,1)))</f>
        <v>0</v>
      </c>
      <c r="X51" s="8">
        <f t="array" ref="X51">COUNT(IF(Referee1=$A51,IF(AwayTeam=X$4,1)))+COUNT(IF(Referee2=$A51,IF(AwayTeam=X$4,1)))</f>
        <v>0</v>
      </c>
      <c r="Y51" s="8">
        <f t="array" ref="Y51">COUNT(IF(Referee1=$A51,IF(AwayTeam=Y$4,1)))+COUNT(IF(Referee2=$A51,IF(AwayTeam=Y$4,1)))</f>
        <v>0</v>
      </c>
      <c r="Z51" s="8">
        <f t="array" ref="Z51">COUNT(IF(Referee1=$A51,IF(AwayTeam=Z$4,1)))+COUNT(IF(Referee2=$A51,IF(AwayTeam=Z$4,1)))</f>
        <v>0</v>
      </c>
      <c r="AA51" s="8">
        <f t="array" ref="AA51">COUNT(IF(Referee1=$A51,IF(AwayTeam=AA$4,1)))+COUNT(IF(Referee2=$A51,IF(AwayTeam=AA$4,1)))</f>
        <v>0</v>
      </c>
      <c r="AB51" s="8">
        <f t="array" ref="AB51">COUNT(IF(Referee1=$A51,IF(AwayTeam=AB$4,1)))+COUNT(IF(Referee2=$A51,IF(AwayTeam=AB$4,1)))</f>
        <v>0</v>
      </c>
      <c r="AC51" s="8">
        <f t="array" ref="AC51">COUNT(IF(Referee1=$A51,IF(AwayTeam=AC$4,1)))+COUNT(IF(Referee2=$A51,IF(AwayTeam=AC$4,1)))</f>
        <v>0</v>
      </c>
      <c r="AD51" s="8">
        <f t="array" ref="AD51">COUNT(IF(Referee1=$A51,IF(AwayTeam=AD$4,1)))+COUNT(IF(Referee2=$A51,IF(AwayTeam=AD$4,1)))</f>
        <v>0</v>
      </c>
      <c r="AE51" s="8">
        <f t="array" ref="AE51">COUNT(IF(Referee1=$A51,IF(AwayTeam=AE$4,1)))+COUNT(IF(Referee2=$A51,IF(AwayTeam=AE$4,1)))</f>
        <v>0</v>
      </c>
      <c r="AF51" s="8">
        <f t="array" ref="AF51">COUNT(IF(Referee1=$A51,IF(AwayTeam=AF$4,1)))+COUNT(IF(Referee2=$A51,IF(AwayTeam=AF$4,1)))</f>
        <v>0</v>
      </c>
      <c r="AG51" s="8">
        <f t="array" ref="AG51">COUNT(IF(Referee1=$A51,IF(AwayTeam=AG$4,1)))+COUNT(IF(Referee2=$A51,IF(AwayTeam=AG$4,1)))</f>
        <v>0</v>
      </c>
      <c r="AH51" s="8">
        <f t="array" ref="AH51">COUNT(IF(Referee1=$A51,IF(AwayTeam=AH$4,1)))+COUNT(IF(Referee2=$A51,IF(AwayTeam=AH$4,1)))</f>
        <v>0</v>
      </c>
      <c r="AI51" s="8">
        <f t="array" ref="AI51">COUNT(IF(Referee1=$A51,IF(AwayTeam=AI$4,1)))+COUNT(IF(Referee2=$A51,IF(AwayTeam=AI$4,1)))</f>
        <v>0</v>
      </c>
      <c r="AJ51" s="8">
        <f t="array" ref="AJ51">COUNT(IF(Referee1=$A51,IF(AwayTeam=AJ$4,1)))+COUNT(IF(Referee2=$A51,IF(AwayTeam=AJ$4,1)))</f>
        <v>0</v>
      </c>
      <c r="AK51" s="8">
        <f t="array" ref="AK51">COUNT(IF(Referee1=$A51,IF(AwayTeam=AK$4,1)))+COUNT(IF(Referee2=$A51,IF(AwayTeam=AK$4,1)))</f>
        <v>0</v>
      </c>
      <c r="AL51" s="8">
        <f t="array" ref="AL51">COUNT(IF(Referee1=$A51,IF(AwayTeam=AL$4,1)))+COUNT(IF(Referee2=$A51,IF(AwayTeam=AL$4,1)))</f>
        <v>0</v>
      </c>
      <c r="AM51" s="8">
        <f t="array" ref="AM51">COUNT(IF(Referee1=$A51,IF(AwayTeam=AM$4,1)))+COUNT(IF(Referee2=$A51,IF(AwayTeam=AM$4,1)))</f>
        <v>0</v>
      </c>
      <c r="AN51" s="8">
        <f t="array" ref="AN51">COUNT(IF(Referee1=$A51,IF(AwayTeam=AN$4,1)))+COUNT(IF(Referee2=$A51,IF(AwayTeam=AN$4,1)))</f>
        <v>0</v>
      </c>
      <c r="AO51" s="8">
        <f t="array" ref="AO51">COUNT(IF(Referee1=$A51,IF(AwayTeam=AO$4,1)))+COUNT(IF(Referee2=$A51,IF(AwayTeam=AO$4,1)))</f>
        <v>0</v>
      </c>
      <c r="AP51" s="8">
        <f t="array" ref="AP51">COUNT(IF(Referee1=$A51,IF(AwayTeam=AP$4,1)))+COUNT(IF(Referee2=$A51,IF(AwayTeam=AP$4,1)))</f>
        <v>0</v>
      </c>
    </row>
    <row r="52" spans="1:42" x14ac:dyDescent="0.2">
      <c r="A52" s="8" t="str">
        <f>IF(Info!A49&lt;&gt;0,Info!A49,"")</f>
        <v>Referee 48</v>
      </c>
      <c r="B52" s="8">
        <f t="shared" si="0"/>
        <v>0</v>
      </c>
      <c r="C52" s="8">
        <f t="array" ref="C52">COUNT(IF(Referee1=$A52,IF(HomeTeam=C$4,1)))+COUNT(IF(Referee2=$A52,IF(HomeTeam=C$4,1)))</f>
        <v>0</v>
      </c>
      <c r="D52" s="8">
        <f t="array" ref="D52">COUNT(IF(Referee1=$A52,IF(HomeTeam=D$4,1)))+COUNT(IF(Referee2=$A52,IF(HomeTeam=D$4,1)))</f>
        <v>0</v>
      </c>
      <c r="E52" s="8">
        <f t="array" ref="E52">COUNT(IF(Referee1=$A52,IF(HomeTeam=E$4,1)))+COUNT(IF(Referee2=$A52,IF(HomeTeam=E$4,1)))</f>
        <v>0</v>
      </c>
      <c r="F52" s="8">
        <f t="array" ref="F52">COUNT(IF(Referee1=$A52,IF(HomeTeam=F$4,1)))+COUNT(IF(Referee2=$A52,IF(HomeTeam=F$4,1)))</f>
        <v>0</v>
      </c>
      <c r="G52" s="8">
        <f t="array" ref="G52">COUNT(IF(Referee1=$A52,IF(HomeTeam=G$4,1)))+COUNT(IF(Referee2=$A52,IF(HomeTeam=G$4,1)))</f>
        <v>0</v>
      </c>
      <c r="H52" s="8">
        <f t="array" ref="H52">COUNT(IF(Referee1=$A52,IF(HomeTeam=H$4,1)))+COUNT(IF(Referee2=$A52,IF(HomeTeam=H$4,1)))</f>
        <v>0</v>
      </c>
      <c r="I52" s="8">
        <f t="array" ref="I52">COUNT(IF(Referee1=$A52,IF(HomeTeam=I$4,1)))+COUNT(IF(Referee2=$A52,IF(HomeTeam=I$4,1)))</f>
        <v>0</v>
      </c>
      <c r="J52" s="8">
        <f t="array" ref="J52">COUNT(IF(Referee1=$A52,IF(HomeTeam=J$4,1)))+COUNT(IF(Referee2=$A52,IF(HomeTeam=J$4,1)))</f>
        <v>0</v>
      </c>
      <c r="K52" s="8">
        <f t="array" ref="K52">COUNT(IF(Referee1=$A52,IF(HomeTeam=K$4,1)))+COUNT(IF(Referee2=$A52,IF(HomeTeam=K$4,1)))</f>
        <v>0</v>
      </c>
      <c r="L52" s="8">
        <f t="array" ref="L52">COUNT(IF(Referee1=$A52,IF(HomeTeam=L$4,1)))+COUNT(IF(Referee2=$A52,IF(HomeTeam=L$4,1)))</f>
        <v>0</v>
      </c>
      <c r="M52" s="8">
        <f t="array" ref="M52">COUNT(IF(Referee1=$A52,IF(HomeTeam=M$4,1)))+COUNT(IF(Referee2=$A52,IF(HomeTeam=M$4,1)))</f>
        <v>0</v>
      </c>
      <c r="N52" s="8">
        <f t="array" ref="N52">COUNT(IF(Referee1=$A52,IF(HomeTeam=N$4,1)))+COUNT(IF(Referee2=$A52,IF(HomeTeam=N$4,1)))</f>
        <v>0</v>
      </c>
      <c r="O52" s="8">
        <f t="array" ref="O52">COUNT(IF(Referee1=$A52,IF(HomeTeam=O$4,1)))+COUNT(IF(Referee2=$A52,IF(HomeTeam=O$4,1)))</f>
        <v>0</v>
      </c>
      <c r="P52" s="8">
        <f t="array" ref="P52">COUNT(IF(Referee1=$A52,IF(HomeTeam=P$4,1)))+COUNT(IF(Referee2=$A52,IF(HomeTeam=P$4,1)))</f>
        <v>0</v>
      </c>
      <c r="Q52" s="8">
        <f t="array" ref="Q52">COUNT(IF(Referee1=$A52,IF(HomeTeam=Q$4,1)))+COUNT(IF(Referee2=$A52,IF(HomeTeam=Q$4,1)))</f>
        <v>0</v>
      </c>
      <c r="R52" s="8">
        <f t="array" ref="R52">COUNT(IF(Referee1=$A52,IF(HomeTeam=R$4,1)))+COUNT(IF(Referee2=$A52,IF(HomeTeam=R$4,1)))</f>
        <v>0</v>
      </c>
      <c r="S52" s="8">
        <f t="array" ref="S52">COUNT(IF(Referee1=$A52,IF(HomeTeam=S$4,1)))+COUNT(IF(Referee2=$A52,IF(HomeTeam=S$4,1)))</f>
        <v>0</v>
      </c>
      <c r="T52" s="8">
        <f t="array" ref="T52">COUNT(IF(Referee1=$A52,IF(HomeTeam=T$4,1)))+COUNT(IF(Referee2=$A52,IF(HomeTeam=T$4,1)))</f>
        <v>0</v>
      </c>
      <c r="U52" s="8">
        <f t="array" ref="U52">COUNT(IF(Referee1=$A52,IF(HomeTeam=U$4,1)))+COUNT(IF(Referee2=$A52,IF(HomeTeam=U$4,1)))</f>
        <v>0</v>
      </c>
      <c r="V52" s="8">
        <f t="array" ref="V52">COUNT(IF(Referee1=$A52,IF(HomeTeam=V$4,1)))+COUNT(IF(Referee2=$A52,IF(HomeTeam=V$4,1)))</f>
        <v>0</v>
      </c>
      <c r="W52" s="8">
        <f t="array" ref="W52">COUNT(IF(Referee1=$A52,IF(AwayTeam=W$4,1)))+COUNT(IF(Referee2=$A52,IF(AwayTeam=W$4,1)))</f>
        <v>0</v>
      </c>
      <c r="X52" s="8">
        <f t="array" ref="X52">COUNT(IF(Referee1=$A52,IF(AwayTeam=X$4,1)))+COUNT(IF(Referee2=$A52,IF(AwayTeam=X$4,1)))</f>
        <v>0</v>
      </c>
      <c r="Y52" s="8">
        <f t="array" ref="Y52">COUNT(IF(Referee1=$A52,IF(AwayTeam=Y$4,1)))+COUNT(IF(Referee2=$A52,IF(AwayTeam=Y$4,1)))</f>
        <v>0</v>
      </c>
      <c r="Z52" s="8">
        <f t="array" ref="Z52">COUNT(IF(Referee1=$A52,IF(AwayTeam=Z$4,1)))+COUNT(IF(Referee2=$A52,IF(AwayTeam=Z$4,1)))</f>
        <v>0</v>
      </c>
      <c r="AA52" s="8">
        <f t="array" ref="AA52">COUNT(IF(Referee1=$A52,IF(AwayTeam=AA$4,1)))+COUNT(IF(Referee2=$A52,IF(AwayTeam=AA$4,1)))</f>
        <v>0</v>
      </c>
      <c r="AB52" s="8">
        <f t="array" ref="AB52">COUNT(IF(Referee1=$A52,IF(AwayTeam=AB$4,1)))+COUNT(IF(Referee2=$A52,IF(AwayTeam=AB$4,1)))</f>
        <v>0</v>
      </c>
      <c r="AC52" s="8">
        <f t="array" ref="AC52">COUNT(IF(Referee1=$A52,IF(AwayTeam=AC$4,1)))+COUNT(IF(Referee2=$A52,IF(AwayTeam=AC$4,1)))</f>
        <v>0</v>
      </c>
      <c r="AD52" s="8">
        <f t="array" ref="AD52">COUNT(IF(Referee1=$A52,IF(AwayTeam=AD$4,1)))+COUNT(IF(Referee2=$A52,IF(AwayTeam=AD$4,1)))</f>
        <v>0</v>
      </c>
      <c r="AE52" s="8">
        <f t="array" ref="AE52">COUNT(IF(Referee1=$A52,IF(AwayTeam=AE$4,1)))+COUNT(IF(Referee2=$A52,IF(AwayTeam=AE$4,1)))</f>
        <v>0</v>
      </c>
      <c r="AF52" s="8">
        <f t="array" ref="AF52">COUNT(IF(Referee1=$A52,IF(AwayTeam=AF$4,1)))+COUNT(IF(Referee2=$A52,IF(AwayTeam=AF$4,1)))</f>
        <v>0</v>
      </c>
      <c r="AG52" s="8">
        <f t="array" ref="AG52">COUNT(IF(Referee1=$A52,IF(AwayTeam=AG$4,1)))+COUNT(IF(Referee2=$A52,IF(AwayTeam=AG$4,1)))</f>
        <v>0</v>
      </c>
      <c r="AH52" s="8">
        <f t="array" ref="AH52">COUNT(IF(Referee1=$A52,IF(AwayTeam=AH$4,1)))+COUNT(IF(Referee2=$A52,IF(AwayTeam=AH$4,1)))</f>
        <v>0</v>
      </c>
      <c r="AI52" s="8">
        <f t="array" ref="AI52">COUNT(IF(Referee1=$A52,IF(AwayTeam=AI$4,1)))+COUNT(IF(Referee2=$A52,IF(AwayTeam=AI$4,1)))</f>
        <v>0</v>
      </c>
      <c r="AJ52" s="8">
        <f t="array" ref="AJ52">COUNT(IF(Referee1=$A52,IF(AwayTeam=AJ$4,1)))+COUNT(IF(Referee2=$A52,IF(AwayTeam=AJ$4,1)))</f>
        <v>0</v>
      </c>
      <c r="AK52" s="8">
        <f t="array" ref="AK52">COUNT(IF(Referee1=$A52,IF(AwayTeam=AK$4,1)))+COUNT(IF(Referee2=$A52,IF(AwayTeam=AK$4,1)))</f>
        <v>0</v>
      </c>
      <c r="AL52" s="8">
        <f t="array" ref="AL52">COUNT(IF(Referee1=$A52,IF(AwayTeam=AL$4,1)))+COUNT(IF(Referee2=$A52,IF(AwayTeam=AL$4,1)))</f>
        <v>0</v>
      </c>
      <c r="AM52" s="8">
        <f t="array" ref="AM52">COUNT(IF(Referee1=$A52,IF(AwayTeam=AM$4,1)))+COUNT(IF(Referee2=$A52,IF(AwayTeam=AM$4,1)))</f>
        <v>0</v>
      </c>
      <c r="AN52" s="8">
        <f t="array" ref="AN52">COUNT(IF(Referee1=$A52,IF(AwayTeam=AN$4,1)))+COUNT(IF(Referee2=$A52,IF(AwayTeam=AN$4,1)))</f>
        <v>0</v>
      </c>
      <c r="AO52" s="8">
        <f t="array" ref="AO52">COUNT(IF(Referee1=$A52,IF(AwayTeam=AO$4,1)))+COUNT(IF(Referee2=$A52,IF(AwayTeam=AO$4,1)))</f>
        <v>0</v>
      </c>
      <c r="AP52" s="8">
        <f t="array" ref="AP52">COUNT(IF(Referee1=$A52,IF(AwayTeam=AP$4,1)))+COUNT(IF(Referee2=$A52,IF(AwayTeam=AP$4,1)))</f>
        <v>0</v>
      </c>
    </row>
    <row r="53" spans="1:42" x14ac:dyDescent="0.2">
      <c r="A53" s="8" t="str">
        <f>IF(Info!A50&lt;&gt;0,Info!A50,"")</f>
        <v>Referee 49</v>
      </c>
      <c r="B53" s="8">
        <f t="shared" si="0"/>
        <v>0</v>
      </c>
      <c r="C53" s="8">
        <f t="array" ref="C53">COUNT(IF(Referee1=$A53,IF(HomeTeam=C$4,1)))+COUNT(IF(Referee2=$A53,IF(HomeTeam=C$4,1)))</f>
        <v>0</v>
      </c>
      <c r="D53" s="8">
        <f t="array" ref="D53">COUNT(IF(Referee1=$A53,IF(HomeTeam=D$4,1)))+COUNT(IF(Referee2=$A53,IF(HomeTeam=D$4,1)))</f>
        <v>0</v>
      </c>
      <c r="E53" s="8">
        <f t="array" ref="E53">COUNT(IF(Referee1=$A53,IF(HomeTeam=E$4,1)))+COUNT(IF(Referee2=$A53,IF(HomeTeam=E$4,1)))</f>
        <v>0</v>
      </c>
      <c r="F53" s="8">
        <f t="array" ref="F53">COUNT(IF(Referee1=$A53,IF(HomeTeam=F$4,1)))+COUNT(IF(Referee2=$A53,IF(HomeTeam=F$4,1)))</f>
        <v>0</v>
      </c>
      <c r="G53" s="8">
        <f t="array" ref="G53">COUNT(IF(Referee1=$A53,IF(HomeTeam=G$4,1)))+COUNT(IF(Referee2=$A53,IF(HomeTeam=G$4,1)))</f>
        <v>0</v>
      </c>
      <c r="H53" s="8">
        <f t="array" ref="H53">COUNT(IF(Referee1=$A53,IF(HomeTeam=H$4,1)))+COUNT(IF(Referee2=$A53,IF(HomeTeam=H$4,1)))</f>
        <v>0</v>
      </c>
      <c r="I53" s="8">
        <f t="array" ref="I53">COUNT(IF(Referee1=$A53,IF(HomeTeam=I$4,1)))+COUNT(IF(Referee2=$A53,IF(HomeTeam=I$4,1)))</f>
        <v>0</v>
      </c>
      <c r="J53" s="8">
        <f t="array" ref="J53">COUNT(IF(Referee1=$A53,IF(HomeTeam=J$4,1)))+COUNT(IF(Referee2=$A53,IF(HomeTeam=J$4,1)))</f>
        <v>0</v>
      </c>
      <c r="K53" s="8">
        <f t="array" ref="K53">COUNT(IF(Referee1=$A53,IF(HomeTeam=K$4,1)))+COUNT(IF(Referee2=$A53,IF(HomeTeam=K$4,1)))</f>
        <v>0</v>
      </c>
      <c r="L53" s="8">
        <f t="array" ref="L53">COUNT(IF(Referee1=$A53,IF(HomeTeam=L$4,1)))+COUNT(IF(Referee2=$A53,IF(HomeTeam=L$4,1)))</f>
        <v>0</v>
      </c>
      <c r="M53" s="8">
        <f t="array" ref="M53">COUNT(IF(Referee1=$A53,IF(HomeTeam=M$4,1)))+COUNT(IF(Referee2=$A53,IF(HomeTeam=M$4,1)))</f>
        <v>0</v>
      </c>
      <c r="N53" s="8">
        <f t="array" ref="N53">COUNT(IF(Referee1=$A53,IF(HomeTeam=N$4,1)))+COUNT(IF(Referee2=$A53,IF(HomeTeam=N$4,1)))</f>
        <v>0</v>
      </c>
      <c r="O53" s="8">
        <f t="array" ref="O53">COUNT(IF(Referee1=$A53,IF(HomeTeam=O$4,1)))+COUNT(IF(Referee2=$A53,IF(HomeTeam=O$4,1)))</f>
        <v>0</v>
      </c>
      <c r="P53" s="8">
        <f t="array" ref="P53">COUNT(IF(Referee1=$A53,IF(HomeTeam=P$4,1)))+COUNT(IF(Referee2=$A53,IF(HomeTeam=P$4,1)))</f>
        <v>0</v>
      </c>
      <c r="Q53" s="8">
        <f t="array" ref="Q53">COUNT(IF(Referee1=$A53,IF(HomeTeam=Q$4,1)))+COUNT(IF(Referee2=$A53,IF(HomeTeam=Q$4,1)))</f>
        <v>0</v>
      </c>
      <c r="R53" s="8">
        <f t="array" ref="R53">COUNT(IF(Referee1=$A53,IF(HomeTeam=R$4,1)))+COUNT(IF(Referee2=$A53,IF(HomeTeam=R$4,1)))</f>
        <v>0</v>
      </c>
      <c r="S53" s="8">
        <f t="array" ref="S53">COUNT(IF(Referee1=$A53,IF(HomeTeam=S$4,1)))+COUNT(IF(Referee2=$A53,IF(HomeTeam=S$4,1)))</f>
        <v>0</v>
      </c>
      <c r="T53" s="8">
        <f t="array" ref="T53">COUNT(IF(Referee1=$A53,IF(HomeTeam=T$4,1)))+COUNT(IF(Referee2=$A53,IF(HomeTeam=T$4,1)))</f>
        <v>0</v>
      </c>
      <c r="U53" s="8">
        <f t="array" ref="U53">COUNT(IF(Referee1=$A53,IF(HomeTeam=U$4,1)))+COUNT(IF(Referee2=$A53,IF(HomeTeam=U$4,1)))</f>
        <v>0</v>
      </c>
      <c r="V53" s="8">
        <f t="array" ref="V53">COUNT(IF(Referee1=$A53,IF(HomeTeam=V$4,1)))+COUNT(IF(Referee2=$A53,IF(HomeTeam=V$4,1)))</f>
        <v>0</v>
      </c>
      <c r="W53" s="8">
        <f t="array" ref="W53">COUNT(IF(Referee1=$A53,IF(AwayTeam=W$4,1)))+COUNT(IF(Referee2=$A53,IF(AwayTeam=W$4,1)))</f>
        <v>0</v>
      </c>
      <c r="X53" s="8">
        <f t="array" ref="X53">COUNT(IF(Referee1=$A53,IF(AwayTeam=X$4,1)))+COUNT(IF(Referee2=$A53,IF(AwayTeam=X$4,1)))</f>
        <v>0</v>
      </c>
      <c r="Y53" s="8">
        <f t="array" ref="Y53">COUNT(IF(Referee1=$A53,IF(AwayTeam=Y$4,1)))+COUNT(IF(Referee2=$A53,IF(AwayTeam=Y$4,1)))</f>
        <v>0</v>
      </c>
      <c r="Z53" s="8">
        <f t="array" ref="Z53">COUNT(IF(Referee1=$A53,IF(AwayTeam=Z$4,1)))+COUNT(IF(Referee2=$A53,IF(AwayTeam=Z$4,1)))</f>
        <v>0</v>
      </c>
      <c r="AA53" s="8">
        <f t="array" ref="AA53">COUNT(IF(Referee1=$A53,IF(AwayTeam=AA$4,1)))+COUNT(IF(Referee2=$A53,IF(AwayTeam=AA$4,1)))</f>
        <v>0</v>
      </c>
      <c r="AB53" s="8">
        <f t="array" ref="AB53">COUNT(IF(Referee1=$A53,IF(AwayTeam=AB$4,1)))+COUNT(IF(Referee2=$A53,IF(AwayTeam=AB$4,1)))</f>
        <v>0</v>
      </c>
      <c r="AC53" s="8">
        <f t="array" ref="AC53">COUNT(IF(Referee1=$A53,IF(AwayTeam=AC$4,1)))+COUNT(IF(Referee2=$A53,IF(AwayTeam=AC$4,1)))</f>
        <v>0</v>
      </c>
      <c r="AD53" s="8">
        <f t="array" ref="AD53">COUNT(IF(Referee1=$A53,IF(AwayTeam=AD$4,1)))+COUNT(IF(Referee2=$A53,IF(AwayTeam=AD$4,1)))</f>
        <v>0</v>
      </c>
      <c r="AE53" s="8">
        <f t="array" ref="AE53">COUNT(IF(Referee1=$A53,IF(AwayTeam=AE$4,1)))+COUNT(IF(Referee2=$A53,IF(AwayTeam=AE$4,1)))</f>
        <v>0</v>
      </c>
      <c r="AF53" s="8">
        <f t="array" ref="AF53">COUNT(IF(Referee1=$A53,IF(AwayTeam=AF$4,1)))+COUNT(IF(Referee2=$A53,IF(AwayTeam=AF$4,1)))</f>
        <v>0</v>
      </c>
      <c r="AG53" s="8">
        <f t="array" ref="AG53">COUNT(IF(Referee1=$A53,IF(AwayTeam=AG$4,1)))+COUNT(IF(Referee2=$A53,IF(AwayTeam=AG$4,1)))</f>
        <v>0</v>
      </c>
      <c r="AH53" s="8">
        <f t="array" ref="AH53">COUNT(IF(Referee1=$A53,IF(AwayTeam=AH$4,1)))+COUNT(IF(Referee2=$A53,IF(AwayTeam=AH$4,1)))</f>
        <v>0</v>
      </c>
      <c r="AI53" s="8">
        <f t="array" ref="AI53">COUNT(IF(Referee1=$A53,IF(AwayTeam=AI$4,1)))+COUNT(IF(Referee2=$A53,IF(AwayTeam=AI$4,1)))</f>
        <v>0</v>
      </c>
      <c r="AJ53" s="8">
        <f t="array" ref="AJ53">COUNT(IF(Referee1=$A53,IF(AwayTeam=AJ$4,1)))+COUNT(IF(Referee2=$A53,IF(AwayTeam=AJ$4,1)))</f>
        <v>0</v>
      </c>
      <c r="AK53" s="8">
        <f t="array" ref="AK53">COUNT(IF(Referee1=$A53,IF(AwayTeam=AK$4,1)))+COUNT(IF(Referee2=$A53,IF(AwayTeam=AK$4,1)))</f>
        <v>0</v>
      </c>
      <c r="AL53" s="8">
        <f t="array" ref="AL53">COUNT(IF(Referee1=$A53,IF(AwayTeam=AL$4,1)))+COUNT(IF(Referee2=$A53,IF(AwayTeam=AL$4,1)))</f>
        <v>0</v>
      </c>
      <c r="AM53" s="8">
        <f t="array" ref="AM53">COUNT(IF(Referee1=$A53,IF(AwayTeam=AM$4,1)))+COUNT(IF(Referee2=$A53,IF(AwayTeam=AM$4,1)))</f>
        <v>0</v>
      </c>
      <c r="AN53" s="8">
        <f t="array" ref="AN53">COUNT(IF(Referee1=$A53,IF(AwayTeam=AN$4,1)))+COUNT(IF(Referee2=$A53,IF(AwayTeam=AN$4,1)))</f>
        <v>0</v>
      </c>
      <c r="AO53" s="8">
        <f t="array" ref="AO53">COUNT(IF(Referee1=$A53,IF(AwayTeam=AO$4,1)))+COUNT(IF(Referee2=$A53,IF(AwayTeam=AO$4,1)))</f>
        <v>0</v>
      </c>
      <c r="AP53" s="8">
        <f t="array" ref="AP53">COUNT(IF(Referee1=$A53,IF(AwayTeam=AP$4,1)))+COUNT(IF(Referee2=$A53,IF(AwayTeam=AP$4,1)))</f>
        <v>0</v>
      </c>
    </row>
    <row r="54" spans="1:42" x14ac:dyDescent="0.2">
      <c r="A54" s="8" t="str">
        <f>IF(Info!A51&lt;&gt;0,Info!A51,"")</f>
        <v>Referee 50</v>
      </c>
      <c r="B54" s="8">
        <f t="shared" si="0"/>
        <v>0</v>
      </c>
      <c r="C54" s="8">
        <f t="array" ref="C54">COUNT(IF(Referee1=$A54,IF(HomeTeam=C$4,1)))+COUNT(IF(Referee2=$A54,IF(HomeTeam=C$4,1)))</f>
        <v>0</v>
      </c>
      <c r="D54" s="8">
        <f t="array" ref="D54">COUNT(IF(Referee1=$A54,IF(HomeTeam=D$4,1)))+COUNT(IF(Referee2=$A54,IF(HomeTeam=D$4,1)))</f>
        <v>0</v>
      </c>
      <c r="E54" s="8">
        <f t="array" ref="E54">COUNT(IF(Referee1=$A54,IF(HomeTeam=E$4,1)))+COUNT(IF(Referee2=$A54,IF(HomeTeam=E$4,1)))</f>
        <v>0</v>
      </c>
      <c r="F54" s="8">
        <f t="array" ref="F54">COUNT(IF(Referee1=$A54,IF(HomeTeam=F$4,1)))+COUNT(IF(Referee2=$A54,IF(HomeTeam=F$4,1)))</f>
        <v>0</v>
      </c>
      <c r="G54" s="8">
        <f t="array" ref="G54">COUNT(IF(Referee1=$A54,IF(HomeTeam=G$4,1)))+COUNT(IF(Referee2=$A54,IF(HomeTeam=G$4,1)))</f>
        <v>0</v>
      </c>
      <c r="H54" s="8">
        <f t="array" ref="H54">COUNT(IF(Referee1=$A54,IF(HomeTeam=H$4,1)))+COUNT(IF(Referee2=$A54,IF(HomeTeam=H$4,1)))</f>
        <v>0</v>
      </c>
      <c r="I54" s="8">
        <f t="array" ref="I54">COUNT(IF(Referee1=$A54,IF(HomeTeam=I$4,1)))+COUNT(IF(Referee2=$A54,IF(HomeTeam=I$4,1)))</f>
        <v>0</v>
      </c>
      <c r="J54" s="8">
        <f t="array" ref="J54">COUNT(IF(Referee1=$A54,IF(HomeTeam=J$4,1)))+COUNT(IF(Referee2=$A54,IF(HomeTeam=J$4,1)))</f>
        <v>0</v>
      </c>
      <c r="K54" s="8">
        <f t="array" ref="K54">COUNT(IF(Referee1=$A54,IF(HomeTeam=K$4,1)))+COUNT(IF(Referee2=$A54,IF(HomeTeam=K$4,1)))</f>
        <v>0</v>
      </c>
      <c r="L54" s="8">
        <f t="array" ref="L54">COUNT(IF(Referee1=$A54,IF(HomeTeam=L$4,1)))+COUNT(IF(Referee2=$A54,IF(HomeTeam=L$4,1)))</f>
        <v>0</v>
      </c>
      <c r="M54" s="8">
        <f t="array" ref="M54">COUNT(IF(Referee1=$A54,IF(HomeTeam=M$4,1)))+COUNT(IF(Referee2=$A54,IF(HomeTeam=M$4,1)))</f>
        <v>0</v>
      </c>
      <c r="N54" s="8">
        <f t="array" ref="N54">COUNT(IF(Referee1=$A54,IF(HomeTeam=N$4,1)))+COUNT(IF(Referee2=$A54,IF(HomeTeam=N$4,1)))</f>
        <v>0</v>
      </c>
      <c r="O54" s="8">
        <f t="array" ref="O54">COUNT(IF(Referee1=$A54,IF(HomeTeam=O$4,1)))+COUNT(IF(Referee2=$A54,IF(HomeTeam=O$4,1)))</f>
        <v>0</v>
      </c>
      <c r="P54" s="8">
        <f t="array" ref="P54">COUNT(IF(Referee1=$A54,IF(HomeTeam=P$4,1)))+COUNT(IF(Referee2=$A54,IF(HomeTeam=P$4,1)))</f>
        <v>0</v>
      </c>
      <c r="Q54" s="8">
        <f t="array" ref="Q54">COUNT(IF(Referee1=$A54,IF(HomeTeam=Q$4,1)))+COUNT(IF(Referee2=$A54,IF(HomeTeam=Q$4,1)))</f>
        <v>0</v>
      </c>
      <c r="R54" s="8">
        <f t="array" ref="R54">COUNT(IF(Referee1=$A54,IF(HomeTeam=R$4,1)))+COUNT(IF(Referee2=$A54,IF(HomeTeam=R$4,1)))</f>
        <v>0</v>
      </c>
      <c r="S54" s="8">
        <f t="array" ref="S54">COUNT(IF(Referee1=$A54,IF(HomeTeam=S$4,1)))+COUNT(IF(Referee2=$A54,IF(HomeTeam=S$4,1)))</f>
        <v>0</v>
      </c>
      <c r="T54" s="8">
        <f t="array" ref="T54">COUNT(IF(Referee1=$A54,IF(HomeTeam=T$4,1)))+COUNT(IF(Referee2=$A54,IF(HomeTeam=T$4,1)))</f>
        <v>0</v>
      </c>
      <c r="U54" s="8">
        <f t="array" ref="U54">COUNT(IF(Referee1=$A54,IF(HomeTeam=U$4,1)))+COUNT(IF(Referee2=$A54,IF(HomeTeam=U$4,1)))</f>
        <v>0</v>
      </c>
      <c r="V54" s="8">
        <f t="array" ref="V54">COUNT(IF(Referee1=$A54,IF(HomeTeam=V$4,1)))+COUNT(IF(Referee2=$A54,IF(HomeTeam=V$4,1)))</f>
        <v>0</v>
      </c>
      <c r="W54" s="8">
        <f t="array" ref="W54">COUNT(IF(Referee1=$A54,IF(AwayTeam=W$4,1)))+COUNT(IF(Referee2=$A54,IF(AwayTeam=W$4,1)))</f>
        <v>0</v>
      </c>
      <c r="X54" s="8">
        <f t="array" ref="X54">COUNT(IF(Referee1=$A54,IF(AwayTeam=X$4,1)))+COUNT(IF(Referee2=$A54,IF(AwayTeam=X$4,1)))</f>
        <v>0</v>
      </c>
      <c r="Y54" s="8">
        <f t="array" ref="Y54">COUNT(IF(Referee1=$A54,IF(AwayTeam=Y$4,1)))+COUNT(IF(Referee2=$A54,IF(AwayTeam=Y$4,1)))</f>
        <v>0</v>
      </c>
      <c r="Z54" s="8">
        <f t="array" ref="Z54">COUNT(IF(Referee1=$A54,IF(AwayTeam=Z$4,1)))+COUNT(IF(Referee2=$A54,IF(AwayTeam=Z$4,1)))</f>
        <v>0</v>
      </c>
      <c r="AA54" s="8">
        <f t="array" ref="AA54">COUNT(IF(Referee1=$A54,IF(AwayTeam=AA$4,1)))+COUNT(IF(Referee2=$A54,IF(AwayTeam=AA$4,1)))</f>
        <v>0</v>
      </c>
      <c r="AB54" s="8">
        <f t="array" ref="AB54">COUNT(IF(Referee1=$A54,IF(AwayTeam=AB$4,1)))+COUNT(IF(Referee2=$A54,IF(AwayTeam=AB$4,1)))</f>
        <v>0</v>
      </c>
      <c r="AC54" s="8">
        <f t="array" ref="AC54">COUNT(IF(Referee1=$A54,IF(AwayTeam=AC$4,1)))+COUNT(IF(Referee2=$A54,IF(AwayTeam=AC$4,1)))</f>
        <v>0</v>
      </c>
      <c r="AD54" s="8">
        <f t="array" ref="AD54">COUNT(IF(Referee1=$A54,IF(AwayTeam=AD$4,1)))+COUNT(IF(Referee2=$A54,IF(AwayTeam=AD$4,1)))</f>
        <v>0</v>
      </c>
      <c r="AE54" s="8">
        <f t="array" ref="AE54">COUNT(IF(Referee1=$A54,IF(AwayTeam=AE$4,1)))+COUNT(IF(Referee2=$A54,IF(AwayTeam=AE$4,1)))</f>
        <v>0</v>
      </c>
      <c r="AF54" s="8">
        <f t="array" ref="AF54">COUNT(IF(Referee1=$A54,IF(AwayTeam=AF$4,1)))+COUNT(IF(Referee2=$A54,IF(AwayTeam=AF$4,1)))</f>
        <v>0</v>
      </c>
      <c r="AG54" s="8">
        <f t="array" ref="AG54">COUNT(IF(Referee1=$A54,IF(AwayTeam=AG$4,1)))+COUNT(IF(Referee2=$A54,IF(AwayTeam=AG$4,1)))</f>
        <v>0</v>
      </c>
      <c r="AH54" s="8">
        <f t="array" ref="AH54">COUNT(IF(Referee1=$A54,IF(AwayTeam=AH$4,1)))+COUNT(IF(Referee2=$A54,IF(AwayTeam=AH$4,1)))</f>
        <v>0</v>
      </c>
      <c r="AI54" s="8">
        <f t="array" ref="AI54">COUNT(IF(Referee1=$A54,IF(AwayTeam=AI$4,1)))+COUNT(IF(Referee2=$A54,IF(AwayTeam=AI$4,1)))</f>
        <v>0</v>
      </c>
      <c r="AJ54" s="8">
        <f t="array" ref="AJ54">COUNT(IF(Referee1=$A54,IF(AwayTeam=AJ$4,1)))+COUNT(IF(Referee2=$A54,IF(AwayTeam=AJ$4,1)))</f>
        <v>0</v>
      </c>
      <c r="AK54" s="8">
        <f t="array" ref="AK54">COUNT(IF(Referee1=$A54,IF(AwayTeam=AK$4,1)))+COUNT(IF(Referee2=$A54,IF(AwayTeam=AK$4,1)))</f>
        <v>0</v>
      </c>
      <c r="AL54" s="8">
        <f t="array" ref="AL54">COUNT(IF(Referee1=$A54,IF(AwayTeam=AL$4,1)))+COUNT(IF(Referee2=$A54,IF(AwayTeam=AL$4,1)))</f>
        <v>0</v>
      </c>
      <c r="AM54" s="8">
        <f t="array" ref="AM54">COUNT(IF(Referee1=$A54,IF(AwayTeam=AM$4,1)))+COUNT(IF(Referee2=$A54,IF(AwayTeam=AM$4,1)))</f>
        <v>0</v>
      </c>
      <c r="AN54" s="8">
        <f t="array" ref="AN54">COUNT(IF(Referee1=$A54,IF(AwayTeam=AN$4,1)))+COUNT(IF(Referee2=$A54,IF(AwayTeam=AN$4,1)))</f>
        <v>0</v>
      </c>
      <c r="AO54" s="8">
        <f t="array" ref="AO54">COUNT(IF(Referee1=$A54,IF(AwayTeam=AO$4,1)))+COUNT(IF(Referee2=$A54,IF(AwayTeam=AO$4,1)))</f>
        <v>0</v>
      </c>
      <c r="AP54" s="8">
        <f t="array" ref="AP54">COUNT(IF(Referee1=$A54,IF(AwayTeam=AP$4,1)))+COUNT(IF(Referee2=$A54,IF(AwayTeam=AP$4,1)))</f>
        <v>0</v>
      </c>
    </row>
    <row r="55" spans="1:42" x14ac:dyDescent="0.2">
      <c r="A55" s="8" t="str">
        <f>IF(Info!A52&lt;&gt;0,Info!A52,"")</f>
        <v>Referee 51</v>
      </c>
      <c r="B55" s="8">
        <f t="shared" si="0"/>
        <v>0</v>
      </c>
      <c r="C55" s="8">
        <f t="array" ref="C55">COUNT(IF(Referee1=$A55,IF(HomeTeam=C$4,1)))+COUNT(IF(Referee2=$A55,IF(HomeTeam=C$4,1)))</f>
        <v>0</v>
      </c>
      <c r="D55" s="8">
        <f t="array" ref="D55">COUNT(IF(Referee1=$A55,IF(HomeTeam=D$4,1)))+COUNT(IF(Referee2=$A55,IF(HomeTeam=D$4,1)))</f>
        <v>0</v>
      </c>
      <c r="E55" s="8">
        <f t="array" ref="E55">COUNT(IF(Referee1=$A55,IF(HomeTeam=E$4,1)))+COUNT(IF(Referee2=$A55,IF(HomeTeam=E$4,1)))</f>
        <v>0</v>
      </c>
      <c r="F55" s="8">
        <f t="array" ref="F55">COUNT(IF(Referee1=$A55,IF(HomeTeam=F$4,1)))+COUNT(IF(Referee2=$A55,IF(HomeTeam=F$4,1)))</f>
        <v>0</v>
      </c>
      <c r="G55" s="8">
        <f t="array" ref="G55">COUNT(IF(Referee1=$A55,IF(HomeTeam=G$4,1)))+COUNT(IF(Referee2=$A55,IF(HomeTeam=G$4,1)))</f>
        <v>0</v>
      </c>
      <c r="H55" s="8">
        <f t="array" ref="H55">COUNT(IF(Referee1=$A55,IF(HomeTeam=H$4,1)))+COUNT(IF(Referee2=$A55,IF(HomeTeam=H$4,1)))</f>
        <v>0</v>
      </c>
      <c r="I55" s="8">
        <f t="array" ref="I55">COUNT(IF(Referee1=$A55,IF(HomeTeam=I$4,1)))+COUNT(IF(Referee2=$A55,IF(HomeTeam=I$4,1)))</f>
        <v>0</v>
      </c>
      <c r="J55" s="8">
        <f t="array" ref="J55">COUNT(IF(Referee1=$A55,IF(HomeTeam=J$4,1)))+COUNT(IF(Referee2=$A55,IF(HomeTeam=J$4,1)))</f>
        <v>0</v>
      </c>
      <c r="K55" s="8">
        <f t="array" ref="K55">COUNT(IF(Referee1=$A55,IF(HomeTeam=K$4,1)))+COUNT(IF(Referee2=$A55,IF(HomeTeam=K$4,1)))</f>
        <v>0</v>
      </c>
      <c r="L55" s="8">
        <f t="array" ref="L55">COUNT(IF(Referee1=$A55,IF(HomeTeam=L$4,1)))+COUNT(IF(Referee2=$A55,IF(HomeTeam=L$4,1)))</f>
        <v>0</v>
      </c>
      <c r="M55" s="8">
        <f t="array" ref="M55">COUNT(IF(Referee1=$A55,IF(HomeTeam=M$4,1)))+COUNT(IF(Referee2=$A55,IF(HomeTeam=M$4,1)))</f>
        <v>0</v>
      </c>
      <c r="N55" s="8">
        <f t="array" ref="N55">COUNT(IF(Referee1=$A55,IF(HomeTeam=N$4,1)))+COUNT(IF(Referee2=$A55,IF(HomeTeam=N$4,1)))</f>
        <v>0</v>
      </c>
      <c r="O55" s="8">
        <f t="array" ref="O55">COUNT(IF(Referee1=$A55,IF(HomeTeam=O$4,1)))+COUNT(IF(Referee2=$A55,IF(HomeTeam=O$4,1)))</f>
        <v>0</v>
      </c>
      <c r="P55" s="8">
        <f t="array" ref="P55">COUNT(IF(Referee1=$A55,IF(HomeTeam=P$4,1)))+COUNT(IF(Referee2=$A55,IF(HomeTeam=P$4,1)))</f>
        <v>0</v>
      </c>
      <c r="Q55" s="8">
        <f t="array" ref="Q55">COUNT(IF(Referee1=$A55,IF(HomeTeam=Q$4,1)))+COUNT(IF(Referee2=$A55,IF(HomeTeam=Q$4,1)))</f>
        <v>0</v>
      </c>
      <c r="R55" s="8">
        <f t="array" ref="R55">COUNT(IF(Referee1=$A55,IF(HomeTeam=R$4,1)))+COUNT(IF(Referee2=$A55,IF(HomeTeam=R$4,1)))</f>
        <v>0</v>
      </c>
      <c r="S55" s="8">
        <f t="array" ref="S55">COUNT(IF(Referee1=$A55,IF(HomeTeam=S$4,1)))+COUNT(IF(Referee2=$A55,IF(HomeTeam=S$4,1)))</f>
        <v>0</v>
      </c>
      <c r="T55" s="8">
        <f t="array" ref="T55">COUNT(IF(Referee1=$A55,IF(HomeTeam=T$4,1)))+COUNT(IF(Referee2=$A55,IF(HomeTeam=T$4,1)))</f>
        <v>0</v>
      </c>
      <c r="U55" s="8">
        <f t="array" ref="U55">COUNT(IF(Referee1=$A55,IF(HomeTeam=U$4,1)))+COUNT(IF(Referee2=$A55,IF(HomeTeam=U$4,1)))</f>
        <v>0</v>
      </c>
      <c r="V55" s="8">
        <f t="array" ref="V55">COUNT(IF(Referee1=$A55,IF(HomeTeam=V$4,1)))+COUNT(IF(Referee2=$A55,IF(HomeTeam=V$4,1)))</f>
        <v>0</v>
      </c>
      <c r="W55" s="8">
        <f t="array" ref="W55">COUNT(IF(Referee1=$A55,IF(AwayTeam=W$4,1)))+COUNT(IF(Referee2=$A55,IF(AwayTeam=W$4,1)))</f>
        <v>0</v>
      </c>
      <c r="X55" s="8">
        <f t="array" ref="X55">COUNT(IF(Referee1=$A55,IF(AwayTeam=X$4,1)))+COUNT(IF(Referee2=$A55,IF(AwayTeam=X$4,1)))</f>
        <v>0</v>
      </c>
      <c r="Y55" s="8">
        <f t="array" ref="Y55">COUNT(IF(Referee1=$A55,IF(AwayTeam=Y$4,1)))+COUNT(IF(Referee2=$A55,IF(AwayTeam=Y$4,1)))</f>
        <v>0</v>
      </c>
      <c r="Z55" s="8">
        <f t="array" ref="Z55">COUNT(IF(Referee1=$A55,IF(AwayTeam=Z$4,1)))+COUNT(IF(Referee2=$A55,IF(AwayTeam=Z$4,1)))</f>
        <v>0</v>
      </c>
      <c r="AA55" s="8">
        <f t="array" ref="AA55">COUNT(IF(Referee1=$A55,IF(AwayTeam=AA$4,1)))+COUNT(IF(Referee2=$A55,IF(AwayTeam=AA$4,1)))</f>
        <v>0</v>
      </c>
      <c r="AB55" s="8">
        <f t="array" ref="AB55">COUNT(IF(Referee1=$A55,IF(AwayTeam=AB$4,1)))+COUNT(IF(Referee2=$A55,IF(AwayTeam=AB$4,1)))</f>
        <v>0</v>
      </c>
      <c r="AC55" s="8">
        <f t="array" ref="AC55">COUNT(IF(Referee1=$A55,IF(AwayTeam=AC$4,1)))+COUNT(IF(Referee2=$A55,IF(AwayTeam=AC$4,1)))</f>
        <v>0</v>
      </c>
      <c r="AD55" s="8">
        <f t="array" ref="AD55">COUNT(IF(Referee1=$A55,IF(AwayTeam=AD$4,1)))+COUNT(IF(Referee2=$A55,IF(AwayTeam=AD$4,1)))</f>
        <v>0</v>
      </c>
      <c r="AE55" s="8">
        <f t="array" ref="AE55">COUNT(IF(Referee1=$A55,IF(AwayTeam=AE$4,1)))+COUNT(IF(Referee2=$A55,IF(AwayTeam=AE$4,1)))</f>
        <v>0</v>
      </c>
      <c r="AF55" s="8">
        <f t="array" ref="AF55">COUNT(IF(Referee1=$A55,IF(AwayTeam=AF$4,1)))+COUNT(IF(Referee2=$A55,IF(AwayTeam=AF$4,1)))</f>
        <v>0</v>
      </c>
      <c r="AG55" s="8">
        <f t="array" ref="AG55">COUNT(IF(Referee1=$A55,IF(AwayTeam=AG$4,1)))+COUNT(IF(Referee2=$A55,IF(AwayTeam=AG$4,1)))</f>
        <v>0</v>
      </c>
      <c r="AH55" s="8">
        <f t="array" ref="AH55">COUNT(IF(Referee1=$A55,IF(AwayTeam=AH$4,1)))+COUNT(IF(Referee2=$A55,IF(AwayTeam=AH$4,1)))</f>
        <v>0</v>
      </c>
      <c r="AI55" s="8">
        <f t="array" ref="AI55">COUNT(IF(Referee1=$A55,IF(AwayTeam=AI$4,1)))+COUNT(IF(Referee2=$A55,IF(AwayTeam=AI$4,1)))</f>
        <v>0</v>
      </c>
      <c r="AJ55" s="8">
        <f t="array" ref="AJ55">COUNT(IF(Referee1=$A55,IF(AwayTeam=AJ$4,1)))+COUNT(IF(Referee2=$A55,IF(AwayTeam=AJ$4,1)))</f>
        <v>0</v>
      </c>
      <c r="AK55" s="8">
        <f t="array" ref="AK55">COUNT(IF(Referee1=$A55,IF(AwayTeam=AK$4,1)))+COUNT(IF(Referee2=$A55,IF(AwayTeam=AK$4,1)))</f>
        <v>0</v>
      </c>
      <c r="AL55" s="8">
        <f t="array" ref="AL55">COUNT(IF(Referee1=$A55,IF(AwayTeam=AL$4,1)))+COUNT(IF(Referee2=$A55,IF(AwayTeam=AL$4,1)))</f>
        <v>0</v>
      </c>
      <c r="AM55" s="8">
        <f t="array" ref="AM55">COUNT(IF(Referee1=$A55,IF(AwayTeam=AM$4,1)))+COUNT(IF(Referee2=$A55,IF(AwayTeam=AM$4,1)))</f>
        <v>0</v>
      </c>
      <c r="AN55" s="8">
        <f t="array" ref="AN55">COUNT(IF(Referee1=$A55,IF(AwayTeam=AN$4,1)))+COUNT(IF(Referee2=$A55,IF(AwayTeam=AN$4,1)))</f>
        <v>0</v>
      </c>
      <c r="AO55" s="8">
        <f t="array" ref="AO55">COUNT(IF(Referee1=$A55,IF(AwayTeam=AO$4,1)))+COUNT(IF(Referee2=$A55,IF(AwayTeam=AO$4,1)))</f>
        <v>0</v>
      </c>
      <c r="AP55" s="8">
        <f t="array" ref="AP55">COUNT(IF(Referee1=$A55,IF(AwayTeam=AP$4,1)))+COUNT(IF(Referee2=$A55,IF(AwayTeam=AP$4,1)))</f>
        <v>0</v>
      </c>
    </row>
    <row r="56" spans="1:42" x14ac:dyDescent="0.2">
      <c r="A56" s="8" t="str">
        <f>IF(Info!A53&lt;&gt;0,Info!A53,"")</f>
        <v>Referee 52</v>
      </c>
      <c r="B56" s="8">
        <f t="shared" si="0"/>
        <v>0</v>
      </c>
      <c r="C56" s="8">
        <f t="array" ref="C56">COUNT(IF(Referee1=$A56,IF(HomeTeam=C$4,1)))+COUNT(IF(Referee2=$A56,IF(HomeTeam=C$4,1)))</f>
        <v>0</v>
      </c>
      <c r="D56" s="8">
        <f t="array" ref="D56">COUNT(IF(Referee1=$A56,IF(HomeTeam=D$4,1)))+COUNT(IF(Referee2=$A56,IF(HomeTeam=D$4,1)))</f>
        <v>0</v>
      </c>
      <c r="E56" s="8">
        <f t="array" ref="E56">COUNT(IF(Referee1=$A56,IF(HomeTeam=E$4,1)))+COUNT(IF(Referee2=$A56,IF(HomeTeam=E$4,1)))</f>
        <v>0</v>
      </c>
      <c r="F56" s="8">
        <f t="array" ref="F56">COUNT(IF(Referee1=$A56,IF(HomeTeam=F$4,1)))+COUNT(IF(Referee2=$A56,IF(HomeTeam=F$4,1)))</f>
        <v>0</v>
      </c>
      <c r="G56" s="8">
        <f t="array" ref="G56">COUNT(IF(Referee1=$A56,IF(HomeTeam=G$4,1)))+COUNT(IF(Referee2=$A56,IF(HomeTeam=G$4,1)))</f>
        <v>0</v>
      </c>
      <c r="H56" s="8">
        <f t="array" ref="H56">COUNT(IF(Referee1=$A56,IF(HomeTeam=H$4,1)))+COUNT(IF(Referee2=$A56,IF(HomeTeam=H$4,1)))</f>
        <v>0</v>
      </c>
      <c r="I56" s="8">
        <f t="array" ref="I56">COUNT(IF(Referee1=$A56,IF(HomeTeam=I$4,1)))+COUNT(IF(Referee2=$A56,IF(HomeTeam=I$4,1)))</f>
        <v>0</v>
      </c>
      <c r="J56" s="8">
        <f t="array" ref="J56">COUNT(IF(Referee1=$A56,IF(HomeTeam=J$4,1)))+COUNT(IF(Referee2=$A56,IF(HomeTeam=J$4,1)))</f>
        <v>0</v>
      </c>
      <c r="K56" s="8">
        <f t="array" ref="K56">COUNT(IF(Referee1=$A56,IF(HomeTeam=K$4,1)))+COUNT(IF(Referee2=$A56,IF(HomeTeam=K$4,1)))</f>
        <v>0</v>
      </c>
      <c r="L56" s="8">
        <f t="array" ref="L56">COUNT(IF(Referee1=$A56,IF(HomeTeam=L$4,1)))+COUNT(IF(Referee2=$A56,IF(HomeTeam=L$4,1)))</f>
        <v>0</v>
      </c>
      <c r="M56" s="8">
        <f t="array" ref="M56">COUNT(IF(Referee1=$A56,IF(HomeTeam=M$4,1)))+COUNT(IF(Referee2=$A56,IF(HomeTeam=M$4,1)))</f>
        <v>0</v>
      </c>
      <c r="N56" s="8">
        <f t="array" ref="N56">COUNT(IF(Referee1=$A56,IF(HomeTeam=N$4,1)))+COUNT(IF(Referee2=$A56,IF(HomeTeam=N$4,1)))</f>
        <v>0</v>
      </c>
      <c r="O56" s="8">
        <f t="array" ref="O56">COUNT(IF(Referee1=$A56,IF(HomeTeam=O$4,1)))+COUNT(IF(Referee2=$A56,IF(HomeTeam=O$4,1)))</f>
        <v>0</v>
      </c>
      <c r="P56" s="8">
        <f t="array" ref="P56">COUNT(IF(Referee1=$A56,IF(HomeTeam=P$4,1)))+COUNT(IF(Referee2=$A56,IF(HomeTeam=P$4,1)))</f>
        <v>0</v>
      </c>
      <c r="Q56" s="8">
        <f t="array" ref="Q56">COUNT(IF(Referee1=$A56,IF(HomeTeam=Q$4,1)))+COUNT(IF(Referee2=$A56,IF(HomeTeam=Q$4,1)))</f>
        <v>0</v>
      </c>
      <c r="R56" s="8">
        <f t="array" ref="R56">COUNT(IF(Referee1=$A56,IF(HomeTeam=R$4,1)))+COUNT(IF(Referee2=$A56,IF(HomeTeam=R$4,1)))</f>
        <v>0</v>
      </c>
      <c r="S56" s="8">
        <f t="array" ref="S56">COUNT(IF(Referee1=$A56,IF(HomeTeam=S$4,1)))+COUNT(IF(Referee2=$A56,IF(HomeTeam=S$4,1)))</f>
        <v>0</v>
      </c>
      <c r="T56" s="8">
        <f t="array" ref="T56">COUNT(IF(Referee1=$A56,IF(HomeTeam=T$4,1)))+COUNT(IF(Referee2=$A56,IF(HomeTeam=T$4,1)))</f>
        <v>0</v>
      </c>
      <c r="U56" s="8">
        <f t="array" ref="U56">COUNT(IF(Referee1=$A56,IF(HomeTeam=U$4,1)))+COUNT(IF(Referee2=$A56,IF(HomeTeam=U$4,1)))</f>
        <v>0</v>
      </c>
      <c r="V56" s="8">
        <f t="array" ref="V56">COUNT(IF(Referee1=$A56,IF(HomeTeam=V$4,1)))+COUNT(IF(Referee2=$A56,IF(HomeTeam=V$4,1)))</f>
        <v>0</v>
      </c>
      <c r="W56" s="8">
        <f t="array" ref="W56">COUNT(IF(Referee1=$A56,IF(AwayTeam=W$4,1)))+COUNT(IF(Referee2=$A56,IF(AwayTeam=W$4,1)))</f>
        <v>0</v>
      </c>
      <c r="X56" s="8">
        <f t="array" ref="X56">COUNT(IF(Referee1=$A56,IF(AwayTeam=X$4,1)))+COUNT(IF(Referee2=$A56,IF(AwayTeam=X$4,1)))</f>
        <v>0</v>
      </c>
      <c r="Y56" s="8">
        <f t="array" ref="Y56">COUNT(IF(Referee1=$A56,IF(AwayTeam=Y$4,1)))+COUNT(IF(Referee2=$A56,IF(AwayTeam=Y$4,1)))</f>
        <v>0</v>
      </c>
      <c r="Z56" s="8">
        <f t="array" ref="Z56">COUNT(IF(Referee1=$A56,IF(AwayTeam=Z$4,1)))+COUNT(IF(Referee2=$A56,IF(AwayTeam=Z$4,1)))</f>
        <v>0</v>
      </c>
      <c r="AA56" s="8">
        <f t="array" ref="AA56">COUNT(IF(Referee1=$A56,IF(AwayTeam=AA$4,1)))+COUNT(IF(Referee2=$A56,IF(AwayTeam=AA$4,1)))</f>
        <v>0</v>
      </c>
      <c r="AB56" s="8">
        <f t="array" ref="AB56">COUNT(IF(Referee1=$A56,IF(AwayTeam=AB$4,1)))+COUNT(IF(Referee2=$A56,IF(AwayTeam=AB$4,1)))</f>
        <v>0</v>
      </c>
      <c r="AC56" s="8">
        <f t="array" ref="AC56">COUNT(IF(Referee1=$A56,IF(AwayTeam=AC$4,1)))+COUNT(IF(Referee2=$A56,IF(AwayTeam=AC$4,1)))</f>
        <v>0</v>
      </c>
      <c r="AD56" s="8">
        <f t="array" ref="AD56">COUNT(IF(Referee1=$A56,IF(AwayTeam=AD$4,1)))+COUNT(IF(Referee2=$A56,IF(AwayTeam=AD$4,1)))</f>
        <v>0</v>
      </c>
      <c r="AE56" s="8">
        <f t="array" ref="AE56">COUNT(IF(Referee1=$A56,IF(AwayTeam=AE$4,1)))+COUNT(IF(Referee2=$A56,IF(AwayTeam=AE$4,1)))</f>
        <v>0</v>
      </c>
      <c r="AF56" s="8">
        <f t="array" ref="AF56">COUNT(IF(Referee1=$A56,IF(AwayTeam=AF$4,1)))+COUNT(IF(Referee2=$A56,IF(AwayTeam=AF$4,1)))</f>
        <v>0</v>
      </c>
      <c r="AG56" s="8">
        <f t="array" ref="AG56">COUNT(IF(Referee1=$A56,IF(AwayTeam=AG$4,1)))+COUNT(IF(Referee2=$A56,IF(AwayTeam=AG$4,1)))</f>
        <v>0</v>
      </c>
      <c r="AH56" s="8">
        <f t="array" ref="AH56">COUNT(IF(Referee1=$A56,IF(AwayTeam=AH$4,1)))+COUNT(IF(Referee2=$A56,IF(AwayTeam=AH$4,1)))</f>
        <v>0</v>
      </c>
      <c r="AI56" s="8">
        <f t="array" ref="AI56">COUNT(IF(Referee1=$A56,IF(AwayTeam=AI$4,1)))+COUNT(IF(Referee2=$A56,IF(AwayTeam=AI$4,1)))</f>
        <v>0</v>
      </c>
      <c r="AJ56" s="8">
        <f t="array" ref="AJ56">COUNT(IF(Referee1=$A56,IF(AwayTeam=AJ$4,1)))+COUNT(IF(Referee2=$A56,IF(AwayTeam=AJ$4,1)))</f>
        <v>0</v>
      </c>
      <c r="AK56" s="8">
        <f t="array" ref="AK56">COUNT(IF(Referee1=$A56,IF(AwayTeam=AK$4,1)))+COUNT(IF(Referee2=$A56,IF(AwayTeam=AK$4,1)))</f>
        <v>0</v>
      </c>
      <c r="AL56" s="8">
        <f t="array" ref="AL56">COUNT(IF(Referee1=$A56,IF(AwayTeam=AL$4,1)))+COUNT(IF(Referee2=$A56,IF(AwayTeam=AL$4,1)))</f>
        <v>0</v>
      </c>
      <c r="AM56" s="8">
        <f t="array" ref="AM56">COUNT(IF(Referee1=$A56,IF(AwayTeam=AM$4,1)))+COUNT(IF(Referee2=$A56,IF(AwayTeam=AM$4,1)))</f>
        <v>0</v>
      </c>
      <c r="AN56" s="8">
        <f t="array" ref="AN56">COUNT(IF(Referee1=$A56,IF(AwayTeam=AN$4,1)))+COUNT(IF(Referee2=$A56,IF(AwayTeam=AN$4,1)))</f>
        <v>0</v>
      </c>
      <c r="AO56" s="8">
        <f t="array" ref="AO56">COUNT(IF(Referee1=$A56,IF(AwayTeam=AO$4,1)))+COUNT(IF(Referee2=$A56,IF(AwayTeam=AO$4,1)))</f>
        <v>0</v>
      </c>
      <c r="AP56" s="8">
        <f t="array" ref="AP56">COUNT(IF(Referee1=$A56,IF(AwayTeam=AP$4,1)))+COUNT(IF(Referee2=$A56,IF(AwayTeam=AP$4,1)))</f>
        <v>0</v>
      </c>
    </row>
    <row r="57" spans="1:42" x14ac:dyDescent="0.2">
      <c r="A57" s="8" t="str">
        <f>IF(Info!A54&lt;&gt;0,Info!A54,"")</f>
        <v>Referee 53</v>
      </c>
      <c r="B57" s="8">
        <f t="shared" si="0"/>
        <v>0</v>
      </c>
      <c r="C57" s="8">
        <f t="array" ref="C57">COUNT(IF(Referee1=$A57,IF(HomeTeam=C$4,1)))+COUNT(IF(Referee2=$A57,IF(HomeTeam=C$4,1)))</f>
        <v>0</v>
      </c>
      <c r="D57" s="8">
        <f t="array" ref="D57">COUNT(IF(Referee1=$A57,IF(HomeTeam=D$4,1)))+COUNT(IF(Referee2=$A57,IF(HomeTeam=D$4,1)))</f>
        <v>0</v>
      </c>
      <c r="E57" s="8">
        <f t="array" ref="E57">COUNT(IF(Referee1=$A57,IF(HomeTeam=E$4,1)))+COUNT(IF(Referee2=$A57,IF(HomeTeam=E$4,1)))</f>
        <v>0</v>
      </c>
      <c r="F57" s="8">
        <f t="array" ref="F57">COUNT(IF(Referee1=$A57,IF(HomeTeam=F$4,1)))+COUNT(IF(Referee2=$A57,IF(HomeTeam=F$4,1)))</f>
        <v>0</v>
      </c>
      <c r="G57" s="8">
        <f t="array" ref="G57">COUNT(IF(Referee1=$A57,IF(HomeTeam=G$4,1)))+COUNT(IF(Referee2=$A57,IF(HomeTeam=G$4,1)))</f>
        <v>0</v>
      </c>
      <c r="H57" s="8">
        <f t="array" ref="H57">COUNT(IF(Referee1=$A57,IF(HomeTeam=H$4,1)))+COUNT(IF(Referee2=$A57,IF(HomeTeam=H$4,1)))</f>
        <v>0</v>
      </c>
      <c r="I57" s="8">
        <f t="array" ref="I57">COUNT(IF(Referee1=$A57,IF(HomeTeam=I$4,1)))+COUNT(IF(Referee2=$A57,IF(HomeTeam=I$4,1)))</f>
        <v>0</v>
      </c>
      <c r="J57" s="8">
        <f t="array" ref="J57">COUNT(IF(Referee1=$A57,IF(HomeTeam=J$4,1)))+COUNT(IF(Referee2=$A57,IF(HomeTeam=J$4,1)))</f>
        <v>0</v>
      </c>
      <c r="K57" s="8">
        <f t="array" ref="K57">COUNT(IF(Referee1=$A57,IF(HomeTeam=K$4,1)))+COUNT(IF(Referee2=$A57,IF(HomeTeam=K$4,1)))</f>
        <v>0</v>
      </c>
      <c r="L57" s="8">
        <f t="array" ref="L57">COUNT(IF(Referee1=$A57,IF(HomeTeam=L$4,1)))+COUNT(IF(Referee2=$A57,IF(HomeTeam=L$4,1)))</f>
        <v>0</v>
      </c>
      <c r="M57" s="8">
        <f t="array" ref="M57">COUNT(IF(Referee1=$A57,IF(HomeTeam=M$4,1)))+COUNT(IF(Referee2=$A57,IF(HomeTeam=M$4,1)))</f>
        <v>0</v>
      </c>
      <c r="N57" s="8">
        <f t="array" ref="N57">COUNT(IF(Referee1=$A57,IF(HomeTeam=N$4,1)))+COUNT(IF(Referee2=$A57,IF(HomeTeam=N$4,1)))</f>
        <v>0</v>
      </c>
      <c r="O57" s="8">
        <f t="array" ref="O57">COUNT(IF(Referee1=$A57,IF(HomeTeam=O$4,1)))+COUNT(IF(Referee2=$A57,IF(HomeTeam=O$4,1)))</f>
        <v>0</v>
      </c>
      <c r="P57" s="8">
        <f t="array" ref="P57">COUNT(IF(Referee1=$A57,IF(HomeTeam=P$4,1)))+COUNT(IF(Referee2=$A57,IF(HomeTeam=P$4,1)))</f>
        <v>0</v>
      </c>
      <c r="Q57" s="8">
        <f t="array" ref="Q57">COUNT(IF(Referee1=$A57,IF(HomeTeam=Q$4,1)))+COUNT(IF(Referee2=$A57,IF(HomeTeam=Q$4,1)))</f>
        <v>0</v>
      </c>
      <c r="R57" s="8">
        <f t="array" ref="R57">COUNT(IF(Referee1=$A57,IF(HomeTeam=R$4,1)))+COUNT(IF(Referee2=$A57,IF(HomeTeam=R$4,1)))</f>
        <v>0</v>
      </c>
      <c r="S57" s="8">
        <f t="array" ref="S57">COUNT(IF(Referee1=$A57,IF(HomeTeam=S$4,1)))+COUNT(IF(Referee2=$A57,IF(HomeTeam=S$4,1)))</f>
        <v>0</v>
      </c>
      <c r="T57" s="8">
        <f t="array" ref="T57">COUNT(IF(Referee1=$A57,IF(HomeTeam=T$4,1)))+COUNT(IF(Referee2=$A57,IF(HomeTeam=T$4,1)))</f>
        <v>0</v>
      </c>
      <c r="U57" s="8">
        <f t="array" ref="U57">COUNT(IF(Referee1=$A57,IF(HomeTeam=U$4,1)))+COUNT(IF(Referee2=$A57,IF(HomeTeam=U$4,1)))</f>
        <v>0</v>
      </c>
      <c r="V57" s="8">
        <f t="array" ref="V57">COUNT(IF(Referee1=$A57,IF(HomeTeam=V$4,1)))+COUNT(IF(Referee2=$A57,IF(HomeTeam=V$4,1)))</f>
        <v>0</v>
      </c>
      <c r="W57" s="8">
        <f t="array" ref="W57">COUNT(IF(Referee1=$A57,IF(AwayTeam=W$4,1)))+COUNT(IF(Referee2=$A57,IF(AwayTeam=W$4,1)))</f>
        <v>0</v>
      </c>
      <c r="X57" s="8">
        <f t="array" ref="X57">COUNT(IF(Referee1=$A57,IF(AwayTeam=X$4,1)))+COUNT(IF(Referee2=$A57,IF(AwayTeam=X$4,1)))</f>
        <v>0</v>
      </c>
      <c r="Y57" s="8">
        <f t="array" ref="Y57">COUNT(IF(Referee1=$A57,IF(AwayTeam=Y$4,1)))+COUNT(IF(Referee2=$A57,IF(AwayTeam=Y$4,1)))</f>
        <v>0</v>
      </c>
      <c r="Z57" s="8">
        <f t="array" ref="Z57">COUNT(IF(Referee1=$A57,IF(AwayTeam=Z$4,1)))+COUNT(IF(Referee2=$A57,IF(AwayTeam=Z$4,1)))</f>
        <v>0</v>
      </c>
      <c r="AA57" s="8">
        <f t="array" ref="AA57">COUNT(IF(Referee1=$A57,IF(AwayTeam=AA$4,1)))+COUNT(IF(Referee2=$A57,IF(AwayTeam=AA$4,1)))</f>
        <v>0</v>
      </c>
      <c r="AB57" s="8">
        <f t="array" ref="AB57">COUNT(IF(Referee1=$A57,IF(AwayTeam=AB$4,1)))+COUNT(IF(Referee2=$A57,IF(AwayTeam=AB$4,1)))</f>
        <v>0</v>
      </c>
      <c r="AC57" s="8">
        <f t="array" ref="AC57">COUNT(IF(Referee1=$A57,IF(AwayTeam=AC$4,1)))+COUNT(IF(Referee2=$A57,IF(AwayTeam=AC$4,1)))</f>
        <v>0</v>
      </c>
      <c r="AD57" s="8">
        <f t="array" ref="AD57">COUNT(IF(Referee1=$A57,IF(AwayTeam=AD$4,1)))+COUNT(IF(Referee2=$A57,IF(AwayTeam=AD$4,1)))</f>
        <v>0</v>
      </c>
      <c r="AE57" s="8">
        <f t="array" ref="AE57">COUNT(IF(Referee1=$A57,IF(AwayTeam=AE$4,1)))+COUNT(IF(Referee2=$A57,IF(AwayTeam=AE$4,1)))</f>
        <v>0</v>
      </c>
      <c r="AF57" s="8">
        <f t="array" ref="AF57">COUNT(IF(Referee1=$A57,IF(AwayTeam=AF$4,1)))+COUNT(IF(Referee2=$A57,IF(AwayTeam=AF$4,1)))</f>
        <v>0</v>
      </c>
      <c r="AG57" s="8">
        <f t="array" ref="AG57">COUNT(IF(Referee1=$A57,IF(AwayTeam=AG$4,1)))+COUNT(IF(Referee2=$A57,IF(AwayTeam=AG$4,1)))</f>
        <v>0</v>
      </c>
      <c r="AH57" s="8">
        <f t="array" ref="AH57">COUNT(IF(Referee1=$A57,IF(AwayTeam=AH$4,1)))+COUNT(IF(Referee2=$A57,IF(AwayTeam=AH$4,1)))</f>
        <v>0</v>
      </c>
      <c r="AI57" s="8">
        <f t="array" ref="AI57">COUNT(IF(Referee1=$A57,IF(AwayTeam=AI$4,1)))+COUNT(IF(Referee2=$A57,IF(AwayTeam=AI$4,1)))</f>
        <v>0</v>
      </c>
      <c r="AJ57" s="8">
        <f t="array" ref="AJ57">COUNT(IF(Referee1=$A57,IF(AwayTeam=AJ$4,1)))+COUNT(IF(Referee2=$A57,IF(AwayTeam=AJ$4,1)))</f>
        <v>0</v>
      </c>
      <c r="AK57" s="8">
        <f t="array" ref="AK57">COUNT(IF(Referee1=$A57,IF(AwayTeam=AK$4,1)))+COUNT(IF(Referee2=$A57,IF(AwayTeam=AK$4,1)))</f>
        <v>0</v>
      </c>
      <c r="AL57" s="8">
        <f t="array" ref="AL57">COUNT(IF(Referee1=$A57,IF(AwayTeam=AL$4,1)))+COUNT(IF(Referee2=$A57,IF(AwayTeam=AL$4,1)))</f>
        <v>0</v>
      </c>
      <c r="AM57" s="8">
        <f t="array" ref="AM57">COUNT(IF(Referee1=$A57,IF(AwayTeam=AM$4,1)))+COUNT(IF(Referee2=$A57,IF(AwayTeam=AM$4,1)))</f>
        <v>0</v>
      </c>
      <c r="AN57" s="8">
        <f t="array" ref="AN57">COUNT(IF(Referee1=$A57,IF(AwayTeam=AN$4,1)))+COUNT(IF(Referee2=$A57,IF(AwayTeam=AN$4,1)))</f>
        <v>0</v>
      </c>
      <c r="AO57" s="8">
        <f t="array" ref="AO57">COUNT(IF(Referee1=$A57,IF(AwayTeam=AO$4,1)))+COUNT(IF(Referee2=$A57,IF(AwayTeam=AO$4,1)))</f>
        <v>0</v>
      </c>
      <c r="AP57" s="8">
        <f t="array" ref="AP57">COUNT(IF(Referee1=$A57,IF(AwayTeam=AP$4,1)))+COUNT(IF(Referee2=$A57,IF(AwayTeam=AP$4,1)))</f>
        <v>0</v>
      </c>
    </row>
    <row r="58" spans="1:42" x14ac:dyDescent="0.2">
      <c r="A58" s="8" t="str">
        <f>IF(Info!A55&lt;&gt;0,Info!A55,"")</f>
        <v>Referee 54</v>
      </c>
      <c r="B58" s="8">
        <f t="shared" si="0"/>
        <v>0</v>
      </c>
      <c r="C58" s="8">
        <f t="array" ref="C58">COUNT(IF(Referee1=$A58,IF(HomeTeam=C$4,1)))+COUNT(IF(Referee2=$A58,IF(HomeTeam=C$4,1)))</f>
        <v>0</v>
      </c>
      <c r="D58" s="8">
        <f t="array" ref="D58">COUNT(IF(Referee1=$A58,IF(HomeTeam=D$4,1)))+COUNT(IF(Referee2=$A58,IF(HomeTeam=D$4,1)))</f>
        <v>0</v>
      </c>
      <c r="E58" s="8">
        <f t="array" ref="E58">COUNT(IF(Referee1=$A58,IF(HomeTeam=E$4,1)))+COUNT(IF(Referee2=$A58,IF(HomeTeam=E$4,1)))</f>
        <v>0</v>
      </c>
      <c r="F58" s="8">
        <f t="array" ref="F58">COUNT(IF(Referee1=$A58,IF(HomeTeam=F$4,1)))+COUNT(IF(Referee2=$A58,IF(HomeTeam=F$4,1)))</f>
        <v>0</v>
      </c>
      <c r="G58" s="8">
        <f t="array" ref="G58">COUNT(IF(Referee1=$A58,IF(HomeTeam=G$4,1)))+COUNT(IF(Referee2=$A58,IF(HomeTeam=G$4,1)))</f>
        <v>0</v>
      </c>
      <c r="H58" s="8">
        <f t="array" ref="H58">COUNT(IF(Referee1=$A58,IF(HomeTeam=H$4,1)))+COUNT(IF(Referee2=$A58,IF(HomeTeam=H$4,1)))</f>
        <v>0</v>
      </c>
      <c r="I58" s="8">
        <f t="array" ref="I58">COUNT(IF(Referee1=$A58,IF(HomeTeam=I$4,1)))+COUNT(IF(Referee2=$A58,IF(HomeTeam=I$4,1)))</f>
        <v>0</v>
      </c>
      <c r="J58" s="8">
        <f t="array" ref="J58">COUNT(IF(Referee1=$A58,IF(HomeTeam=J$4,1)))+COUNT(IF(Referee2=$A58,IF(HomeTeam=J$4,1)))</f>
        <v>0</v>
      </c>
      <c r="K58" s="8">
        <f t="array" ref="K58">COUNT(IF(Referee1=$A58,IF(HomeTeam=K$4,1)))+COUNT(IF(Referee2=$A58,IF(HomeTeam=K$4,1)))</f>
        <v>0</v>
      </c>
      <c r="L58" s="8">
        <f t="array" ref="L58">COUNT(IF(Referee1=$A58,IF(HomeTeam=L$4,1)))+COUNT(IF(Referee2=$A58,IF(HomeTeam=L$4,1)))</f>
        <v>0</v>
      </c>
      <c r="M58" s="8">
        <f t="array" ref="M58">COUNT(IF(Referee1=$A58,IF(HomeTeam=M$4,1)))+COUNT(IF(Referee2=$A58,IF(HomeTeam=M$4,1)))</f>
        <v>0</v>
      </c>
      <c r="N58" s="8">
        <f t="array" ref="N58">COUNT(IF(Referee1=$A58,IF(HomeTeam=N$4,1)))+COUNT(IF(Referee2=$A58,IF(HomeTeam=N$4,1)))</f>
        <v>0</v>
      </c>
      <c r="O58" s="8">
        <f t="array" ref="O58">COUNT(IF(Referee1=$A58,IF(HomeTeam=O$4,1)))+COUNT(IF(Referee2=$A58,IF(HomeTeam=O$4,1)))</f>
        <v>0</v>
      </c>
      <c r="P58" s="8">
        <f t="array" ref="P58">COUNT(IF(Referee1=$A58,IF(HomeTeam=P$4,1)))+COUNT(IF(Referee2=$A58,IF(HomeTeam=P$4,1)))</f>
        <v>0</v>
      </c>
      <c r="Q58" s="8">
        <f t="array" ref="Q58">COUNT(IF(Referee1=$A58,IF(HomeTeam=Q$4,1)))+COUNT(IF(Referee2=$A58,IF(HomeTeam=Q$4,1)))</f>
        <v>0</v>
      </c>
      <c r="R58" s="8">
        <f t="array" ref="R58">COUNT(IF(Referee1=$A58,IF(HomeTeam=R$4,1)))+COUNT(IF(Referee2=$A58,IF(HomeTeam=R$4,1)))</f>
        <v>0</v>
      </c>
      <c r="S58" s="8">
        <f t="array" ref="S58">COUNT(IF(Referee1=$A58,IF(HomeTeam=S$4,1)))+COUNT(IF(Referee2=$A58,IF(HomeTeam=S$4,1)))</f>
        <v>0</v>
      </c>
      <c r="T58" s="8">
        <f t="array" ref="T58">COUNT(IF(Referee1=$A58,IF(HomeTeam=T$4,1)))+COUNT(IF(Referee2=$A58,IF(HomeTeam=T$4,1)))</f>
        <v>0</v>
      </c>
      <c r="U58" s="8">
        <f t="array" ref="U58">COUNT(IF(Referee1=$A58,IF(HomeTeam=U$4,1)))+COUNT(IF(Referee2=$A58,IF(HomeTeam=U$4,1)))</f>
        <v>0</v>
      </c>
      <c r="V58" s="8">
        <f t="array" ref="V58">COUNT(IF(Referee1=$A58,IF(HomeTeam=V$4,1)))+COUNT(IF(Referee2=$A58,IF(HomeTeam=V$4,1)))</f>
        <v>0</v>
      </c>
      <c r="W58" s="8">
        <f t="array" ref="W58">COUNT(IF(Referee1=$A58,IF(AwayTeam=W$4,1)))+COUNT(IF(Referee2=$A58,IF(AwayTeam=W$4,1)))</f>
        <v>0</v>
      </c>
      <c r="X58" s="8">
        <f t="array" ref="X58">COUNT(IF(Referee1=$A58,IF(AwayTeam=X$4,1)))+COUNT(IF(Referee2=$A58,IF(AwayTeam=X$4,1)))</f>
        <v>0</v>
      </c>
      <c r="Y58" s="8">
        <f t="array" ref="Y58">COUNT(IF(Referee1=$A58,IF(AwayTeam=Y$4,1)))+COUNT(IF(Referee2=$A58,IF(AwayTeam=Y$4,1)))</f>
        <v>0</v>
      </c>
      <c r="Z58" s="8">
        <f t="array" ref="Z58">COUNT(IF(Referee1=$A58,IF(AwayTeam=Z$4,1)))+COUNT(IF(Referee2=$A58,IF(AwayTeam=Z$4,1)))</f>
        <v>0</v>
      </c>
      <c r="AA58" s="8">
        <f t="array" ref="AA58">COUNT(IF(Referee1=$A58,IF(AwayTeam=AA$4,1)))+COUNT(IF(Referee2=$A58,IF(AwayTeam=AA$4,1)))</f>
        <v>0</v>
      </c>
      <c r="AB58" s="8">
        <f t="array" ref="AB58">COUNT(IF(Referee1=$A58,IF(AwayTeam=AB$4,1)))+COUNT(IF(Referee2=$A58,IF(AwayTeam=AB$4,1)))</f>
        <v>0</v>
      </c>
      <c r="AC58" s="8">
        <f t="array" ref="AC58">COUNT(IF(Referee1=$A58,IF(AwayTeam=AC$4,1)))+COUNT(IF(Referee2=$A58,IF(AwayTeam=AC$4,1)))</f>
        <v>0</v>
      </c>
      <c r="AD58" s="8">
        <f t="array" ref="AD58">COUNT(IF(Referee1=$A58,IF(AwayTeam=AD$4,1)))+COUNT(IF(Referee2=$A58,IF(AwayTeam=AD$4,1)))</f>
        <v>0</v>
      </c>
      <c r="AE58" s="8">
        <f t="array" ref="AE58">COUNT(IF(Referee1=$A58,IF(AwayTeam=AE$4,1)))+COUNT(IF(Referee2=$A58,IF(AwayTeam=AE$4,1)))</f>
        <v>0</v>
      </c>
      <c r="AF58" s="8">
        <f t="array" ref="AF58">COUNT(IF(Referee1=$A58,IF(AwayTeam=AF$4,1)))+COUNT(IF(Referee2=$A58,IF(AwayTeam=AF$4,1)))</f>
        <v>0</v>
      </c>
      <c r="AG58" s="8">
        <f t="array" ref="AG58">COUNT(IF(Referee1=$A58,IF(AwayTeam=AG$4,1)))+COUNT(IF(Referee2=$A58,IF(AwayTeam=AG$4,1)))</f>
        <v>0</v>
      </c>
      <c r="AH58" s="8">
        <f t="array" ref="AH58">COUNT(IF(Referee1=$A58,IF(AwayTeam=AH$4,1)))+COUNT(IF(Referee2=$A58,IF(AwayTeam=AH$4,1)))</f>
        <v>0</v>
      </c>
      <c r="AI58" s="8">
        <f t="array" ref="AI58">COUNT(IF(Referee1=$A58,IF(AwayTeam=AI$4,1)))+COUNT(IF(Referee2=$A58,IF(AwayTeam=AI$4,1)))</f>
        <v>0</v>
      </c>
      <c r="AJ58" s="8">
        <f t="array" ref="AJ58">COUNT(IF(Referee1=$A58,IF(AwayTeam=AJ$4,1)))+COUNT(IF(Referee2=$A58,IF(AwayTeam=AJ$4,1)))</f>
        <v>0</v>
      </c>
      <c r="AK58" s="8">
        <f t="array" ref="AK58">COUNT(IF(Referee1=$A58,IF(AwayTeam=AK$4,1)))+COUNT(IF(Referee2=$A58,IF(AwayTeam=AK$4,1)))</f>
        <v>0</v>
      </c>
      <c r="AL58" s="8">
        <f t="array" ref="AL58">COUNT(IF(Referee1=$A58,IF(AwayTeam=AL$4,1)))+COUNT(IF(Referee2=$A58,IF(AwayTeam=AL$4,1)))</f>
        <v>0</v>
      </c>
      <c r="AM58" s="8">
        <f t="array" ref="AM58">COUNT(IF(Referee1=$A58,IF(AwayTeam=AM$4,1)))+COUNT(IF(Referee2=$A58,IF(AwayTeam=AM$4,1)))</f>
        <v>0</v>
      </c>
      <c r="AN58" s="8">
        <f t="array" ref="AN58">COUNT(IF(Referee1=$A58,IF(AwayTeam=AN$4,1)))+COUNT(IF(Referee2=$A58,IF(AwayTeam=AN$4,1)))</f>
        <v>0</v>
      </c>
      <c r="AO58" s="8">
        <f t="array" ref="AO58">COUNT(IF(Referee1=$A58,IF(AwayTeam=AO$4,1)))+COUNT(IF(Referee2=$A58,IF(AwayTeam=AO$4,1)))</f>
        <v>0</v>
      </c>
      <c r="AP58" s="8">
        <f t="array" ref="AP58">COUNT(IF(Referee1=$A58,IF(AwayTeam=AP$4,1)))+COUNT(IF(Referee2=$A58,IF(AwayTeam=AP$4,1)))</f>
        <v>0</v>
      </c>
    </row>
    <row r="59" spans="1:42" x14ac:dyDescent="0.2">
      <c r="A59" s="8" t="str">
        <f>IF(Info!A56&lt;&gt;0,Info!A56,"")</f>
        <v>Referee 55</v>
      </c>
      <c r="B59" s="8">
        <f t="shared" si="0"/>
        <v>0</v>
      </c>
      <c r="C59" s="8">
        <f t="array" ref="C59">COUNT(IF(Referee1=$A59,IF(HomeTeam=C$4,1)))+COUNT(IF(Referee2=$A59,IF(HomeTeam=C$4,1)))</f>
        <v>0</v>
      </c>
      <c r="D59" s="8">
        <f t="array" ref="D59">COUNT(IF(Referee1=$A59,IF(HomeTeam=D$4,1)))+COUNT(IF(Referee2=$A59,IF(HomeTeam=D$4,1)))</f>
        <v>0</v>
      </c>
      <c r="E59" s="8">
        <f t="array" ref="E59">COUNT(IF(Referee1=$A59,IF(HomeTeam=E$4,1)))+COUNT(IF(Referee2=$A59,IF(HomeTeam=E$4,1)))</f>
        <v>0</v>
      </c>
      <c r="F59" s="8">
        <f t="array" ref="F59">COUNT(IF(Referee1=$A59,IF(HomeTeam=F$4,1)))+COUNT(IF(Referee2=$A59,IF(HomeTeam=F$4,1)))</f>
        <v>0</v>
      </c>
      <c r="G59" s="8">
        <f t="array" ref="G59">COUNT(IF(Referee1=$A59,IF(HomeTeam=G$4,1)))+COUNT(IF(Referee2=$A59,IF(HomeTeam=G$4,1)))</f>
        <v>0</v>
      </c>
      <c r="H59" s="8">
        <f t="array" ref="H59">COUNT(IF(Referee1=$A59,IF(HomeTeam=H$4,1)))+COUNT(IF(Referee2=$A59,IF(HomeTeam=H$4,1)))</f>
        <v>0</v>
      </c>
      <c r="I59" s="8">
        <f t="array" ref="I59">COUNT(IF(Referee1=$A59,IF(HomeTeam=I$4,1)))+COUNT(IF(Referee2=$A59,IF(HomeTeam=I$4,1)))</f>
        <v>0</v>
      </c>
      <c r="J59" s="8">
        <f t="array" ref="J59">COUNT(IF(Referee1=$A59,IF(HomeTeam=J$4,1)))+COUNT(IF(Referee2=$A59,IF(HomeTeam=J$4,1)))</f>
        <v>0</v>
      </c>
      <c r="K59" s="8">
        <f t="array" ref="K59">COUNT(IF(Referee1=$A59,IF(HomeTeam=K$4,1)))+COUNT(IF(Referee2=$A59,IF(HomeTeam=K$4,1)))</f>
        <v>0</v>
      </c>
      <c r="L59" s="8">
        <f t="array" ref="L59">COUNT(IF(Referee1=$A59,IF(HomeTeam=L$4,1)))+COUNT(IF(Referee2=$A59,IF(HomeTeam=L$4,1)))</f>
        <v>0</v>
      </c>
      <c r="M59" s="8">
        <f t="array" ref="M59">COUNT(IF(Referee1=$A59,IF(HomeTeam=M$4,1)))+COUNT(IF(Referee2=$A59,IF(HomeTeam=M$4,1)))</f>
        <v>0</v>
      </c>
      <c r="N59" s="8">
        <f t="array" ref="N59">COUNT(IF(Referee1=$A59,IF(HomeTeam=N$4,1)))+COUNT(IF(Referee2=$A59,IF(HomeTeam=N$4,1)))</f>
        <v>0</v>
      </c>
      <c r="O59" s="8">
        <f t="array" ref="O59">COUNT(IF(Referee1=$A59,IF(HomeTeam=O$4,1)))+COUNT(IF(Referee2=$A59,IF(HomeTeam=O$4,1)))</f>
        <v>0</v>
      </c>
      <c r="P59" s="8">
        <f t="array" ref="P59">COUNT(IF(Referee1=$A59,IF(HomeTeam=P$4,1)))+COUNT(IF(Referee2=$A59,IF(HomeTeam=P$4,1)))</f>
        <v>0</v>
      </c>
      <c r="Q59" s="8">
        <f t="array" ref="Q59">COUNT(IF(Referee1=$A59,IF(HomeTeam=Q$4,1)))+COUNT(IF(Referee2=$A59,IF(HomeTeam=Q$4,1)))</f>
        <v>0</v>
      </c>
      <c r="R59" s="8">
        <f t="array" ref="R59">COUNT(IF(Referee1=$A59,IF(HomeTeam=R$4,1)))+COUNT(IF(Referee2=$A59,IF(HomeTeam=R$4,1)))</f>
        <v>0</v>
      </c>
      <c r="S59" s="8">
        <f t="array" ref="S59">COUNT(IF(Referee1=$A59,IF(HomeTeam=S$4,1)))+COUNT(IF(Referee2=$A59,IF(HomeTeam=S$4,1)))</f>
        <v>0</v>
      </c>
      <c r="T59" s="8">
        <f t="array" ref="T59">COUNT(IF(Referee1=$A59,IF(HomeTeam=T$4,1)))+COUNT(IF(Referee2=$A59,IF(HomeTeam=T$4,1)))</f>
        <v>0</v>
      </c>
      <c r="U59" s="8">
        <f t="array" ref="U59">COUNT(IF(Referee1=$A59,IF(HomeTeam=U$4,1)))+COUNT(IF(Referee2=$A59,IF(HomeTeam=U$4,1)))</f>
        <v>0</v>
      </c>
      <c r="V59" s="8">
        <f t="array" ref="V59">COUNT(IF(Referee1=$A59,IF(HomeTeam=V$4,1)))+COUNT(IF(Referee2=$A59,IF(HomeTeam=V$4,1)))</f>
        <v>0</v>
      </c>
      <c r="W59" s="8">
        <f t="array" ref="W59">COUNT(IF(Referee1=$A59,IF(AwayTeam=W$4,1)))+COUNT(IF(Referee2=$A59,IF(AwayTeam=W$4,1)))</f>
        <v>0</v>
      </c>
      <c r="X59" s="8">
        <f t="array" ref="X59">COUNT(IF(Referee1=$A59,IF(AwayTeam=X$4,1)))+COUNT(IF(Referee2=$A59,IF(AwayTeam=X$4,1)))</f>
        <v>0</v>
      </c>
      <c r="Y59" s="8">
        <f t="array" ref="Y59">COUNT(IF(Referee1=$A59,IF(AwayTeam=Y$4,1)))+COUNT(IF(Referee2=$A59,IF(AwayTeam=Y$4,1)))</f>
        <v>0</v>
      </c>
      <c r="Z59" s="8">
        <f t="array" ref="Z59">COUNT(IF(Referee1=$A59,IF(AwayTeam=Z$4,1)))+COUNT(IF(Referee2=$A59,IF(AwayTeam=Z$4,1)))</f>
        <v>0</v>
      </c>
      <c r="AA59" s="8">
        <f t="array" ref="AA59">COUNT(IF(Referee1=$A59,IF(AwayTeam=AA$4,1)))+COUNT(IF(Referee2=$A59,IF(AwayTeam=AA$4,1)))</f>
        <v>0</v>
      </c>
      <c r="AB59" s="8">
        <f t="array" ref="AB59">COUNT(IF(Referee1=$A59,IF(AwayTeam=AB$4,1)))+COUNT(IF(Referee2=$A59,IF(AwayTeam=AB$4,1)))</f>
        <v>0</v>
      </c>
      <c r="AC59" s="8">
        <f t="array" ref="AC59">COUNT(IF(Referee1=$A59,IF(AwayTeam=AC$4,1)))+COUNT(IF(Referee2=$A59,IF(AwayTeam=AC$4,1)))</f>
        <v>0</v>
      </c>
      <c r="AD59" s="8">
        <f t="array" ref="AD59">COUNT(IF(Referee1=$A59,IF(AwayTeam=AD$4,1)))+COUNT(IF(Referee2=$A59,IF(AwayTeam=AD$4,1)))</f>
        <v>0</v>
      </c>
      <c r="AE59" s="8">
        <f t="array" ref="AE59">COUNT(IF(Referee1=$A59,IF(AwayTeam=AE$4,1)))+COUNT(IF(Referee2=$A59,IF(AwayTeam=AE$4,1)))</f>
        <v>0</v>
      </c>
      <c r="AF59" s="8">
        <f t="array" ref="AF59">COUNT(IF(Referee1=$A59,IF(AwayTeam=AF$4,1)))+COUNT(IF(Referee2=$A59,IF(AwayTeam=AF$4,1)))</f>
        <v>0</v>
      </c>
      <c r="AG59" s="8">
        <f t="array" ref="AG59">COUNT(IF(Referee1=$A59,IF(AwayTeam=AG$4,1)))+COUNT(IF(Referee2=$A59,IF(AwayTeam=AG$4,1)))</f>
        <v>0</v>
      </c>
      <c r="AH59" s="8">
        <f t="array" ref="AH59">COUNT(IF(Referee1=$A59,IF(AwayTeam=AH$4,1)))+COUNT(IF(Referee2=$A59,IF(AwayTeam=AH$4,1)))</f>
        <v>0</v>
      </c>
      <c r="AI59" s="8">
        <f t="array" ref="AI59">COUNT(IF(Referee1=$A59,IF(AwayTeam=AI$4,1)))+COUNT(IF(Referee2=$A59,IF(AwayTeam=AI$4,1)))</f>
        <v>0</v>
      </c>
      <c r="AJ59" s="8">
        <f t="array" ref="AJ59">COUNT(IF(Referee1=$A59,IF(AwayTeam=AJ$4,1)))+COUNT(IF(Referee2=$A59,IF(AwayTeam=AJ$4,1)))</f>
        <v>0</v>
      </c>
      <c r="AK59" s="8">
        <f t="array" ref="AK59">COUNT(IF(Referee1=$A59,IF(AwayTeam=AK$4,1)))+COUNT(IF(Referee2=$A59,IF(AwayTeam=AK$4,1)))</f>
        <v>0</v>
      </c>
      <c r="AL59" s="8">
        <f t="array" ref="AL59">COUNT(IF(Referee1=$A59,IF(AwayTeam=AL$4,1)))+COUNT(IF(Referee2=$A59,IF(AwayTeam=AL$4,1)))</f>
        <v>0</v>
      </c>
      <c r="AM59" s="8">
        <f t="array" ref="AM59">COUNT(IF(Referee1=$A59,IF(AwayTeam=AM$4,1)))+COUNT(IF(Referee2=$A59,IF(AwayTeam=AM$4,1)))</f>
        <v>0</v>
      </c>
      <c r="AN59" s="8">
        <f t="array" ref="AN59">COUNT(IF(Referee1=$A59,IF(AwayTeam=AN$4,1)))+COUNT(IF(Referee2=$A59,IF(AwayTeam=AN$4,1)))</f>
        <v>0</v>
      </c>
      <c r="AO59" s="8">
        <f t="array" ref="AO59">COUNT(IF(Referee1=$A59,IF(AwayTeam=AO$4,1)))+COUNT(IF(Referee2=$A59,IF(AwayTeam=AO$4,1)))</f>
        <v>0</v>
      </c>
      <c r="AP59" s="8">
        <f t="array" ref="AP59">COUNT(IF(Referee1=$A59,IF(AwayTeam=AP$4,1)))+COUNT(IF(Referee2=$A59,IF(AwayTeam=AP$4,1)))</f>
        <v>0</v>
      </c>
    </row>
    <row r="60" spans="1:42" x14ac:dyDescent="0.2">
      <c r="A60" s="8" t="str">
        <f>IF(Info!A57&lt;&gt;0,Info!A57,"")</f>
        <v>Referee 56</v>
      </c>
      <c r="B60" s="8">
        <f t="shared" si="0"/>
        <v>0</v>
      </c>
      <c r="C60" s="8">
        <f t="array" ref="C60">COUNT(IF(Referee1=$A60,IF(HomeTeam=C$4,1)))+COUNT(IF(Referee2=$A60,IF(HomeTeam=C$4,1)))</f>
        <v>0</v>
      </c>
      <c r="D60" s="8">
        <f t="array" ref="D60">COUNT(IF(Referee1=$A60,IF(HomeTeam=D$4,1)))+COUNT(IF(Referee2=$A60,IF(HomeTeam=D$4,1)))</f>
        <v>0</v>
      </c>
      <c r="E60" s="8">
        <f t="array" ref="E60">COUNT(IF(Referee1=$A60,IF(HomeTeam=E$4,1)))+COUNT(IF(Referee2=$A60,IF(HomeTeam=E$4,1)))</f>
        <v>0</v>
      </c>
      <c r="F60" s="8">
        <f t="array" ref="F60">COUNT(IF(Referee1=$A60,IF(HomeTeam=F$4,1)))+COUNT(IF(Referee2=$A60,IF(HomeTeam=F$4,1)))</f>
        <v>0</v>
      </c>
      <c r="G60" s="8">
        <f t="array" ref="G60">COUNT(IF(Referee1=$A60,IF(HomeTeam=G$4,1)))+COUNT(IF(Referee2=$A60,IF(HomeTeam=G$4,1)))</f>
        <v>0</v>
      </c>
      <c r="H60" s="8">
        <f t="array" ref="H60">COUNT(IF(Referee1=$A60,IF(HomeTeam=H$4,1)))+COUNT(IF(Referee2=$A60,IF(HomeTeam=H$4,1)))</f>
        <v>0</v>
      </c>
      <c r="I60" s="8">
        <f t="array" ref="I60">COUNT(IF(Referee1=$A60,IF(HomeTeam=I$4,1)))+COUNT(IF(Referee2=$A60,IF(HomeTeam=I$4,1)))</f>
        <v>0</v>
      </c>
      <c r="J60" s="8">
        <f t="array" ref="J60">COUNT(IF(Referee1=$A60,IF(HomeTeam=J$4,1)))+COUNT(IF(Referee2=$A60,IF(HomeTeam=J$4,1)))</f>
        <v>0</v>
      </c>
      <c r="K60" s="8">
        <f t="array" ref="K60">COUNT(IF(Referee1=$A60,IF(HomeTeam=K$4,1)))+COUNT(IF(Referee2=$A60,IF(HomeTeam=K$4,1)))</f>
        <v>0</v>
      </c>
      <c r="L60" s="8">
        <f t="array" ref="L60">COUNT(IF(Referee1=$A60,IF(HomeTeam=L$4,1)))+COUNT(IF(Referee2=$A60,IF(HomeTeam=L$4,1)))</f>
        <v>0</v>
      </c>
      <c r="M60" s="8">
        <f t="array" ref="M60">COUNT(IF(Referee1=$A60,IF(HomeTeam=M$4,1)))+COUNT(IF(Referee2=$A60,IF(HomeTeam=M$4,1)))</f>
        <v>0</v>
      </c>
      <c r="N60" s="8">
        <f t="array" ref="N60">COUNT(IF(Referee1=$A60,IF(HomeTeam=N$4,1)))+COUNT(IF(Referee2=$A60,IF(HomeTeam=N$4,1)))</f>
        <v>0</v>
      </c>
      <c r="O60" s="8">
        <f t="array" ref="O60">COUNT(IF(Referee1=$A60,IF(HomeTeam=O$4,1)))+COUNT(IF(Referee2=$A60,IF(HomeTeam=O$4,1)))</f>
        <v>0</v>
      </c>
      <c r="P60" s="8">
        <f t="array" ref="P60">COUNT(IF(Referee1=$A60,IF(HomeTeam=P$4,1)))+COUNT(IF(Referee2=$A60,IF(HomeTeam=P$4,1)))</f>
        <v>0</v>
      </c>
      <c r="Q60" s="8">
        <f t="array" ref="Q60">COUNT(IF(Referee1=$A60,IF(HomeTeam=Q$4,1)))+COUNT(IF(Referee2=$A60,IF(HomeTeam=Q$4,1)))</f>
        <v>0</v>
      </c>
      <c r="R60" s="8">
        <f t="array" ref="R60">COUNT(IF(Referee1=$A60,IF(HomeTeam=R$4,1)))+COUNT(IF(Referee2=$A60,IF(HomeTeam=R$4,1)))</f>
        <v>0</v>
      </c>
      <c r="S60" s="8">
        <f t="array" ref="S60">COUNT(IF(Referee1=$A60,IF(HomeTeam=S$4,1)))+COUNT(IF(Referee2=$A60,IF(HomeTeam=S$4,1)))</f>
        <v>0</v>
      </c>
      <c r="T60" s="8">
        <f t="array" ref="T60">COUNT(IF(Referee1=$A60,IF(HomeTeam=T$4,1)))+COUNT(IF(Referee2=$A60,IF(HomeTeam=T$4,1)))</f>
        <v>0</v>
      </c>
      <c r="U60" s="8">
        <f t="array" ref="U60">COUNT(IF(Referee1=$A60,IF(HomeTeam=U$4,1)))+COUNT(IF(Referee2=$A60,IF(HomeTeam=U$4,1)))</f>
        <v>0</v>
      </c>
      <c r="V60" s="8">
        <f t="array" ref="V60">COUNT(IF(Referee1=$A60,IF(HomeTeam=V$4,1)))+COUNT(IF(Referee2=$A60,IF(HomeTeam=V$4,1)))</f>
        <v>0</v>
      </c>
      <c r="W60" s="8">
        <f t="array" ref="W60">COUNT(IF(Referee1=$A60,IF(AwayTeam=W$4,1)))+COUNT(IF(Referee2=$A60,IF(AwayTeam=W$4,1)))</f>
        <v>0</v>
      </c>
      <c r="X60" s="8">
        <f t="array" ref="X60">COUNT(IF(Referee1=$A60,IF(AwayTeam=X$4,1)))+COUNT(IF(Referee2=$A60,IF(AwayTeam=X$4,1)))</f>
        <v>0</v>
      </c>
      <c r="Y60" s="8">
        <f t="array" ref="Y60">COUNT(IF(Referee1=$A60,IF(AwayTeam=Y$4,1)))+COUNT(IF(Referee2=$A60,IF(AwayTeam=Y$4,1)))</f>
        <v>0</v>
      </c>
      <c r="Z60" s="8">
        <f t="array" ref="Z60">COUNT(IF(Referee1=$A60,IF(AwayTeam=Z$4,1)))+COUNT(IF(Referee2=$A60,IF(AwayTeam=Z$4,1)))</f>
        <v>0</v>
      </c>
      <c r="AA60" s="8">
        <f t="array" ref="AA60">COUNT(IF(Referee1=$A60,IF(AwayTeam=AA$4,1)))+COUNT(IF(Referee2=$A60,IF(AwayTeam=AA$4,1)))</f>
        <v>0</v>
      </c>
      <c r="AB60" s="8">
        <f t="array" ref="AB60">COUNT(IF(Referee1=$A60,IF(AwayTeam=AB$4,1)))+COUNT(IF(Referee2=$A60,IF(AwayTeam=AB$4,1)))</f>
        <v>0</v>
      </c>
      <c r="AC60" s="8">
        <f t="array" ref="AC60">COUNT(IF(Referee1=$A60,IF(AwayTeam=AC$4,1)))+COUNT(IF(Referee2=$A60,IF(AwayTeam=AC$4,1)))</f>
        <v>0</v>
      </c>
      <c r="AD60" s="8">
        <f t="array" ref="AD60">COUNT(IF(Referee1=$A60,IF(AwayTeam=AD$4,1)))+COUNT(IF(Referee2=$A60,IF(AwayTeam=AD$4,1)))</f>
        <v>0</v>
      </c>
      <c r="AE60" s="8">
        <f t="array" ref="AE60">COUNT(IF(Referee1=$A60,IF(AwayTeam=AE$4,1)))+COUNT(IF(Referee2=$A60,IF(AwayTeam=AE$4,1)))</f>
        <v>0</v>
      </c>
      <c r="AF60" s="8">
        <f t="array" ref="AF60">COUNT(IF(Referee1=$A60,IF(AwayTeam=AF$4,1)))+COUNT(IF(Referee2=$A60,IF(AwayTeam=AF$4,1)))</f>
        <v>0</v>
      </c>
      <c r="AG60" s="8">
        <f t="array" ref="AG60">COUNT(IF(Referee1=$A60,IF(AwayTeam=AG$4,1)))+COUNT(IF(Referee2=$A60,IF(AwayTeam=AG$4,1)))</f>
        <v>0</v>
      </c>
      <c r="AH60" s="8">
        <f t="array" ref="AH60">COUNT(IF(Referee1=$A60,IF(AwayTeam=AH$4,1)))+COUNT(IF(Referee2=$A60,IF(AwayTeam=AH$4,1)))</f>
        <v>0</v>
      </c>
      <c r="AI60" s="8">
        <f t="array" ref="AI60">COUNT(IF(Referee1=$A60,IF(AwayTeam=AI$4,1)))+COUNT(IF(Referee2=$A60,IF(AwayTeam=AI$4,1)))</f>
        <v>0</v>
      </c>
      <c r="AJ60" s="8">
        <f t="array" ref="AJ60">COUNT(IF(Referee1=$A60,IF(AwayTeam=AJ$4,1)))+COUNT(IF(Referee2=$A60,IF(AwayTeam=AJ$4,1)))</f>
        <v>0</v>
      </c>
      <c r="AK60" s="8">
        <f t="array" ref="AK60">COUNT(IF(Referee1=$A60,IF(AwayTeam=AK$4,1)))+COUNT(IF(Referee2=$A60,IF(AwayTeam=AK$4,1)))</f>
        <v>0</v>
      </c>
      <c r="AL60" s="8">
        <f t="array" ref="AL60">COUNT(IF(Referee1=$A60,IF(AwayTeam=AL$4,1)))+COUNT(IF(Referee2=$A60,IF(AwayTeam=AL$4,1)))</f>
        <v>0</v>
      </c>
      <c r="AM60" s="8">
        <f t="array" ref="AM60">COUNT(IF(Referee1=$A60,IF(AwayTeam=AM$4,1)))+COUNT(IF(Referee2=$A60,IF(AwayTeam=AM$4,1)))</f>
        <v>0</v>
      </c>
      <c r="AN60" s="8">
        <f t="array" ref="AN60">COUNT(IF(Referee1=$A60,IF(AwayTeam=AN$4,1)))+COUNT(IF(Referee2=$A60,IF(AwayTeam=AN$4,1)))</f>
        <v>0</v>
      </c>
      <c r="AO60" s="8">
        <f t="array" ref="AO60">COUNT(IF(Referee1=$A60,IF(AwayTeam=AO$4,1)))+COUNT(IF(Referee2=$A60,IF(AwayTeam=AO$4,1)))</f>
        <v>0</v>
      </c>
      <c r="AP60" s="8">
        <f t="array" ref="AP60">COUNT(IF(Referee1=$A60,IF(AwayTeam=AP$4,1)))+COUNT(IF(Referee2=$A60,IF(AwayTeam=AP$4,1)))</f>
        <v>0</v>
      </c>
    </row>
    <row r="61" spans="1:42" x14ac:dyDescent="0.2">
      <c r="A61" s="8" t="str">
        <f>IF(Info!A58&lt;&gt;0,Info!A58,"")</f>
        <v>Referee 57</v>
      </c>
      <c r="B61" s="8">
        <f t="shared" si="0"/>
        <v>0</v>
      </c>
      <c r="C61" s="8">
        <f t="array" ref="C61">COUNT(IF(Referee1=$A61,IF(HomeTeam=C$4,1)))+COUNT(IF(Referee2=$A61,IF(HomeTeam=C$4,1)))</f>
        <v>0</v>
      </c>
      <c r="D61" s="8">
        <f t="array" ref="D61">COUNT(IF(Referee1=$A61,IF(HomeTeam=D$4,1)))+COUNT(IF(Referee2=$A61,IF(HomeTeam=D$4,1)))</f>
        <v>0</v>
      </c>
      <c r="E61" s="8">
        <f t="array" ref="E61">COUNT(IF(Referee1=$A61,IF(HomeTeam=E$4,1)))+COUNT(IF(Referee2=$A61,IF(HomeTeam=E$4,1)))</f>
        <v>0</v>
      </c>
      <c r="F61" s="8">
        <f t="array" ref="F61">COUNT(IF(Referee1=$A61,IF(HomeTeam=F$4,1)))+COUNT(IF(Referee2=$A61,IF(HomeTeam=F$4,1)))</f>
        <v>0</v>
      </c>
      <c r="G61" s="8">
        <f t="array" ref="G61">COUNT(IF(Referee1=$A61,IF(HomeTeam=G$4,1)))+COUNT(IF(Referee2=$A61,IF(HomeTeam=G$4,1)))</f>
        <v>0</v>
      </c>
      <c r="H61" s="8">
        <f t="array" ref="H61">COUNT(IF(Referee1=$A61,IF(HomeTeam=H$4,1)))+COUNT(IF(Referee2=$A61,IF(HomeTeam=H$4,1)))</f>
        <v>0</v>
      </c>
      <c r="I61" s="8">
        <f t="array" ref="I61">COUNT(IF(Referee1=$A61,IF(HomeTeam=I$4,1)))+COUNT(IF(Referee2=$A61,IF(HomeTeam=I$4,1)))</f>
        <v>0</v>
      </c>
      <c r="J61" s="8">
        <f t="array" ref="J61">COUNT(IF(Referee1=$A61,IF(HomeTeam=J$4,1)))+COUNT(IF(Referee2=$A61,IF(HomeTeam=J$4,1)))</f>
        <v>0</v>
      </c>
      <c r="K61" s="8">
        <f t="array" ref="K61">COUNT(IF(Referee1=$A61,IF(HomeTeam=K$4,1)))+COUNT(IF(Referee2=$A61,IF(HomeTeam=K$4,1)))</f>
        <v>0</v>
      </c>
      <c r="L61" s="8">
        <f t="array" ref="L61">COUNT(IF(Referee1=$A61,IF(HomeTeam=L$4,1)))+COUNT(IF(Referee2=$A61,IF(HomeTeam=L$4,1)))</f>
        <v>0</v>
      </c>
      <c r="M61" s="8">
        <f t="array" ref="M61">COUNT(IF(Referee1=$A61,IF(HomeTeam=M$4,1)))+COUNT(IF(Referee2=$A61,IF(HomeTeam=M$4,1)))</f>
        <v>0</v>
      </c>
      <c r="N61" s="8">
        <f t="array" ref="N61">COUNT(IF(Referee1=$A61,IF(HomeTeam=N$4,1)))+COUNT(IF(Referee2=$A61,IF(HomeTeam=N$4,1)))</f>
        <v>0</v>
      </c>
      <c r="O61" s="8">
        <f t="array" ref="O61">COUNT(IF(Referee1=$A61,IF(HomeTeam=O$4,1)))+COUNT(IF(Referee2=$A61,IF(HomeTeam=O$4,1)))</f>
        <v>0</v>
      </c>
      <c r="P61" s="8">
        <f t="array" ref="P61">COUNT(IF(Referee1=$A61,IF(HomeTeam=P$4,1)))+COUNT(IF(Referee2=$A61,IF(HomeTeam=P$4,1)))</f>
        <v>0</v>
      </c>
      <c r="Q61" s="8">
        <f t="array" ref="Q61">COUNT(IF(Referee1=$A61,IF(HomeTeam=Q$4,1)))+COUNT(IF(Referee2=$A61,IF(HomeTeam=Q$4,1)))</f>
        <v>0</v>
      </c>
      <c r="R61" s="8">
        <f t="array" ref="R61">COUNT(IF(Referee1=$A61,IF(HomeTeam=R$4,1)))+COUNT(IF(Referee2=$A61,IF(HomeTeam=R$4,1)))</f>
        <v>0</v>
      </c>
      <c r="S61" s="8">
        <f t="array" ref="S61">COUNT(IF(Referee1=$A61,IF(HomeTeam=S$4,1)))+COUNT(IF(Referee2=$A61,IF(HomeTeam=S$4,1)))</f>
        <v>0</v>
      </c>
      <c r="T61" s="8">
        <f t="array" ref="T61">COUNT(IF(Referee1=$A61,IF(HomeTeam=T$4,1)))+COUNT(IF(Referee2=$A61,IF(HomeTeam=T$4,1)))</f>
        <v>0</v>
      </c>
      <c r="U61" s="8">
        <f t="array" ref="U61">COUNT(IF(Referee1=$A61,IF(HomeTeam=U$4,1)))+COUNT(IF(Referee2=$A61,IF(HomeTeam=U$4,1)))</f>
        <v>0</v>
      </c>
      <c r="V61" s="8">
        <f t="array" ref="V61">COUNT(IF(Referee1=$A61,IF(HomeTeam=V$4,1)))+COUNT(IF(Referee2=$A61,IF(HomeTeam=V$4,1)))</f>
        <v>0</v>
      </c>
      <c r="W61" s="8">
        <f t="array" ref="W61">COUNT(IF(Referee1=$A61,IF(AwayTeam=W$4,1)))+COUNT(IF(Referee2=$A61,IF(AwayTeam=W$4,1)))</f>
        <v>0</v>
      </c>
      <c r="X61" s="8">
        <f t="array" ref="X61">COUNT(IF(Referee1=$A61,IF(AwayTeam=X$4,1)))+COUNT(IF(Referee2=$A61,IF(AwayTeam=X$4,1)))</f>
        <v>0</v>
      </c>
      <c r="Y61" s="8">
        <f t="array" ref="Y61">COUNT(IF(Referee1=$A61,IF(AwayTeam=Y$4,1)))+COUNT(IF(Referee2=$A61,IF(AwayTeam=Y$4,1)))</f>
        <v>0</v>
      </c>
      <c r="Z61" s="8">
        <f t="array" ref="Z61">COUNT(IF(Referee1=$A61,IF(AwayTeam=Z$4,1)))+COUNT(IF(Referee2=$A61,IF(AwayTeam=Z$4,1)))</f>
        <v>0</v>
      </c>
      <c r="AA61" s="8">
        <f t="array" ref="AA61">COUNT(IF(Referee1=$A61,IF(AwayTeam=AA$4,1)))+COUNT(IF(Referee2=$A61,IF(AwayTeam=AA$4,1)))</f>
        <v>0</v>
      </c>
      <c r="AB61" s="8">
        <f t="array" ref="AB61">COUNT(IF(Referee1=$A61,IF(AwayTeam=AB$4,1)))+COUNT(IF(Referee2=$A61,IF(AwayTeam=AB$4,1)))</f>
        <v>0</v>
      </c>
      <c r="AC61" s="8">
        <f t="array" ref="AC61">COUNT(IF(Referee1=$A61,IF(AwayTeam=AC$4,1)))+COUNT(IF(Referee2=$A61,IF(AwayTeam=AC$4,1)))</f>
        <v>0</v>
      </c>
      <c r="AD61" s="8">
        <f t="array" ref="AD61">COUNT(IF(Referee1=$A61,IF(AwayTeam=AD$4,1)))+COUNT(IF(Referee2=$A61,IF(AwayTeam=AD$4,1)))</f>
        <v>0</v>
      </c>
      <c r="AE61" s="8">
        <f t="array" ref="AE61">COUNT(IF(Referee1=$A61,IF(AwayTeam=AE$4,1)))+COUNT(IF(Referee2=$A61,IF(AwayTeam=AE$4,1)))</f>
        <v>0</v>
      </c>
      <c r="AF61" s="8">
        <f t="array" ref="AF61">COUNT(IF(Referee1=$A61,IF(AwayTeam=AF$4,1)))+COUNT(IF(Referee2=$A61,IF(AwayTeam=AF$4,1)))</f>
        <v>0</v>
      </c>
      <c r="AG61" s="8">
        <f t="array" ref="AG61">COUNT(IF(Referee1=$A61,IF(AwayTeam=AG$4,1)))+COUNT(IF(Referee2=$A61,IF(AwayTeam=AG$4,1)))</f>
        <v>0</v>
      </c>
      <c r="AH61" s="8">
        <f t="array" ref="AH61">COUNT(IF(Referee1=$A61,IF(AwayTeam=AH$4,1)))+COUNT(IF(Referee2=$A61,IF(AwayTeam=AH$4,1)))</f>
        <v>0</v>
      </c>
      <c r="AI61" s="8">
        <f t="array" ref="AI61">COUNT(IF(Referee1=$A61,IF(AwayTeam=AI$4,1)))+COUNT(IF(Referee2=$A61,IF(AwayTeam=AI$4,1)))</f>
        <v>0</v>
      </c>
      <c r="AJ61" s="8">
        <f t="array" ref="AJ61">COUNT(IF(Referee1=$A61,IF(AwayTeam=AJ$4,1)))+COUNT(IF(Referee2=$A61,IF(AwayTeam=AJ$4,1)))</f>
        <v>0</v>
      </c>
      <c r="AK61" s="8">
        <f t="array" ref="AK61">COUNT(IF(Referee1=$A61,IF(AwayTeam=AK$4,1)))+COUNT(IF(Referee2=$A61,IF(AwayTeam=AK$4,1)))</f>
        <v>0</v>
      </c>
      <c r="AL61" s="8">
        <f t="array" ref="AL61">COUNT(IF(Referee1=$A61,IF(AwayTeam=AL$4,1)))+COUNT(IF(Referee2=$A61,IF(AwayTeam=AL$4,1)))</f>
        <v>0</v>
      </c>
      <c r="AM61" s="8">
        <f t="array" ref="AM61">COUNT(IF(Referee1=$A61,IF(AwayTeam=AM$4,1)))+COUNT(IF(Referee2=$A61,IF(AwayTeam=AM$4,1)))</f>
        <v>0</v>
      </c>
      <c r="AN61" s="8">
        <f t="array" ref="AN61">COUNT(IF(Referee1=$A61,IF(AwayTeam=AN$4,1)))+COUNT(IF(Referee2=$A61,IF(AwayTeam=AN$4,1)))</f>
        <v>0</v>
      </c>
      <c r="AO61" s="8">
        <f t="array" ref="AO61">COUNT(IF(Referee1=$A61,IF(AwayTeam=AO$4,1)))+COUNT(IF(Referee2=$A61,IF(AwayTeam=AO$4,1)))</f>
        <v>0</v>
      </c>
      <c r="AP61" s="8">
        <f t="array" ref="AP61">COUNT(IF(Referee1=$A61,IF(AwayTeam=AP$4,1)))+COUNT(IF(Referee2=$A61,IF(AwayTeam=AP$4,1)))</f>
        <v>0</v>
      </c>
    </row>
    <row r="62" spans="1:42" x14ac:dyDescent="0.2">
      <c r="A62" s="8" t="str">
        <f>IF(Info!A59&lt;&gt;0,Info!A59,"")</f>
        <v>Referee 58</v>
      </c>
      <c r="B62" s="8">
        <f t="shared" si="0"/>
        <v>0</v>
      </c>
      <c r="C62" s="8">
        <f t="array" ref="C62">COUNT(IF(Referee1=$A62,IF(HomeTeam=C$4,1)))+COUNT(IF(Referee2=$A62,IF(HomeTeam=C$4,1)))</f>
        <v>0</v>
      </c>
      <c r="D62" s="8">
        <f t="array" ref="D62">COUNT(IF(Referee1=$A62,IF(HomeTeam=D$4,1)))+COUNT(IF(Referee2=$A62,IF(HomeTeam=D$4,1)))</f>
        <v>0</v>
      </c>
      <c r="E62" s="8">
        <f t="array" ref="E62">COUNT(IF(Referee1=$A62,IF(HomeTeam=E$4,1)))+COUNT(IF(Referee2=$A62,IF(HomeTeam=E$4,1)))</f>
        <v>0</v>
      </c>
      <c r="F62" s="8">
        <f t="array" ref="F62">COUNT(IF(Referee1=$A62,IF(HomeTeam=F$4,1)))+COUNT(IF(Referee2=$A62,IF(HomeTeam=F$4,1)))</f>
        <v>0</v>
      </c>
      <c r="G62" s="8">
        <f t="array" ref="G62">COUNT(IF(Referee1=$A62,IF(HomeTeam=G$4,1)))+COUNT(IF(Referee2=$A62,IF(HomeTeam=G$4,1)))</f>
        <v>0</v>
      </c>
      <c r="H62" s="8">
        <f t="array" ref="H62">COUNT(IF(Referee1=$A62,IF(HomeTeam=H$4,1)))+COUNT(IF(Referee2=$A62,IF(HomeTeam=H$4,1)))</f>
        <v>0</v>
      </c>
      <c r="I62" s="8">
        <f t="array" ref="I62">COUNT(IF(Referee1=$A62,IF(HomeTeam=I$4,1)))+COUNT(IF(Referee2=$A62,IF(HomeTeam=I$4,1)))</f>
        <v>0</v>
      </c>
      <c r="J62" s="8">
        <f t="array" ref="J62">COUNT(IF(Referee1=$A62,IF(HomeTeam=J$4,1)))+COUNT(IF(Referee2=$A62,IF(HomeTeam=J$4,1)))</f>
        <v>0</v>
      </c>
      <c r="K62" s="8">
        <f t="array" ref="K62">COUNT(IF(Referee1=$A62,IF(HomeTeam=K$4,1)))+COUNT(IF(Referee2=$A62,IF(HomeTeam=K$4,1)))</f>
        <v>0</v>
      </c>
      <c r="L62" s="8">
        <f t="array" ref="L62">COUNT(IF(Referee1=$A62,IF(HomeTeam=L$4,1)))+COUNT(IF(Referee2=$A62,IF(HomeTeam=L$4,1)))</f>
        <v>0</v>
      </c>
      <c r="M62" s="8">
        <f t="array" ref="M62">COUNT(IF(Referee1=$A62,IF(HomeTeam=M$4,1)))+COUNT(IF(Referee2=$A62,IF(HomeTeam=M$4,1)))</f>
        <v>0</v>
      </c>
      <c r="N62" s="8">
        <f t="array" ref="N62">COUNT(IF(Referee1=$A62,IF(HomeTeam=N$4,1)))+COUNT(IF(Referee2=$A62,IF(HomeTeam=N$4,1)))</f>
        <v>0</v>
      </c>
      <c r="O62" s="8">
        <f t="array" ref="O62">COUNT(IF(Referee1=$A62,IF(HomeTeam=O$4,1)))+COUNT(IF(Referee2=$A62,IF(HomeTeam=O$4,1)))</f>
        <v>0</v>
      </c>
      <c r="P62" s="8">
        <f t="array" ref="P62">COUNT(IF(Referee1=$A62,IF(HomeTeam=P$4,1)))+COUNT(IF(Referee2=$A62,IF(HomeTeam=P$4,1)))</f>
        <v>0</v>
      </c>
      <c r="Q62" s="8">
        <f t="array" ref="Q62">COUNT(IF(Referee1=$A62,IF(HomeTeam=Q$4,1)))+COUNT(IF(Referee2=$A62,IF(HomeTeam=Q$4,1)))</f>
        <v>0</v>
      </c>
      <c r="R62" s="8">
        <f t="array" ref="R62">COUNT(IF(Referee1=$A62,IF(HomeTeam=R$4,1)))+COUNT(IF(Referee2=$A62,IF(HomeTeam=R$4,1)))</f>
        <v>0</v>
      </c>
      <c r="S62" s="8">
        <f t="array" ref="S62">COUNT(IF(Referee1=$A62,IF(HomeTeam=S$4,1)))+COUNT(IF(Referee2=$A62,IF(HomeTeam=S$4,1)))</f>
        <v>0</v>
      </c>
      <c r="T62" s="8">
        <f t="array" ref="T62">COUNT(IF(Referee1=$A62,IF(HomeTeam=T$4,1)))+COUNT(IF(Referee2=$A62,IF(HomeTeam=T$4,1)))</f>
        <v>0</v>
      </c>
      <c r="U62" s="8">
        <f t="array" ref="U62">COUNT(IF(Referee1=$A62,IF(HomeTeam=U$4,1)))+COUNT(IF(Referee2=$A62,IF(HomeTeam=U$4,1)))</f>
        <v>0</v>
      </c>
      <c r="V62" s="8">
        <f t="array" ref="V62">COUNT(IF(Referee1=$A62,IF(HomeTeam=V$4,1)))+COUNT(IF(Referee2=$A62,IF(HomeTeam=V$4,1)))</f>
        <v>0</v>
      </c>
      <c r="W62" s="8">
        <f t="array" ref="W62">COUNT(IF(Referee1=$A62,IF(AwayTeam=W$4,1)))+COUNT(IF(Referee2=$A62,IF(AwayTeam=W$4,1)))</f>
        <v>0</v>
      </c>
      <c r="X62" s="8">
        <f t="array" ref="X62">COUNT(IF(Referee1=$A62,IF(AwayTeam=X$4,1)))+COUNT(IF(Referee2=$A62,IF(AwayTeam=X$4,1)))</f>
        <v>0</v>
      </c>
      <c r="Y62" s="8">
        <f t="array" ref="Y62">COUNT(IF(Referee1=$A62,IF(AwayTeam=Y$4,1)))+COUNT(IF(Referee2=$A62,IF(AwayTeam=Y$4,1)))</f>
        <v>0</v>
      </c>
      <c r="Z62" s="8">
        <f t="array" ref="Z62">COUNT(IF(Referee1=$A62,IF(AwayTeam=Z$4,1)))+COUNT(IF(Referee2=$A62,IF(AwayTeam=Z$4,1)))</f>
        <v>0</v>
      </c>
      <c r="AA62" s="8">
        <f t="array" ref="AA62">COUNT(IF(Referee1=$A62,IF(AwayTeam=AA$4,1)))+COUNT(IF(Referee2=$A62,IF(AwayTeam=AA$4,1)))</f>
        <v>0</v>
      </c>
      <c r="AB62" s="8">
        <f t="array" ref="AB62">COUNT(IF(Referee1=$A62,IF(AwayTeam=AB$4,1)))+COUNT(IF(Referee2=$A62,IF(AwayTeam=AB$4,1)))</f>
        <v>0</v>
      </c>
      <c r="AC62" s="8">
        <f t="array" ref="AC62">COUNT(IF(Referee1=$A62,IF(AwayTeam=AC$4,1)))+COUNT(IF(Referee2=$A62,IF(AwayTeam=AC$4,1)))</f>
        <v>0</v>
      </c>
      <c r="AD62" s="8">
        <f t="array" ref="AD62">COUNT(IF(Referee1=$A62,IF(AwayTeam=AD$4,1)))+COUNT(IF(Referee2=$A62,IF(AwayTeam=AD$4,1)))</f>
        <v>0</v>
      </c>
      <c r="AE62" s="8">
        <f t="array" ref="AE62">COUNT(IF(Referee1=$A62,IF(AwayTeam=AE$4,1)))+COUNT(IF(Referee2=$A62,IF(AwayTeam=AE$4,1)))</f>
        <v>0</v>
      </c>
      <c r="AF62" s="8">
        <f t="array" ref="AF62">COUNT(IF(Referee1=$A62,IF(AwayTeam=AF$4,1)))+COUNT(IF(Referee2=$A62,IF(AwayTeam=AF$4,1)))</f>
        <v>0</v>
      </c>
      <c r="AG62" s="8">
        <f t="array" ref="AG62">COUNT(IF(Referee1=$A62,IF(AwayTeam=AG$4,1)))+COUNT(IF(Referee2=$A62,IF(AwayTeam=AG$4,1)))</f>
        <v>0</v>
      </c>
      <c r="AH62" s="8">
        <f t="array" ref="AH62">COUNT(IF(Referee1=$A62,IF(AwayTeam=AH$4,1)))+COUNT(IF(Referee2=$A62,IF(AwayTeam=AH$4,1)))</f>
        <v>0</v>
      </c>
      <c r="AI62" s="8">
        <f t="array" ref="AI62">COUNT(IF(Referee1=$A62,IF(AwayTeam=AI$4,1)))+COUNT(IF(Referee2=$A62,IF(AwayTeam=AI$4,1)))</f>
        <v>0</v>
      </c>
      <c r="AJ62" s="8">
        <f t="array" ref="AJ62">COUNT(IF(Referee1=$A62,IF(AwayTeam=AJ$4,1)))+COUNT(IF(Referee2=$A62,IF(AwayTeam=AJ$4,1)))</f>
        <v>0</v>
      </c>
      <c r="AK62" s="8">
        <f t="array" ref="AK62">COUNT(IF(Referee1=$A62,IF(AwayTeam=AK$4,1)))+COUNT(IF(Referee2=$A62,IF(AwayTeam=AK$4,1)))</f>
        <v>0</v>
      </c>
      <c r="AL62" s="8">
        <f t="array" ref="AL62">COUNT(IF(Referee1=$A62,IF(AwayTeam=AL$4,1)))+COUNT(IF(Referee2=$A62,IF(AwayTeam=AL$4,1)))</f>
        <v>0</v>
      </c>
      <c r="AM62" s="8">
        <f t="array" ref="AM62">COUNT(IF(Referee1=$A62,IF(AwayTeam=AM$4,1)))+COUNT(IF(Referee2=$A62,IF(AwayTeam=AM$4,1)))</f>
        <v>0</v>
      </c>
      <c r="AN62" s="8">
        <f t="array" ref="AN62">COUNT(IF(Referee1=$A62,IF(AwayTeam=AN$4,1)))+COUNT(IF(Referee2=$A62,IF(AwayTeam=AN$4,1)))</f>
        <v>0</v>
      </c>
      <c r="AO62" s="8">
        <f t="array" ref="AO62">COUNT(IF(Referee1=$A62,IF(AwayTeam=AO$4,1)))+COUNT(IF(Referee2=$A62,IF(AwayTeam=AO$4,1)))</f>
        <v>0</v>
      </c>
      <c r="AP62" s="8">
        <f t="array" ref="AP62">COUNT(IF(Referee1=$A62,IF(AwayTeam=AP$4,1)))+COUNT(IF(Referee2=$A62,IF(AwayTeam=AP$4,1)))</f>
        <v>0</v>
      </c>
    </row>
    <row r="63" spans="1:42" x14ac:dyDescent="0.2">
      <c r="A63" s="8" t="str">
        <f>IF(Info!A60&lt;&gt;0,Info!A60,"")</f>
        <v>Referee 59</v>
      </c>
      <c r="B63" s="8">
        <f t="shared" si="0"/>
        <v>0</v>
      </c>
      <c r="C63" s="8">
        <f t="array" ref="C63">COUNT(IF(Referee1=$A63,IF(HomeTeam=C$4,1)))+COUNT(IF(Referee2=$A63,IF(HomeTeam=C$4,1)))</f>
        <v>0</v>
      </c>
      <c r="D63" s="8">
        <f t="array" ref="D63">COUNT(IF(Referee1=$A63,IF(HomeTeam=D$4,1)))+COUNT(IF(Referee2=$A63,IF(HomeTeam=D$4,1)))</f>
        <v>0</v>
      </c>
      <c r="E63" s="8">
        <f t="array" ref="E63">COUNT(IF(Referee1=$A63,IF(HomeTeam=E$4,1)))+COUNT(IF(Referee2=$A63,IF(HomeTeam=E$4,1)))</f>
        <v>0</v>
      </c>
      <c r="F63" s="8">
        <f t="array" ref="F63">COUNT(IF(Referee1=$A63,IF(HomeTeam=F$4,1)))+COUNT(IF(Referee2=$A63,IF(HomeTeam=F$4,1)))</f>
        <v>0</v>
      </c>
      <c r="G63" s="8">
        <f t="array" ref="G63">COUNT(IF(Referee1=$A63,IF(HomeTeam=G$4,1)))+COUNT(IF(Referee2=$A63,IF(HomeTeam=G$4,1)))</f>
        <v>0</v>
      </c>
      <c r="H63" s="8">
        <f t="array" ref="H63">COUNT(IF(Referee1=$A63,IF(HomeTeam=H$4,1)))+COUNT(IF(Referee2=$A63,IF(HomeTeam=H$4,1)))</f>
        <v>0</v>
      </c>
      <c r="I63" s="8">
        <f t="array" ref="I63">COUNT(IF(Referee1=$A63,IF(HomeTeam=I$4,1)))+COUNT(IF(Referee2=$A63,IF(HomeTeam=I$4,1)))</f>
        <v>0</v>
      </c>
      <c r="J63" s="8">
        <f t="array" ref="J63">COUNT(IF(Referee1=$A63,IF(HomeTeam=J$4,1)))+COUNT(IF(Referee2=$A63,IF(HomeTeam=J$4,1)))</f>
        <v>0</v>
      </c>
      <c r="K63" s="8">
        <f t="array" ref="K63">COUNT(IF(Referee1=$A63,IF(HomeTeam=K$4,1)))+COUNT(IF(Referee2=$A63,IF(HomeTeam=K$4,1)))</f>
        <v>0</v>
      </c>
      <c r="L63" s="8">
        <f t="array" ref="L63">COUNT(IF(Referee1=$A63,IF(HomeTeam=L$4,1)))+COUNT(IF(Referee2=$A63,IF(HomeTeam=L$4,1)))</f>
        <v>0</v>
      </c>
      <c r="M63" s="8">
        <f t="array" ref="M63">COUNT(IF(Referee1=$A63,IF(HomeTeam=M$4,1)))+COUNT(IF(Referee2=$A63,IF(HomeTeam=M$4,1)))</f>
        <v>0</v>
      </c>
      <c r="N63" s="8">
        <f t="array" ref="N63">COUNT(IF(Referee1=$A63,IF(HomeTeam=N$4,1)))+COUNT(IF(Referee2=$A63,IF(HomeTeam=N$4,1)))</f>
        <v>0</v>
      </c>
      <c r="O63" s="8">
        <f t="array" ref="O63">COUNT(IF(Referee1=$A63,IF(HomeTeam=O$4,1)))+COUNT(IF(Referee2=$A63,IF(HomeTeam=O$4,1)))</f>
        <v>0</v>
      </c>
      <c r="P63" s="8">
        <f t="array" ref="P63">COUNT(IF(Referee1=$A63,IF(HomeTeam=P$4,1)))+COUNT(IF(Referee2=$A63,IF(HomeTeam=P$4,1)))</f>
        <v>0</v>
      </c>
      <c r="Q63" s="8">
        <f t="array" ref="Q63">COUNT(IF(Referee1=$A63,IF(HomeTeam=Q$4,1)))+COUNT(IF(Referee2=$A63,IF(HomeTeam=Q$4,1)))</f>
        <v>0</v>
      </c>
      <c r="R63" s="8">
        <f t="array" ref="R63">COUNT(IF(Referee1=$A63,IF(HomeTeam=R$4,1)))+COUNT(IF(Referee2=$A63,IF(HomeTeam=R$4,1)))</f>
        <v>0</v>
      </c>
      <c r="S63" s="8">
        <f t="array" ref="S63">COUNT(IF(Referee1=$A63,IF(HomeTeam=S$4,1)))+COUNT(IF(Referee2=$A63,IF(HomeTeam=S$4,1)))</f>
        <v>0</v>
      </c>
      <c r="T63" s="8">
        <f t="array" ref="T63">COUNT(IF(Referee1=$A63,IF(HomeTeam=T$4,1)))+COUNT(IF(Referee2=$A63,IF(HomeTeam=T$4,1)))</f>
        <v>0</v>
      </c>
      <c r="U63" s="8">
        <f t="array" ref="U63">COUNT(IF(Referee1=$A63,IF(HomeTeam=U$4,1)))+COUNT(IF(Referee2=$A63,IF(HomeTeam=U$4,1)))</f>
        <v>0</v>
      </c>
      <c r="V63" s="8">
        <f t="array" ref="V63">COUNT(IF(Referee1=$A63,IF(HomeTeam=V$4,1)))+COUNT(IF(Referee2=$A63,IF(HomeTeam=V$4,1)))</f>
        <v>0</v>
      </c>
      <c r="W63" s="8">
        <f t="array" ref="W63">COUNT(IF(Referee1=$A63,IF(AwayTeam=W$4,1)))+COUNT(IF(Referee2=$A63,IF(AwayTeam=W$4,1)))</f>
        <v>0</v>
      </c>
      <c r="X63" s="8">
        <f t="array" ref="X63">COUNT(IF(Referee1=$A63,IF(AwayTeam=X$4,1)))+COUNT(IF(Referee2=$A63,IF(AwayTeam=X$4,1)))</f>
        <v>0</v>
      </c>
      <c r="Y63" s="8">
        <f t="array" ref="Y63">COUNT(IF(Referee1=$A63,IF(AwayTeam=Y$4,1)))+COUNT(IF(Referee2=$A63,IF(AwayTeam=Y$4,1)))</f>
        <v>0</v>
      </c>
      <c r="Z63" s="8">
        <f t="array" ref="Z63">COUNT(IF(Referee1=$A63,IF(AwayTeam=Z$4,1)))+COUNT(IF(Referee2=$A63,IF(AwayTeam=Z$4,1)))</f>
        <v>0</v>
      </c>
      <c r="AA63" s="8">
        <f t="array" ref="AA63">COUNT(IF(Referee1=$A63,IF(AwayTeam=AA$4,1)))+COUNT(IF(Referee2=$A63,IF(AwayTeam=AA$4,1)))</f>
        <v>0</v>
      </c>
      <c r="AB63" s="8">
        <f t="array" ref="AB63">COUNT(IF(Referee1=$A63,IF(AwayTeam=AB$4,1)))+COUNT(IF(Referee2=$A63,IF(AwayTeam=AB$4,1)))</f>
        <v>0</v>
      </c>
      <c r="AC63" s="8">
        <f t="array" ref="AC63">COUNT(IF(Referee1=$A63,IF(AwayTeam=AC$4,1)))+COUNT(IF(Referee2=$A63,IF(AwayTeam=AC$4,1)))</f>
        <v>0</v>
      </c>
      <c r="AD63" s="8">
        <f t="array" ref="AD63">COUNT(IF(Referee1=$A63,IF(AwayTeam=AD$4,1)))+COUNT(IF(Referee2=$A63,IF(AwayTeam=AD$4,1)))</f>
        <v>0</v>
      </c>
      <c r="AE63" s="8">
        <f t="array" ref="AE63">COUNT(IF(Referee1=$A63,IF(AwayTeam=AE$4,1)))+COUNT(IF(Referee2=$A63,IF(AwayTeam=AE$4,1)))</f>
        <v>0</v>
      </c>
      <c r="AF63" s="8">
        <f t="array" ref="AF63">COUNT(IF(Referee1=$A63,IF(AwayTeam=AF$4,1)))+COUNT(IF(Referee2=$A63,IF(AwayTeam=AF$4,1)))</f>
        <v>0</v>
      </c>
      <c r="AG63" s="8">
        <f t="array" ref="AG63">COUNT(IF(Referee1=$A63,IF(AwayTeam=AG$4,1)))+COUNT(IF(Referee2=$A63,IF(AwayTeam=AG$4,1)))</f>
        <v>0</v>
      </c>
      <c r="AH63" s="8">
        <f t="array" ref="AH63">COUNT(IF(Referee1=$A63,IF(AwayTeam=AH$4,1)))+COUNT(IF(Referee2=$A63,IF(AwayTeam=AH$4,1)))</f>
        <v>0</v>
      </c>
      <c r="AI63" s="8">
        <f t="array" ref="AI63">COUNT(IF(Referee1=$A63,IF(AwayTeam=AI$4,1)))+COUNT(IF(Referee2=$A63,IF(AwayTeam=AI$4,1)))</f>
        <v>0</v>
      </c>
      <c r="AJ63" s="8">
        <f t="array" ref="AJ63">COUNT(IF(Referee1=$A63,IF(AwayTeam=AJ$4,1)))+COUNT(IF(Referee2=$A63,IF(AwayTeam=AJ$4,1)))</f>
        <v>0</v>
      </c>
      <c r="AK63" s="8">
        <f t="array" ref="AK63">COUNT(IF(Referee1=$A63,IF(AwayTeam=AK$4,1)))+COUNT(IF(Referee2=$A63,IF(AwayTeam=AK$4,1)))</f>
        <v>0</v>
      </c>
      <c r="AL63" s="8">
        <f t="array" ref="AL63">COUNT(IF(Referee1=$A63,IF(AwayTeam=AL$4,1)))+COUNT(IF(Referee2=$A63,IF(AwayTeam=AL$4,1)))</f>
        <v>0</v>
      </c>
      <c r="AM63" s="8">
        <f t="array" ref="AM63">COUNT(IF(Referee1=$A63,IF(AwayTeam=AM$4,1)))+COUNT(IF(Referee2=$A63,IF(AwayTeam=AM$4,1)))</f>
        <v>0</v>
      </c>
      <c r="AN63" s="8">
        <f t="array" ref="AN63">COUNT(IF(Referee1=$A63,IF(AwayTeam=AN$4,1)))+COUNT(IF(Referee2=$A63,IF(AwayTeam=AN$4,1)))</f>
        <v>0</v>
      </c>
      <c r="AO63" s="8">
        <f t="array" ref="AO63">COUNT(IF(Referee1=$A63,IF(AwayTeam=AO$4,1)))+COUNT(IF(Referee2=$A63,IF(AwayTeam=AO$4,1)))</f>
        <v>0</v>
      </c>
      <c r="AP63" s="8">
        <f t="array" ref="AP63">COUNT(IF(Referee1=$A63,IF(AwayTeam=AP$4,1)))+COUNT(IF(Referee2=$A63,IF(AwayTeam=AP$4,1)))</f>
        <v>0</v>
      </c>
    </row>
    <row r="64" spans="1:42" x14ac:dyDescent="0.2">
      <c r="A64" s="8" t="str">
        <f>IF(Info!A61&lt;&gt;0,Info!A61,"")</f>
        <v>Referee 60</v>
      </c>
      <c r="B64" s="8">
        <f t="shared" si="0"/>
        <v>0</v>
      </c>
      <c r="C64" s="8">
        <f t="array" ref="C64">COUNT(IF(Referee1=$A64,IF(HomeTeam=C$4,1)))+COUNT(IF(Referee2=$A64,IF(HomeTeam=C$4,1)))</f>
        <v>0</v>
      </c>
      <c r="D64" s="8">
        <f t="array" ref="D64">COUNT(IF(Referee1=$A64,IF(HomeTeam=D$4,1)))+COUNT(IF(Referee2=$A64,IF(HomeTeam=D$4,1)))</f>
        <v>0</v>
      </c>
      <c r="E64" s="8">
        <f t="array" ref="E64">COUNT(IF(Referee1=$A64,IF(HomeTeam=E$4,1)))+COUNT(IF(Referee2=$A64,IF(HomeTeam=E$4,1)))</f>
        <v>0</v>
      </c>
      <c r="F64" s="8">
        <f t="array" ref="F64">COUNT(IF(Referee1=$A64,IF(HomeTeam=F$4,1)))+COUNT(IF(Referee2=$A64,IF(HomeTeam=F$4,1)))</f>
        <v>0</v>
      </c>
      <c r="G64" s="8">
        <f t="array" ref="G64">COUNT(IF(Referee1=$A64,IF(HomeTeam=G$4,1)))+COUNT(IF(Referee2=$A64,IF(HomeTeam=G$4,1)))</f>
        <v>0</v>
      </c>
      <c r="H64" s="8">
        <f t="array" ref="H64">COUNT(IF(Referee1=$A64,IF(HomeTeam=H$4,1)))+COUNT(IF(Referee2=$A64,IF(HomeTeam=H$4,1)))</f>
        <v>0</v>
      </c>
      <c r="I64" s="8">
        <f t="array" ref="I64">COUNT(IF(Referee1=$A64,IF(HomeTeam=I$4,1)))+COUNT(IF(Referee2=$A64,IF(HomeTeam=I$4,1)))</f>
        <v>0</v>
      </c>
      <c r="J64" s="8">
        <f t="array" ref="J64">COUNT(IF(Referee1=$A64,IF(HomeTeam=J$4,1)))+COUNT(IF(Referee2=$A64,IF(HomeTeam=J$4,1)))</f>
        <v>0</v>
      </c>
      <c r="K64" s="8">
        <f t="array" ref="K64">COUNT(IF(Referee1=$A64,IF(HomeTeam=K$4,1)))+COUNT(IF(Referee2=$A64,IF(HomeTeam=K$4,1)))</f>
        <v>0</v>
      </c>
      <c r="L64" s="8">
        <f t="array" ref="L64">COUNT(IF(Referee1=$A64,IF(HomeTeam=L$4,1)))+COUNT(IF(Referee2=$A64,IF(HomeTeam=L$4,1)))</f>
        <v>0</v>
      </c>
      <c r="M64" s="8">
        <f t="array" ref="M64">COUNT(IF(Referee1=$A64,IF(HomeTeam=M$4,1)))+COUNT(IF(Referee2=$A64,IF(HomeTeam=M$4,1)))</f>
        <v>0</v>
      </c>
      <c r="N64" s="8">
        <f t="array" ref="N64">COUNT(IF(Referee1=$A64,IF(HomeTeam=N$4,1)))+COUNT(IF(Referee2=$A64,IF(HomeTeam=N$4,1)))</f>
        <v>0</v>
      </c>
      <c r="O64" s="8">
        <f t="array" ref="O64">COUNT(IF(Referee1=$A64,IF(HomeTeam=O$4,1)))+COUNT(IF(Referee2=$A64,IF(HomeTeam=O$4,1)))</f>
        <v>0</v>
      </c>
      <c r="P64" s="8">
        <f t="array" ref="P64">COUNT(IF(Referee1=$A64,IF(HomeTeam=P$4,1)))+COUNT(IF(Referee2=$A64,IF(HomeTeam=P$4,1)))</f>
        <v>0</v>
      </c>
      <c r="Q64" s="8">
        <f t="array" ref="Q64">COUNT(IF(Referee1=$A64,IF(HomeTeam=Q$4,1)))+COUNT(IF(Referee2=$A64,IF(HomeTeam=Q$4,1)))</f>
        <v>0</v>
      </c>
      <c r="R64" s="8">
        <f t="array" ref="R64">COUNT(IF(Referee1=$A64,IF(HomeTeam=R$4,1)))+COUNT(IF(Referee2=$A64,IF(HomeTeam=R$4,1)))</f>
        <v>0</v>
      </c>
      <c r="S64" s="8">
        <f t="array" ref="S64">COUNT(IF(Referee1=$A64,IF(HomeTeam=S$4,1)))+COUNT(IF(Referee2=$A64,IF(HomeTeam=S$4,1)))</f>
        <v>0</v>
      </c>
      <c r="T64" s="8">
        <f t="array" ref="T64">COUNT(IF(Referee1=$A64,IF(HomeTeam=T$4,1)))+COUNT(IF(Referee2=$A64,IF(HomeTeam=T$4,1)))</f>
        <v>0</v>
      </c>
      <c r="U64" s="8">
        <f t="array" ref="U64">COUNT(IF(Referee1=$A64,IF(HomeTeam=U$4,1)))+COUNT(IF(Referee2=$A64,IF(HomeTeam=U$4,1)))</f>
        <v>0</v>
      </c>
      <c r="V64" s="8">
        <f t="array" ref="V64">COUNT(IF(Referee1=$A64,IF(HomeTeam=V$4,1)))+COUNT(IF(Referee2=$A64,IF(HomeTeam=V$4,1)))</f>
        <v>0</v>
      </c>
      <c r="W64" s="8">
        <f t="array" ref="W64">COUNT(IF(Referee1=$A64,IF(AwayTeam=W$4,1)))+COUNT(IF(Referee2=$A64,IF(AwayTeam=W$4,1)))</f>
        <v>0</v>
      </c>
      <c r="X64" s="8">
        <f t="array" ref="X64">COUNT(IF(Referee1=$A64,IF(AwayTeam=X$4,1)))+COUNT(IF(Referee2=$A64,IF(AwayTeam=X$4,1)))</f>
        <v>0</v>
      </c>
      <c r="Y64" s="8">
        <f t="array" ref="Y64">COUNT(IF(Referee1=$A64,IF(AwayTeam=Y$4,1)))+COUNT(IF(Referee2=$A64,IF(AwayTeam=Y$4,1)))</f>
        <v>0</v>
      </c>
      <c r="Z64" s="8">
        <f t="array" ref="Z64">COUNT(IF(Referee1=$A64,IF(AwayTeam=Z$4,1)))+COUNT(IF(Referee2=$A64,IF(AwayTeam=Z$4,1)))</f>
        <v>0</v>
      </c>
      <c r="AA64" s="8">
        <f t="array" ref="AA64">COUNT(IF(Referee1=$A64,IF(AwayTeam=AA$4,1)))+COUNT(IF(Referee2=$A64,IF(AwayTeam=AA$4,1)))</f>
        <v>0</v>
      </c>
      <c r="AB64" s="8">
        <f t="array" ref="AB64">COUNT(IF(Referee1=$A64,IF(AwayTeam=AB$4,1)))+COUNT(IF(Referee2=$A64,IF(AwayTeam=AB$4,1)))</f>
        <v>0</v>
      </c>
      <c r="AC64" s="8">
        <f t="array" ref="AC64">COUNT(IF(Referee1=$A64,IF(AwayTeam=AC$4,1)))+COUNT(IF(Referee2=$A64,IF(AwayTeam=AC$4,1)))</f>
        <v>0</v>
      </c>
      <c r="AD64" s="8">
        <f t="array" ref="AD64">COUNT(IF(Referee1=$A64,IF(AwayTeam=AD$4,1)))+COUNT(IF(Referee2=$A64,IF(AwayTeam=AD$4,1)))</f>
        <v>0</v>
      </c>
      <c r="AE64" s="8">
        <f t="array" ref="AE64">COUNT(IF(Referee1=$A64,IF(AwayTeam=AE$4,1)))+COUNT(IF(Referee2=$A64,IF(AwayTeam=AE$4,1)))</f>
        <v>0</v>
      </c>
      <c r="AF64" s="8">
        <f t="array" ref="AF64">COUNT(IF(Referee1=$A64,IF(AwayTeam=AF$4,1)))+COUNT(IF(Referee2=$A64,IF(AwayTeam=AF$4,1)))</f>
        <v>0</v>
      </c>
      <c r="AG64" s="8">
        <f t="array" ref="AG64">COUNT(IF(Referee1=$A64,IF(AwayTeam=AG$4,1)))+COUNT(IF(Referee2=$A64,IF(AwayTeam=AG$4,1)))</f>
        <v>0</v>
      </c>
      <c r="AH64" s="8">
        <f t="array" ref="AH64">COUNT(IF(Referee1=$A64,IF(AwayTeam=AH$4,1)))+COUNT(IF(Referee2=$A64,IF(AwayTeam=AH$4,1)))</f>
        <v>0</v>
      </c>
      <c r="AI64" s="8">
        <f t="array" ref="AI64">COUNT(IF(Referee1=$A64,IF(AwayTeam=AI$4,1)))+COUNT(IF(Referee2=$A64,IF(AwayTeam=AI$4,1)))</f>
        <v>0</v>
      </c>
      <c r="AJ64" s="8">
        <f t="array" ref="AJ64">COUNT(IF(Referee1=$A64,IF(AwayTeam=AJ$4,1)))+COUNT(IF(Referee2=$A64,IF(AwayTeam=AJ$4,1)))</f>
        <v>0</v>
      </c>
      <c r="AK64" s="8">
        <f t="array" ref="AK64">COUNT(IF(Referee1=$A64,IF(AwayTeam=AK$4,1)))+COUNT(IF(Referee2=$A64,IF(AwayTeam=AK$4,1)))</f>
        <v>0</v>
      </c>
      <c r="AL64" s="8">
        <f t="array" ref="AL64">COUNT(IF(Referee1=$A64,IF(AwayTeam=AL$4,1)))+COUNT(IF(Referee2=$A64,IF(AwayTeam=AL$4,1)))</f>
        <v>0</v>
      </c>
      <c r="AM64" s="8">
        <f t="array" ref="AM64">COUNT(IF(Referee1=$A64,IF(AwayTeam=AM$4,1)))+COUNT(IF(Referee2=$A64,IF(AwayTeam=AM$4,1)))</f>
        <v>0</v>
      </c>
      <c r="AN64" s="8">
        <f t="array" ref="AN64">COUNT(IF(Referee1=$A64,IF(AwayTeam=AN$4,1)))+COUNT(IF(Referee2=$A64,IF(AwayTeam=AN$4,1)))</f>
        <v>0</v>
      </c>
      <c r="AO64" s="8">
        <f t="array" ref="AO64">COUNT(IF(Referee1=$A64,IF(AwayTeam=AO$4,1)))+COUNT(IF(Referee2=$A64,IF(AwayTeam=AO$4,1)))</f>
        <v>0</v>
      </c>
      <c r="AP64" s="8">
        <f t="array" ref="AP64">COUNT(IF(Referee1=$A64,IF(AwayTeam=AP$4,1)))+COUNT(IF(Referee2=$A64,IF(AwayTeam=AP$4,1)))</f>
        <v>0</v>
      </c>
    </row>
    <row r="65" spans="1:42" s="20" customFormat="1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</row>
    <row r="66" spans="1:42" ht="25.5" x14ac:dyDescent="0.2">
      <c r="A66" s="16" t="s">
        <v>48</v>
      </c>
      <c r="B66" s="21" t="s">
        <v>47</v>
      </c>
      <c r="C66" s="21" t="str">
        <f>IF([1]Info!$A$2&lt;&gt;"",[1]Info!$A$2,"")</f>
        <v>CEDAR RAPIDS</v>
      </c>
      <c r="D66" s="21" t="str">
        <f>IF([1]Info!$A$3&lt;&gt;"",[1]Info!$A$3,"")</f>
        <v>CENTRAL ILLINOIS</v>
      </c>
      <c r="E66" s="21" t="str">
        <f>IF([1]Info!$A$4&lt;&gt;"",[1]Info!$A$4,"")</f>
        <v>CHICAGO</v>
      </c>
      <c r="F66" s="21" t="str">
        <f>IF([1]Info!$A$5&lt;&gt;"",[1]Info!$A$5,"")</f>
        <v>DES MOINES</v>
      </c>
      <c r="G66" s="21" t="str">
        <f>IF([1]Info!$A$6&lt;&gt;"",[1]Info!$A$6,"")</f>
        <v>DUBUQUE</v>
      </c>
      <c r="H66" s="21" t="str">
        <f>IF([1]Info!$A$7&lt;&gt;"",[1]Info!$A$7,"")</f>
        <v>FARGO</v>
      </c>
      <c r="I66" s="21" t="str">
        <f>IF([1]Info!$A$8&lt;&gt;"",[1]Info!$A$8,"")</f>
        <v>GREEN BAY</v>
      </c>
      <c r="J66" s="21" t="str">
        <f>IF([1]Info!$A$9&lt;&gt;"",[1]Info!$A$9,"")</f>
        <v>LINCOLN</v>
      </c>
      <c r="K66" s="21" t="str">
        <f>IF([1]Info!$A$10&lt;&gt;"",[1]Info!$A$10,"")</f>
        <v>MADISON</v>
      </c>
      <c r="L66" s="21" t="str">
        <f>IF([1]Info!$A$11&lt;&gt;"",[1]Info!$A$11,"")</f>
        <v>MUSKEGON</v>
      </c>
      <c r="M66" s="21" t="str">
        <f>IF([1]Info!$A$12&lt;&gt;"",[1]Info!$A$12,"")</f>
        <v>OMAHA</v>
      </c>
      <c r="N66" s="21" t="str">
        <f>IF([1]Info!$A$13&lt;&gt;"",[1]Info!$A$13,"")</f>
        <v>SIOUX CITY</v>
      </c>
      <c r="O66" s="21" t="str">
        <f>IF([1]Info!$A$14&lt;&gt;"",[1]Info!$A$14,"")</f>
        <v>SIOUX FALLS</v>
      </c>
      <c r="P66" s="21" t="str">
        <f>IF([1]Info!$A$15&lt;&gt;"",[1]Info!$A$15,"")</f>
        <v>TEAM USA</v>
      </c>
      <c r="Q66" s="21" t="str">
        <f>IF([1]Info!$A$16&lt;&gt;"",[1]Info!$A$16,"")</f>
        <v>TRI-CITY</v>
      </c>
      <c r="R66" s="21" t="str">
        <f>IF([1]Info!$A$17&lt;&gt;"",[1]Info!$A$17,"")</f>
        <v>WATERLOO</v>
      </c>
      <c r="S66" s="21" t="str">
        <f>IF([1]Info!$A$18&lt;&gt;"",[1]Info!$A$18,"")</f>
        <v>YOUNGSTOWN</v>
      </c>
      <c r="T66" s="21" t="str">
        <f>IF([1]Info!$A$19&lt;&gt;"",[1]Info!$A$19,"")</f>
        <v/>
      </c>
      <c r="U66" s="21" t="str">
        <f>IF([1]Info!$A$20&lt;&gt;"",[1]Info!$A$20,"")</f>
        <v/>
      </c>
      <c r="V66" s="21" t="str">
        <f>IF([1]Info!$A$21&lt;&gt;"",[1]Info!$A$21,"")</f>
        <v/>
      </c>
      <c r="W66" s="21" t="str">
        <f>IF([1]Info!$A$2&lt;&gt;"",[1]Info!$A$2,"")</f>
        <v>CEDAR RAPIDS</v>
      </c>
      <c r="X66" s="21" t="str">
        <f>IF([1]Info!$A$3&lt;&gt;"",[1]Info!$A$3,"")</f>
        <v>CENTRAL ILLINOIS</v>
      </c>
      <c r="Y66" s="21" t="str">
        <f>IF([1]Info!$A$4&lt;&gt;"",[1]Info!$A$4,"")</f>
        <v>CHICAGO</v>
      </c>
      <c r="Z66" s="21" t="str">
        <f>IF([1]Info!$A$5&lt;&gt;"",[1]Info!$A$5,"")</f>
        <v>DES MOINES</v>
      </c>
      <c r="AA66" s="21" t="str">
        <f>IF([1]Info!$A$6&lt;&gt;"",[1]Info!$A$6,"")</f>
        <v>DUBUQUE</v>
      </c>
      <c r="AB66" s="21" t="str">
        <f>IF([1]Info!$A$7&lt;&gt;"",[1]Info!$A$7,"")</f>
        <v>FARGO</v>
      </c>
      <c r="AC66" s="21" t="str">
        <f>IF([1]Info!$A$8&lt;&gt;"",[1]Info!$A$8,"")</f>
        <v>GREEN BAY</v>
      </c>
      <c r="AD66" s="21" t="str">
        <f>IF([1]Info!$A$9&lt;&gt;"",[1]Info!$A$9,"")</f>
        <v>LINCOLN</v>
      </c>
      <c r="AE66" s="21" t="str">
        <f>IF([1]Info!$A$10&lt;&gt;"",[1]Info!$A$10,"")</f>
        <v>MADISON</v>
      </c>
      <c r="AF66" s="21" t="str">
        <f>IF([1]Info!$A$11&lt;&gt;"",[1]Info!$A$11,"")</f>
        <v>MUSKEGON</v>
      </c>
      <c r="AG66" s="21" t="str">
        <f>IF([1]Info!$A$12&lt;&gt;"",[1]Info!$A$12,"")</f>
        <v>OMAHA</v>
      </c>
      <c r="AH66" s="21" t="str">
        <f>IF([1]Info!$A$13&lt;&gt;"",[1]Info!$A$13,"")</f>
        <v>SIOUX CITY</v>
      </c>
      <c r="AI66" s="21" t="str">
        <f>IF([1]Info!$A$14&lt;&gt;"",[1]Info!$A$14,"")</f>
        <v>SIOUX FALLS</v>
      </c>
      <c r="AJ66" s="21" t="str">
        <f>IF([1]Info!$A$15&lt;&gt;"",[1]Info!$A$15,"")</f>
        <v>TEAM USA</v>
      </c>
      <c r="AK66" s="21" t="str">
        <f>IF([1]Info!$A$16&lt;&gt;"",[1]Info!$A$16,"")</f>
        <v>TRI-CITY</v>
      </c>
      <c r="AL66" s="21" t="str">
        <f>IF([1]Info!$A$17&lt;&gt;"",[1]Info!$A$17,"")</f>
        <v>WATERLOO</v>
      </c>
      <c r="AM66" s="21" t="str">
        <f>IF([1]Info!$A$18&lt;&gt;"",[1]Info!$A$18,"")</f>
        <v>YOUNGSTOWN</v>
      </c>
      <c r="AN66" s="21" t="str">
        <f>IF([1]Info!$A$19&lt;&gt;"",[1]Info!$A$19,"")</f>
        <v/>
      </c>
      <c r="AO66" s="21" t="str">
        <f>IF([1]Info!$A$20&lt;&gt;"",[1]Info!$A$20,"")</f>
        <v/>
      </c>
      <c r="AP66" s="21" t="str">
        <f>IF([1]Info!$A$21&lt;&gt;"",[1]Info!$A$21,"")</f>
        <v/>
      </c>
    </row>
    <row r="67" spans="1:42" x14ac:dyDescent="0.2">
      <c r="A67" s="8" t="str">
        <f>IF(Info!B2&lt;&gt;0,Info!B2,"")</f>
        <v>Almquist, Alec</v>
      </c>
      <c r="B67" s="8">
        <f>SUM(C67:V67)</f>
        <v>5</v>
      </c>
      <c r="C67" s="8">
        <f t="array" ref="C67">COUNT(IF(Linemen1=$A67,IF(HomeTeam=C$4,1)))+COUNT(IF(Linemen2=$A67,IF(HomeTeam=C$4,1)))</f>
        <v>0</v>
      </c>
      <c r="D67" s="8">
        <f t="array" ref="D67">COUNT(IF(Linemen1=$A67,IF(HomeTeam=D$4,1)))+COUNT(IF(Linemen2=$A67,IF(HomeTeam=D$4,1)))</f>
        <v>0</v>
      </c>
      <c r="E67" s="8">
        <f t="array" ref="E67">COUNT(IF(Linemen1=$A67,IF(HomeTeam=E$4,1)))+COUNT(IF(Linemen2=$A67,IF(HomeTeam=E$4,1)))</f>
        <v>0</v>
      </c>
      <c r="F67" s="8">
        <f t="array" ref="F67">COUNT(IF(Linemen1=$A67,IF(HomeTeam=F$4,1)))+COUNT(IF(Linemen2=$A67,IF(HomeTeam=F$4,1)))</f>
        <v>1</v>
      </c>
      <c r="G67" s="8">
        <f t="array" ref="G67">COUNT(IF(Linemen1=$A67,IF(HomeTeam=G$4,1)))+COUNT(IF(Linemen2=$A67,IF(HomeTeam=G$4,1)))</f>
        <v>0</v>
      </c>
      <c r="H67" s="8">
        <f t="array" ref="H67">COUNT(IF(Linemen1=$A67,IF(HomeTeam=H$4,1)))+COUNT(IF(Linemen2=$A67,IF(HomeTeam=H$4,1)))</f>
        <v>0</v>
      </c>
      <c r="I67" s="8">
        <f t="array" ref="I67">COUNT(IF(Linemen1=$A67,IF(HomeTeam=I$4,1)))+COUNT(IF(Linemen2=$A67,IF(HomeTeam=I$4,1)))</f>
        <v>0</v>
      </c>
      <c r="J67" s="8">
        <f t="array" ref="J67">COUNT(IF(Linemen1=$A67,IF(HomeTeam=J$4,1)))+COUNT(IF(Linemen2=$A67,IF(HomeTeam=J$4,1)))</f>
        <v>2</v>
      </c>
      <c r="K67" s="8">
        <f t="array" ref="K67">COUNT(IF(Linemen1=$A67,IF(HomeTeam=K$4,1)))+COUNT(IF(Linemen2=$A67,IF(HomeTeam=K$4,1)))</f>
        <v>0</v>
      </c>
      <c r="L67" s="8">
        <f t="array" ref="L67">COUNT(IF(Linemen1=$A67,IF(HomeTeam=L$4,1)))+COUNT(IF(Linemen2=$A67,IF(HomeTeam=L$4,1)))</f>
        <v>0</v>
      </c>
      <c r="M67" s="8">
        <f t="array" ref="M67">COUNT(IF(Linemen1=$A67,IF(HomeTeam=M$4,1)))+COUNT(IF(Linemen2=$A67,IF(HomeTeam=M$4,1)))</f>
        <v>0</v>
      </c>
      <c r="N67" s="8">
        <f t="array" ref="N67">COUNT(IF(Linemen1=$A67,IF(HomeTeam=N$4,1)))+COUNT(IF(Linemen2=$A67,IF(HomeTeam=N$4,1)))</f>
        <v>1</v>
      </c>
      <c r="O67" s="8">
        <f t="array" ref="O67">COUNT(IF(Linemen1=$A67,IF(HomeTeam=O$4,1)))+COUNT(IF(Linemen2=$A67,IF(HomeTeam=O$4,1)))</f>
        <v>0</v>
      </c>
      <c r="P67" s="8">
        <f t="array" ref="P67">COUNT(IF(Linemen1=$A67,IF(HomeTeam=P$4,1)))+COUNT(IF(Linemen2=$A67,IF(HomeTeam=P$4,1)))</f>
        <v>0</v>
      </c>
      <c r="Q67" s="8">
        <f t="array" ref="Q67">COUNT(IF(Linemen1=$A67,IF(HomeTeam=Q$4,1)))+COUNT(IF(Linemen2=$A67,IF(HomeTeam=Q$4,1)))</f>
        <v>0</v>
      </c>
      <c r="R67" s="8">
        <f t="array" ref="R67">COUNT(IF(Linemen1=$A67,IF(HomeTeam=R$4,1)))+COUNT(IF(Linemen2=$A67,IF(HomeTeam=R$4,1)))</f>
        <v>1</v>
      </c>
      <c r="S67" s="8">
        <f t="array" ref="S67">COUNT(IF(Linemen1=$A67,IF(HomeTeam=S$4,1)))+COUNT(IF(Linemen2=$A67,IF(HomeTeam=S$4,1)))</f>
        <v>0</v>
      </c>
      <c r="T67" s="8">
        <f t="array" ref="T67">COUNT(IF(Linemen1=$A67,IF(HomeTeam=T$4,1)))+COUNT(IF(Linemen2=$A67,IF(HomeTeam=T$4,1)))</f>
        <v>0</v>
      </c>
      <c r="U67" s="8">
        <f t="array" ref="U67">COUNT(IF(Linemen1=$A67,IF(HomeTeam=U$4,1)))+COUNT(IF(Linemen2=$A67,IF(HomeTeam=U$4,1)))</f>
        <v>0</v>
      </c>
      <c r="V67" s="8">
        <f t="array" ref="V67">COUNT(IF(Linemen1=$A67,IF(HomeTeam=V$4,1)))+COUNT(IF(Linemen2=$A67,IF(HomeTeam=V$4,1)))</f>
        <v>0</v>
      </c>
      <c r="W67" s="8">
        <f t="array" ref="W67">COUNT(IF(Linemen1=$A67,IF(AwayTeam=W$4,1)))+COUNT(IF(Linemen2=$A67,IF(AwayTeam=W$4,1)))</f>
        <v>1</v>
      </c>
      <c r="X67" s="8">
        <f t="array" ref="X67">COUNT(IF(Linemen1=$A67,IF(AwayTeam=X$4,1)))+COUNT(IF(Linemen2=$A67,IF(AwayTeam=X$4,1)))</f>
        <v>2</v>
      </c>
      <c r="Y67" s="8">
        <f t="array" ref="Y67">COUNT(IF(Linemen1=$A67,IF(AwayTeam=Y$4,1)))+COUNT(IF(Linemen2=$A67,IF(AwayTeam=Y$4,1)))</f>
        <v>0</v>
      </c>
      <c r="Z67" s="8">
        <f t="array" ref="Z67">COUNT(IF(Linemen1=$A67,IF(AwayTeam=Z$4,1)))+COUNT(IF(Linemen2=$A67,IF(AwayTeam=Z$4,1)))</f>
        <v>1</v>
      </c>
      <c r="AA67" s="8">
        <f t="array" ref="AA67">COUNT(IF(Linemen1=$A67,IF(AwayTeam=AA$4,1)))+COUNT(IF(Linemen2=$A67,IF(AwayTeam=AA$4,1)))</f>
        <v>0</v>
      </c>
      <c r="AB67" s="8">
        <f t="array" ref="AB67">COUNT(IF(Linemen1=$A67,IF(AwayTeam=AB$4,1)))+COUNT(IF(Linemen2=$A67,IF(AwayTeam=AB$4,1)))</f>
        <v>0</v>
      </c>
      <c r="AC67" s="8">
        <f t="array" ref="AC67">COUNT(IF(Linemen1=$A67,IF(AwayTeam=AC$4,1)))+COUNT(IF(Linemen2=$A67,IF(AwayTeam=AC$4,1)))</f>
        <v>0</v>
      </c>
      <c r="AD67" s="8">
        <f t="array" ref="AD67">COUNT(IF(Linemen1=$A67,IF(AwayTeam=AD$4,1)))+COUNT(IF(Linemen2=$A67,IF(AwayTeam=AD$4,1)))</f>
        <v>0</v>
      </c>
      <c r="AE67" s="8">
        <f t="array" ref="AE67">COUNT(IF(Linemen1=$A67,IF(AwayTeam=AE$4,1)))+COUNT(IF(Linemen2=$A67,IF(AwayTeam=AE$4,1)))</f>
        <v>0</v>
      </c>
      <c r="AF67" s="8">
        <f t="array" ref="AF67">COUNT(IF(Linemen1=$A67,IF(AwayTeam=AF$4,1)))+COUNT(IF(Linemen2=$A67,IF(AwayTeam=AF$4,1)))</f>
        <v>0</v>
      </c>
      <c r="AG67" s="8">
        <f t="array" ref="AG67">COUNT(IF(Linemen1=$A67,IF(AwayTeam=AG$4,1)))+COUNT(IF(Linemen2=$A67,IF(AwayTeam=AG$4,1)))</f>
        <v>1</v>
      </c>
      <c r="AH67" s="8">
        <f t="array" ref="AH67">COUNT(IF(Linemen1=$A67,IF(AwayTeam=AH$4,1)))+COUNT(IF(Linemen2=$A67,IF(AwayTeam=AH$4,1)))</f>
        <v>0</v>
      </c>
      <c r="AI67" s="8">
        <f t="array" ref="AI67">COUNT(IF(Linemen1=$A67,IF(AwayTeam=AI$4,1)))+COUNT(IF(Linemen2=$A67,IF(AwayTeam=AI$4,1)))</f>
        <v>0</v>
      </c>
      <c r="AJ67" s="8">
        <f t="array" ref="AJ67">COUNT(IF(Linemen1=$A67,IF(AwayTeam=AJ$4,1)))+COUNT(IF(Linemen2=$A67,IF(AwayTeam=AJ$4,1)))</f>
        <v>0</v>
      </c>
      <c r="AK67" s="8">
        <f t="array" ref="AK67">COUNT(IF(Linemen1=$A67,IF(AwayTeam=AK$4,1)))+COUNT(IF(Linemen2=$A67,IF(AwayTeam=AK$4,1)))</f>
        <v>0</v>
      </c>
      <c r="AL67" s="8">
        <f t="array" ref="AL67">COUNT(IF(Linemen1=$A67,IF(AwayTeam=AL$4,1)))+COUNT(IF(Linemen2=$A67,IF(AwayTeam=AL$4,1)))</f>
        <v>0</v>
      </c>
      <c r="AM67" s="8">
        <f t="array" ref="AM67">COUNT(IF(Linemen1=$A67,IF(AwayTeam=AM$4,1)))+COUNT(IF(Linemen2=$A67,IF(AwayTeam=AM$4,1)))</f>
        <v>0</v>
      </c>
      <c r="AN67" s="8">
        <f t="array" ref="AN67">COUNT(IF(Linemen1=$A67,IF(AwayTeam=AN$4,1)))+COUNT(IF(Linemen2=$A67,IF(AwayTeam=AN$4,1)))</f>
        <v>0</v>
      </c>
      <c r="AO67" s="8">
        <f t="array" ref="AO67">COUNT(IF(Linemen1=$A67,IF(AwayTeam=AO$4,1)))+COUNT(IF(Linemen2=$A67,IF(AwayTeam=AO$4,1)))</f>
        <v>0</v>
      </c>
      <c r="AP67" s="8">
        <f t="array" ref="AP67">COUNT(IF(Linemen1=$A67,IF(AwayTeam=AP$4,1)))+COUNT(IF(Linemen2=$A67,IF(AwayTeam=AP$4,1)))</f>
        <v>0</v>
      </c>
    </row>
    <row r="68" spans="1:42" x14ac:dyDescent="0.2">
      <c r="A68" s="8" t="str">
        <f>IF(Info!B3&lt;&gt;0,Info!B3,"")</f>
        <v>Aronson, Tony</v>
      </c>
      <c r="B68" s="8">
        <f t="shared" ref="B68:B126" si="1">SUM(C68:V68)</f>
        <v>14</v>
      </c>
      <c r="C68" s="8">
        <f t="array" ref="C68">COUNT(IF(Linemen1=$A68,IF(HomeTeam=C$4,1)))+COUNT(IF(Linemen2=$A68,IF(HomeTeam=C$4,1)))</f>
        <v>3</v>
      </c>
      <c r="D68" s="8">
        <f t="array" ref="D68">COUNT(IF(Linemen1=$A68,IF(HomeTeam=D$4,1)))+COUNT(IF(Linemen2=$A68,IF(HomeTeam=D$4,1)))</f>
        <v>0</v>
      </c>
      <c r="E68" s="8">
        <f t="array" ref="E68">COUNT(IF(Linemen1=$A68,IF(HomeTeam=E$4,1)))+COUNT(IF(Linemen2=$A68,IF(HomeTeam=E$4,1)))</f>
        <v>0</v>
      </c>
      <c r="F68" s="8">
        <f t="array" ref="F68">COUNT(IF(Linemen1=$A68,IF(HomeTeam=F$4,1)))+COUNT(IF(Linemen2=$A68,IF(HomeTeam=F$4,1)))</f>
        <v>2</v>
      </c>
      <c r="G68" s="8">
        <f t="array" ref="G68">COUNT(IF(Linemen1=$A68,IF(HomeTeam=G$4,1)))+COUNT(IF(Linemen2=$A68,IF(HomeTeam=G$4,1)))</f>
        <v>2</v>
      </c>
      <c r="H68" s="8">
        <f t="array" ref="H68">COUNT(IF(Linemen1=$A68,IF(HomeTeam=H$4,1)))+COUNT(IF(Linemen2=$A68,IF(HomeTeam=H$4,1)))</f>
        <v>3</v>
      </c>
      <c r="I68" s="8">
        <f t="array" ref="I68">COUNT(IF(Linemen1=$A68,IF(HomeTeam=I$4,1)))+COUNT(IF(Linemen2=$A68,IF(HomeTeam=I$4,1)))</f>
        <v>1</v>
      </c>
      <c r="J68" s="8">
        <f t="array" ref="J68">COUNT(IF(Linemen1=$A68,IF(HomeTeam=J$4,1)))+COUNT(IF(Linemen2=$A68,IF(HomeTeam=J$4,1)))</f>
        <v>1</v>
      </c>
      <c r="K68" s="8">
        <f t="array" ref="K68">COUNT(IF(Linemen1=$A68,IF(HomeTeam=K$4,1)))+COUNT(IF(Linemen2=$A68,IF(HomeTeam=K$4,1)))</f>
        <v>1</v>
      </c>
      <c r="L68" s="8">
        <f t="array" ref="L68">COUNT(IF(Linemen1=$A68,IF(HomeTeam=L$4,1)))+COUNT(IF(Linemen2=$A68,IF(HomeTeam=L$4,1)))</f>
        <v>0</v>
      </c>
      <c r="M68" s="8">
        <f t="array" ref="M68">COUNT(IF(Linemen1=$A68,IF(HomeTeam=M$4,1)))+COUNT(IF(Linemen2=$A68,IF(HomeTeam=M$4,1)))</f>
        <v>0</v>
      </c>
      <c r="N68" s="8">
        <f t="array" ref="N68">COUNT(IF(Linemen1=$A68,IF(HomeTeam=N$4,1)))+COUNT(IF(Linemen2=$A68,IF(HomeTeam=N$4,1)))</f>
        <v>0</v>
      </c>
      <c r="O68" s="8">
        <f t="array" ref="O68">COUNT(IF(Linemen1=$A68,IF(HomeTeam=O$4,1)))+COUNT(IF(Linemen2=$A68,IF(HomeTeam=O$4,1)))</f>
        <v>1</v>
      </c>
      <c r="P68" s="8">
        <f t="array" ref="P68">COUNT(IF(Linemen1=$A68,IF(HomeTeam=P$4,1)))+COUNT(IF(Linemen2=$A68,IF(HomeTeam=P$4,1)))</f>
        <v>0</v>
      </c>
      <c r="Q68" s="8">
        <f t="array" ref="Q68">COUNT(IF(Linemen1=$A68,IF(HomeTeam=Q$4,1)))+COUNT(IF(Linemen2=$A68,IF(HomeTeam=Q$4,1)))</f>
        <v>0</v>
      </c>
      <c r="R68" s="8">
        <f t="array" ref="R68">COUNT(IF(Linemen1=$A68,IF(HomeTeam=R$4,1)))+COUNT(IF(Linemen2=$A68,IF(HomeTeam=R$4,1)))</f>
        <v>0</v>
      </c>
      <c r="S68" s="8">
        <f t="array" ref="S68">COUNT(IF(Linemen1=$A68,IF(HomeTeam=S$4,1)))+COUNT(IF(Linemen2=$A68,IF(HomeTeam=S$4,1)))</f>
        <v>0</v>
      </c>
      <c r="T68" s="8">
        <f t="array" ref="T68">COUNT(IF(Linemen1=$A68,IF(HomeTeam=T$4,1)))+COUNT(IF(Linemen2=$A68,IF(HomeTeam=T$4,1)))</f>
        <v>0</v>
      </c>
      <c r="U68" s="8">
        <f t="array" ref="U68">COUNT(IF(Linemen1=$A68,IF(HomeTeam=U$4,1)))+COUNT(IF(Linemen2=$A68,IF(HomeTeam=U$4,1)))</f>
        <v>0</v>
      </c>
      <c r="V68" s="8">
        <f t="array" ref="V68">COUNT(IF(Linemen1=$A68,IF(HomeTeam=V$4,1)))+COUNT(IF(Linemen2=$A68,IF(HomeTeam=V$4,1)))</f>
        <v>0</v>
      </c>
      <c r="W68" s="8">
        <f t="array" ref="W68">COUNT(IF(Linemen1=$A68,IF(AwayTeam=W$4,1)))+COUNT(IF(Linemen2=$A68,IF(AwayTeam=W$4,1)))</f>
        <v>3</v>
      </c>
      <c r="X68" s="8">
        <f t="array" ref="X68">COUNT(IF(Linemen1=$A68,IF(AwayTeam=X$4,1)))+COUNT(IF(Linemen2=$A68,IF(AwayTeam=X$4,1)))</f>
        <v>3</v>
      </c>
      <c r="Y68" s="8">
        <f t="array" ref="Y68">COUNT(IF(Linemen1=$A68,IF(AwayTeam=Y$4,1)))+COUNT(IF(Linemen2=$A68,IF(AwayTeam=Y$4,1)))</f>
        <v>0</v>
      </c>
      <c r="Z68" s="8">
        <f t="array" ref="Z68">COUNT(IF(Linemen1=$A68,IF(AwayTeam=Z$4,1)))+COUNT(IF(Linemen2=$A68,IF(AwayTeam=Z$4,1)))</f>
        <v>3</v>
      </c>
      <c r="AA68" s="8">
        <f t="array" ref="AA68">COUNT(IF(Linemen1=$A68,IF(AwayTeam=AA$4,1)))+COUNT(IF(Linemen2=$A68,IF(AwayTeam=AA$4,1)))</f>
        <v>0</v>
      </c>
      <c r="AB68" s="8">
        <f t="array" ref="AB68">COUNT(IF(Linemen1=$A68,IF(AwayTeam=AB$4,1)))+COUNT(IF(Linemen2=$A68,IF(AwayTeam=AB$4,1)))</f>
        <v>1</v>
      </c>
      <c r="AC68" s="8">
        <f t="array" ref="AC68">COUNT(IF(Linemen1=$A68,IF(AwayTeam=AC$4,1)))+COUNT(IF(Linemen2=$A68,IF(AwayTeam=AC$4,1)))</f>
        <v>1</v>
      </c>
      <c r="AD68" s="8">
        <f t="array" ref="AD68">COUNT(IF(Linemen1=$A68,IF(AwayTeam=AD$4,1)))+COUNT(IF(Linemen2=$A68,IF(AwayTeam=AD$4,1)))</f>
        <v>0</v>
      </c>
      <c r="AE68" s="8">
        <f t="array" ref="AE68">COUNT(IF(Linemen1=$A68,IF(AwayTeam=AE$4,1)))+COUNT(IF(Linemen2=$A68,IF(AwayTeam=AE$4,1)))</f>
        <v>0</v>
      </c>
      <c r="AF68" s="8">
        <f t="array" ref="AF68">COUNT(IF(Linemen1=$A68,IF(AwayTeam=AF$4,1)))+COUNT(IF(Linemen2=$A68,IF(AwayTeam=AF$4,1)))</f>
        <v>0</v>
      </c>
      <c r="AG68" s="8">
        <f t="array" ref="AG68">COUNT(IF(Linemen1=$A68,IF(AwayTeam=AG$4,1)))+COUNT(IF(Linemen2=$A68,IF(AwayTeam=AG$4,1)))</f>
        <v>1</v>
      </c>
      <c r="AH68" s="8">
        <f t="array" ref="AH68">COUNT(IF(Linemen1=$A68,IF(AwayTeam=AH$4,1)))+COUNT(IF(Linemen2=$A68,IF(AwayTeam=AH$4,1)))</f>
        <v>2</v>
      </c>
      <c r="AI68" s="8">
        <f t="array" ref="AI68">COUNT(IF(Linemen1=$A68,IF(AwayTeam=AI$4,1)))+COUNT(IF(Linemen2=$A68,IF(AwayTeam=AI$4,1)))</f>
        <v>0</v>
      </c>
      <c r="AJ68" s="8">
        <f t="array" ref="AJ68">COUNT(IF(Linemen1=$A68,IF(AwayTeam=AJ$4,1)))+COUNT(IF(Linemen2=$A68,IF(AwayTeam=AJ$4,1)))</f>
        <v>0</v>
      </c>
      <c r="AK68" s="8">
        <f t="array" ref="AK68">COUNT(IF(Linemen1=$A68,IF(AwayTeam=AK$4,1)))+COUNT(IF(Linemen2=$A68,IF(AwayTeam=AK$4,1)))</f>
        <v>0</v>
      </c>
      <c r="AL68" s="8">
        <f t="array" ref="AL68">COUNT(IF(Linemen1=$A68,IF(AwayTeam=AL$4,1)))+COUNT(IF(Linemen2=$A68,IF(AwayTeam=AL$4,1)))</f>
        <v>0</v>
      </c>
      <c r="AM68" s="8">
        <f t="array" ref="AM68">COUNT(IF(Linemen1=$A68,IF(AwayTeam=AM$4,1)))+COUNT(IF(Linemen2=$A68,IF(AwayTeam=AM$4,1)))</f>
        <v>0</v>
      </c>
      <c r="AN68" s="8">
        <f t="array" ref="AN68">COUNT(IF(Linemen1=$A68,IF(AwayTeam=AN$4,1)))+COUNT(IF(Linemen2=$A68,IF(AwayTeam=AN$4,1)))</f>
        <v>0</v>
      </c>
      <c r="AO68" s="8">
        <f t="array" ref="AO68">COUNT(IF(Linemen1=$A68,IF(AwayTeam=AO$4,1)))+COUNT(IF(Linemen2=$A68,IF(AwayTeam=AO$4,1)))</f>
        <v>0</v>
      </c>
      <c r="AP68" s="8">
        <f t="array" ref="AP68">COUNT(IF(Linemen1=$A68,IF(AwayTeam=AP$4,1)))+COUNT(IF(Linemen2=$A68,IF(AwayTeam=AP$4,1)))</f>
        <v>0</v>
      </c>
    </row>
    <row r="69" spans="1:42" x14ac:dyDescent="0.2">
      <c r="A69" s="8" t="str">
        <f>IF(Info!B4&lt;&gt;0,Info!B4,"")</f>
        <v>Arrigo, Eric</v>
      </c>
      <c r="B69" s="8">
        <f t="shared" si="1"/>
        <v>4</v>
      </c>
      <c r="C69" s="8">
        <f t="array" ref="C69">COUNT(IF(Linemen1=$A69,IF(HomeTeam=C$4,1)))+COUNT(IF(Linemen2=$A69,IF(HomeTeam=C$4,1)))</f>
        <v>0</v>
      </c>
      <c r="D69" s="8">
        <f t="array" ref="D69">COUNT(IF(Linemen1=$A69,IF(HomeTeam=D$4,1)))+COUNT(IF(Linemen2=$A69,IF(HomeTeam=D$4,1)))</f>
        <v>2</v>
      </c>
      <c r="E69" s="8">
        <f t="array" ref="E69">COUNT(IF(Linemen1=$A69,IF(HomeTeam=E$4,1)))+COUNT(IF(Linemen2=$A69,IF(HomeTeam=E$4,1)))</f>
        <v>0</v>
      </c>
      <c r="F69" s="8">
        <f t="array" ref="F69">COUNT(IF(Linemen1=$A69,IF(HomeTeam=F$4,1)))+COUNT(IF(Linemen2=$A69,IF(HomeTeam=F$4,1)))</f>
        <v>0</v>
      </c>
      <c r="G69" s="8">
        <f t="array" ref="G69">COUNT(IF(Linemen1=$A69,IF(HomeTeam=G$4,1)))+COUNT(IF(Linemen2=$A69,IF(HomeTeam=G$4,1)))</f>
        <v>0</v>
      </c>
      <c r="H69" s="8">
        <f t="array" ref="H69">COUNT(IF(Linemen1=$A69,IF(HomeTeam=H$4,1)))+COUNT(IF(Linemen2=$A69,IF(HomeTeam=H$4,1)))</f>
        <v>0</v>
      </c>
      <c r="I69" s="8">
        <f t="array" ref="I69">COUNT(IF(Linemen1=$A69,IF(HomeTeam=I$4,1)))+COUNT(IF(Linemen2=$A69,IF(HomeTeam=I$4,1)))</f>
        <v>0</v>
      </c>
      <c r="J69" s="8">
        <f t="array" ref="J69">COUNT(IF(Linemen1=$A69,IF(HomeTeam=J$4,1)))+COUNT(IF(Linemen2=$A69,IF(HomeTeam=J$4,1)))</f>
        <v>0</v>
      </c>
      <c r="K69" s="8">
        <f t="array" ref="K69">COUNT(IF(Linemen1=$A69,IF(HomeTeam=K$4,1)))+COUNT(IF(Linemen2=$A69,IF(HomeTeam=K$4,1)))</f>
        <v>2</v>
      </c>
      <c r="L69" s="8">
        <f t="array" ref="L69">COUNT(IF(Linemen1=$A69,IF(HomeTeam=L$4,1)))+COUNT(IF(Linemen2=$A69,IF(HomeTeam=L$4,1)))</f>
        <v>0</v>
      </c>
      <c r="M69" s="8">
        <f t="array" ref="M69">COUNT(IF(Linemen1=$A69,IF(HomeTeam=M$4,1)))+COUNT(IF(Linemen2=$A69,IF(HomeTeam=M$4,1)))</f>
        <v>0</v>
      </c>
      <c r="N69" s="8">
        <f t="array" ref="N69">COUNT(IF(Linemen1=$A69,IF(HomeTeam=N$4,1)))+COUNT(IF(Linemen2=$A69,IF(HomeTeam=N$4,1)))</f>
        <v>0</v>
      </c>
      <c r="O69" s="8">
        <f t="array" ref="O69">COUNT(IF(Linemen1=$A69,IF(HomeTeam=O$4,1)))+COUNT(IF(Linemen2=$A69,IF(HomeTeam=O$4,1)))</f>
        <v>0</v>
      </c>
      <c r="P69" s="8">
        <f t="array" ref="P69">COUNT(IF(Linemen1=$A69,IF(HomeTeam=P$4,1)))+COUNT(IF(Linemen2=$A69,IF(HomeTeam=P$4,1)))</f>
        <v>0</v>
      </c>
      <c r="Q69" s="8">
        <f t="array" ref="Q69">COUNT(IF(Linemen1=$A69,IF(HomeTeam=Q$4,1)))+COUNT(IF(Linemen2=$A69,IF(HomeTeam=Q$4,1)))</f>
        <v>0</v>
      </c>
      <c r="R69" s="8">
        <f t="array" ref="R69">COUNT(IF(Linemen1=$A69,IF(HomeTeam=R$4,1)))+COUNT(IF(Linemen2=$A69,IF(HomeTeam=R$4,1)))</f>
        <v>0</v>
      </c>
      <c r="S69" s="8">
        <f t="array" ref="S69">COUNT(IF(Linemen1=$A69,IF(HomeTeam=S$4,1)))+COUNT(IF(Linemen2=$A69,IF(HomeTeam=S$4,1)))</f>
        <v>0</v>
      </c>
      <c r="T69" s="8">
        <f t="array" ref="T69">COUNT(IF(Linemen1=$A69,IF(HomeTeam=T$4,1)))+COUNT(IF(Linemen2=$A69,IF(HomeTeam=T$4,1)))</f>
        <v>0</v>
      </c>
      <c r="U69" s="8">
        <f t="array" ref="U69">COUNT(IF(Linemen1=$A69,IF(HomeTeam=U$4,1)))+COUNT(IF(Linemen2=$A69,IF(HomeTeam=U$4,1)))</f>
        <v>0</v>
      </c>
      <c r="V69" s="8">
        <f t="array" ref="V69">COUNT(IF(Linemen1=$A69,IF(HomeTeam=V$4,1)))+COUNT(IF(Linemen2=$A69,IF(HomeTeam=V$4,1)))</f>
        <v>0</v>
      </c>
      <c r="W69" s="8">
        <f t="array" ref="W69">COUNT(IF(Linemen1=$A69,IF(AwayTeam=W$4,1)))+COUNT(IF(Linemen2=$A69,IF(AwayTeam=W$4,1)))</f>
        <v>1</v>
      </c>
      <c r="X69" s="8">
        <f t="array" ref="X69">COUNT(IF(Linemen1=$A69,IF(AwayTeam=X$4,1)))+COUNT(IF(Linemen2=$A69,IF(AwayTeam=X$4,1)))</f>
        <v>0</v>
      </c>
      <c r="Y69" s="8">
        <f t="array" ref="Y69">COUNT(IF(Linemen1=$A69,IF(AwayTeam=Y$4,1)))+COUNT(IF(Linemen2=$A69,IF(AwayTeam=Y$4,1)))</f>
        <v>1</v>
      </c>
      <c r="Z69" s="8">
        <f t="array" ref="Z69">COUNT(IF(Linemen1=$A69,IF(AwayTeam=Z$4,1)))+COUNT(IF(Linemen2=$A69,IF(AwayTeam=Z$4,1)))</f>
        <v>1</v>
      </c>
      <c r="AA69" s="8">
        <f t="array" ref="AA69">COUNT(IF(Linemen1=$A69,IF(AwayTeam=AA$4,1)))+COUNT(IF(Linemen2=$A69,IF(AwayTeam=AA$4,1)))</f>
        <v>0</v>
      </c>
      <c r="AB69" s="8">
        <f t="array" ref="AB69">COUNT(IF(Linemen1=$A69,IF(AwayTeam=AB$4,1)))+COUNT(IF(Linemen2=$A69,IF(AwayTeam=AB$4,1)))</f>
        <v>0</v>
      </c>
      <c r="AC69" s="8">
        <f t="array" ref="AC69">COUNT(IF(Linemen1=$A69,IF(AwayTeam=AC$4,1)))+COUNT(IF(Linemen2=$A69,IF(AwayTeam=AC$4,1)))</f>
        <v>0</v>
      </c>
      <c r="AD69" s="8">
        <f t="array" ref="AD69">COUNT(IF(Linemen1=$A69,IF(AwayTeam=AD$4,1)))+COUNT(IF(Linemen2=$A69,IF(AwayTeam=AD$4,1)))</f>
        <v>0</v>
      </c>
      <c r="AE69" s="8">
        <f t="array" ref="AE69">COUNT(IF(Linemen1=$A69,IF(AwayTeam=AE$4,1)))+COUNT(IF(Linemen2=$A69,IF(AwayTeam=AE$4,1)))</f>
        <v>1</v>
      </c>
      <c r="AF69" s="8">
        <f t="array" ref="AF69">COUNT(IF(Linemen1=$A69,IF(AwayTeam=AF$4,1)))+COUNT(IF(Linemen2=$A69,IF(AwayTeam=AF$4,1)))</f>
        <v>0</v>
      </c>
      <c r="AG69" s="8">
        <f t="array" ref="AG69">COUNT(IF(Linemen1=$A69,IF(AwayTeam=AG$4,1)))+COUNT(IF(Linemen2=$A69,IF(AwayTeam=AG$4,1)))</f>
        <v>0</v>
      </c>
      <c r="AH69" s="8">
        <f t="array" ref="AH69">COUNT(IF(Linemen1=$A69,IF(AwayTeam=AH$4,1)))+COUNT(IF(Linemen2=$A69,IF(AwayTeam=AH$4,1)))</f>
        <v>0</v>
      </c>
      <c r="AI69" s="8">
        <f t="array" ref="AI69">COUNT(IF(Linemen1=$A69,IF(AwayTeam=AI$4,1)))+COUNT(IF(Linemen2=$A69,IF(AwayTeam=AI$4,1)))</f>
        <v>0</v>
      </c>
      <c r="AJ69" s="8">
        <f t="array" ref="AJ69">COUNT(IF(Linemen1=$A69,IF(AwayTeam=AJ$4,1)))+COUNT(IF(Linemen2=$A69,IF(AwayTeam=AJ$4,1)))</f>
        <v>0</v>
      </c>
      <c r="AK69" s="8">
        <f t="array" ref="AK69">COUNT(IF(Linemen1=$A69,IF(AwayTeam=AK$4,1)))+COUNT(IF(Linemen2=$A69,IF(AwayTeam=AK$4,1)))</f>
        <v>0</v>
      </c>
      <c r="AL69" s="8">
        <f t="array" ref="AL69">COUNT(IF(Linemen1=$A69,IF(AwayTeam=AL$4,1)))+COUNT(IF(Linemen2=$A69,IF(AwayTeam=AL$4,1)))</f>
        <v>0</v>
      </c>
      <c r="AM69" s="8">
        <f t="array" ref="AM69">COUNT(IF(Linemen1=$A69,IF(AwayTeam=AM$4,1)))+COUNT(IF(Linemen2=$A69,IF(AwayTeam=AM$4,1)))</f>
        <v>0</v>
      </c>
      <c r="AN69" s="8">
        <f t="array" ref="AN69">COUNT(IF(Linemen1=$A69,IF(AwayTeam=AN$4,1)))+COUNT(IF(Linemen2=$A69,IF(AwayTeam=AN$4,1)))</f>
        <v>0</v>
      </c>
      <c r="AO69" s="8">
        <f t="array" ref="AO69">COUNT(IF(Linemen1=$A69,IF(AwayTeam=AO$4,1)))+COUNT(IF(Linemen2=$A69,IF(AwayTeam=AO$4,1)))</f>
        <v>0</v>
      </c>
      <c r="AP69" s="8">
        <f t="array" ref="AP69">COUNT(IF(Linemen1=$A69,IF(AwayTeam=AP$4,1)))+COUNT(IF(Linemen2=$A69,IF(AwayTeam=AP$4,1)))</f>
        <v>0</v>
      </c>
    </row>
    <row r="70" spans="1:42" x14ac:dyDescent="0.2">
      <c r="A70" s="8" t="str">
        <f>IF(Info!B5&lt;&gt;0,Info!B5,"")</f>
        <v>Bellgraph, Logan</v>
      </c>
      <c r="B70" s="8">
        <f t="shared" si="1"/>
        <v>1</v>
      </c>
      <c r="C70" s="8">
        <f t="array" ref="C70">COUNT(IF(Linemen1=$A70,IF(HomeTeam=C$4,1)))+COUNT(IF(Linemen2=$A70,IF(HomeTeam=C$4,1)))</f>
        <v>0</v>
      </c>
      <c r="D70" s="8">
        <f t="array" ref="D70">COUNT(IF(Linemen1=$A70,IF(HomeTeam=D$4,1)))+COUNT(IF(Linemen2=$A70,IF(HomeTeam=D$4,1)))</f>
        <v>0</v>
      </c>
      <c r="E70" s="8">
        <f t="array" ref="E70">COUNT(IF(Linemen1=$A70,IF(HomeTeam=E$4,1)))+COUNT(IF(Linemen2=$A70,IF(HomeTeam=E$4,1)))</f>
        <v>0</v>
      </c>
      <c r="F70" s="8">
        <f t="array" ref="F70">COUNT(IF(Linemen1=$A70,IF(HomeTeam=F$4,1)))+COUNT(IF(Linemen2=$A70,IF(HomeTeam=F$4,1)))</f>
        <v>0</v>
      </c>
      <c r="G70" s="8">
        <f t="array" ref="G70">COUNT(IF(Linemen1=$A70,IF(HomeTeam=G$4,1)))+COUNT(IF(Linemen2=$A70,IF(HomeTeam=G$4,1)))</f>
        <v>0</v>
      </c>
      <c r="H70" s="8">
        <f t="array" ref="H70">COUNT(IF(Linemen1=$A70,IF(HomeTeam=H$4,1)))+COUNT(IF(Linemen2=$A70,IF(HomeTeam=H$4,1)))</f>
        <v>0</v>
      </c>
      <c r="I70" s="8">
        <f t="array" ref="I70">COUNT(IF(Linemen1=$A70,IF(HomeTeam=I$4,1)))+COUNT(IF(Linemen2=$A70,IF(HomeTeam=I$4,1)))</f>
        <v>0</v>
      </c>
      <c r="J70" s="8">
        <f t="array" ref="J70">COUNT(IF(Linemen1=$A70,IF(HomeTeam=J$4,1)))+COUNT(IF(Linemen2=$A70,IF(HomeTeam=J$4,1)))</f>
        <v>0</v>
      </c>
      <c r="K70" s="8">
        <f t="array" ref="K70">COUNT(IF(Linemen1=$A70,IF(HomeTeam=K$4,1)))+COUNT(IF(Linemen2=$A70,IF(HomeTeam=K$4,1)))</f>
        <v>0</v>
      </c>
      <c r="L70" s="8">
        <f t="array" ref="L70">COUNT(IF(Linemen1=$A70,IF(HomeTeam=L$4,1)))+COUNT(IF(Linemen2=$A70,IF(HomeTeam=L$4,1)))</f>
        <v>1</v>
      </c>
      <c r="M70" s="8">
        <f t="array" ref="M70">COUNT(IF(Linemen1=$A70,IF(HomeTeam=M$4,1)))+COUNT(IF(Linemen2=$A70,IF(HomeTeam=M$4,1)))</f>
        <v>0</v>
      </c>
      <c r="N70" s="8">
        <f t="array" ref="N70">COUNT(IF(Linemen1=$A70,IF(HomeTeam=N$4,1)))+COUNT(IF(Linemen2=$A70,IF(HomeTeam=N$4,1)))</f>
        <v>0</v>
      </c>
      <c r="O70" s="8">
        <f t="array" ref="O70">COUNT(IF(Linemen1=$A70,IF(HomeTeam=O$4,1)))+COUNT(IF(Linemen2=$A70,IF(HomeTeam=O$4,1)))</f>
        <v>0</v>
      </c>
      <c r="P70" s="8">
        <f t="array" ref="P70">COUNT(IF(Linemen1=$A70,IF(HomeTeam=P$4,1)))+COUNT(IF(Linemen2=$A70,IF(HomeTeam=P$4,1)))</f>
        <v>0</v>
      </c>
      <c r="Q70" s="8">
        <f t="array" ref="Q70">COUNT(IF(Linemen1=$A70,IF(HomeTeam=Q$4,1)))+COUNT(IF(Linemen2=$A70,IF(HomeTeam=Q$4,1)))</f>
        <v>0</v>
      </c>
      <c r="R70" s="8">
        <f t="array" ref="R70">COUNT(IF(Linemen1=$A70,IF(HomeTeam=R$4,1)))+COUNT(IF(Linemen2=$A70,IF(HomeTeam=R$4,1)))</f>
        <v>0</v>
      </c>
      <c r="S70" s="8">
        <f t="array" ref="S70">COUNT(IF(Linemen1=$A70,IF(HomeTeam=S$4,1)))+COUNT(IF(Linemen2=$A70,IF(HomeTeam=S$4,1)))</f>
        <v>0</v>
      </c>
      <c r="T70" s="8">
        <f t="array" ref="T70">COUNT(IF(Linemen1=$A70,IF(HomeTeam=T$4,1)))+COUNT(IF(Linemen2=$A70,IF(HomeTeam=T$4,1)))</f>
        <v>0</v>
      </c>
      <c r="U70" s="8">
        <f t="array" ref="U70">COUNT(IF(Linemen1=$A70,IF(HomeTeam=U$4,1)))+COUNT(IF(Linemen2=$A70,IF(HomeTeam=U$4,1)))</f>
        <v>0</v>
      </c>
      <c r="V70" s="8">
        <f t="array" ref="V70">COUNT(IF(Linemen1=$A70,IF(HomeTeam=V$4,1)))+COUNT(IF(Linemen2=$A70,IF(HomeTeam=V$4,1)))</f>
        <v>0</v>
      </c>
      <c r="W70" s="8">
        <f t="array" ref="W70">COUNT(IF(Linemen1=$A70,IF(AwayTeam=W$4,1)))+COUNT(IF(Linemen2=$A70,IF(AwayTeam=W$4,1)))</f>
        <v>0</v>
      </c>
      <c r="X70" s="8">
        <f t="array" ref="X70">COUNT(IF(Linemen1=$A70,IF(AwayTeam=X$4,1)))+COUNT(IF(Linemen2=$A70,IF(AwayTeam=X$4,1)))</f>
        <v>1</v>
      </c>
      <c r="Y70" s="8">
        <f t="array" ref="Y70">COUNT(IF(Linemen1=$A70,IF(AwayTeam=Y$4,1)))+COUNT(IF(Linemen2=$A70,IF(AwayTeam=Y$4,1)))</f>
        <v>0</v>
      </c>
      <c r="Z70" s="8">
        <f t="array" ref="Z70">COUNT(IF(Linemen1=$A70,IF(AwayTeam=Z$4,1)))+COUNT(IF(Linemen2=$A70,IF(AwayTeam=Z$4,1)))</f>
        <v>0</v>
      </c>
      <c r="AA70" s="8">
        <f t="array" ref="AA70">COUNT(IF(Linemen1=$A70,IF(AwayTeam=AA$4,1)))+COUNT(IF(Linemen2=$A70,IF(AwayTeam=AA$4,1)))</f>
        <v>0</v>
      </c>
      <c r="AB70" s="8">
        <f t="array" ref="AB70">COUNT(IF(Linemen1=$A70,IF(AwayTeam=AB$4,1)))+COUNT(IF(Linemen2=$A70,IF(AwayTeam=AB$4,1)))</f>
        <v>0</v>
      </c>
      <c r="AC70" s="8">
        <f t="array" ref="AC70">COUNT(IF(Linemen1=$A70,IF(AwayTeam=AC$4,1)))+COUNT(IF(Linemen2=$A70,IF(AwayTeam=AC$4,1)))</f>
        <v>0</v>
      </c>
      <c r="AD70" s="8">
        <f t="array" ref="AD70">COUNT(IF(Linemen1=$A70,IF(AwayTeam=AD$4,1)))+COUNT(IF(Linemen2=$A70,IF(AwayTeam=AD$4,1)))</f>
        <v>0</v>
      </c>
      <c r="AE70" s="8">
        <f t="array" ref="AE70">COUNT(IF(Linemen1=$A70,IF(AwayTeam=AE$4,1)))+COUNT(IF(Linemen2=$A70,IF(AwayTeam=AE$4,1)))</f>
        <v>0</v>
      </c>
      <c r="AF70" s="8">
        <f t="array" ref="AF70">COUNT(IF(Linemen1=$A70,IF(AwayTeam=AF$4,1)))+COUNT(IF(Linemen2=$A70,IF(AwayTeam=AF$4,1)))</f>
        <v>0</v>
      </c>
      <c r="AG70" s="8">
        <f t="array" ref="AG70">COUNT(IF(Linemen1=$A70,IF(AwayTeam=AG$4,1)))+COUNT(IF(Linemen2=$A70,IF(AwayTeam=AG$4,1)))</f>
        <v>0</v>
      </c>
      <c r="AH70" s="8">
        <f t="array" ref="AH70">COUNT(IF(Linemen1=$A70,IF(AwayTeam=AH$4,1)))+COUNT(IF(Linemen2=$A70,IF(AwayTeam=AH$4,1)))</f>
        <v>0</v>
      </c>
      <c r="AI70" s="8">
        <f t="array" ref="AI70">COUNT(IF(Linemen1=$A70,IF(AwayTeam=AI$4,1)))+COUNT(IF(Linemen2=$A70,IF(AwayTeam=AI$4,1)))</f>
        <v>0</v>
      </c>
      <c r="AJ70" s="8">
        <f t="array" ref="AJ70">COUNT(IF(Linemen1=$A70,IF(AwayTeam=AJ$4,1)))+COUNT(IF(Linemen2=$A70,IF(AwayTeam=AJ$4,1)))</f>
        <v>0</v>
      </c>
      <c r="AK70" s="8">
        <f t="array" ref="AK70">COUNT(IF(Linemen1=$A70,IF(AwayTeam=AK$4,1)))+COUNT(IF(Linemen2=$A70,IF(AwayTeam=AK$4,1)))</f>
        <v>0</v>
      </c>
      <c r="AL70" s="8">
        <f t="array" ref="AL70">COUNT(IF(Linemen1=$A70,IF(AwayTeam=AL$4,1)))+COUNT(IF(Linemen2=$A70,IF(AwayTeam=AL$4,1)))</f>
        <v>0</v>
      </c>
      <c r="AM70" s="8">
        <f t="array" ref="AM70">COUNT(IF(Linemen1=$A70,IF(AwayTeam=AM$4,1)))+COUNT(IF(Linemen2=$A70,IF(AwayTeam=AM$4,1)))</f>
        <v>0</v>
      </c>
      <c r="AN70" s="8">
        <f t="array" ref="AN70">COUNT(IF(Linemen1=$A70,IF(AwayTeam=AN$4,1)))+COUNT(IF(Linemen2=$A70,IF(AwayTeam=AN$4,1)))</f>
        <v>0</v>
      </c>
      <c r="AO70" s="8">
        <f t="array" ref="AO70">COUNT(IF(Linemen1=$A70,IF(AwayTeam=AO$4,1)))+COUNT(IF(Linemen2=$A70,IF(AwayTeam=AO$4,1)))</f>
        <v>0</v>
      </c>
      <c r="AP70" s="8">
        <f t="array" ref="AP70">COUNT(IF(Linemen1=$A70,IF(AwayTeam=AP$4,1)))+COUNT(IF(Linemen2=$A70,IF(AwayTeam=AP$4,1)))</f>
        <v>0</v>
      </c>
    </row>
    <row r="71" spans="1:42" x14ac:dyDescent="0.2">
      <c r="A71" s="8" t="str">
        <f>IF(Info!B6&lt;&gt;0,Info!B6,"")</f>
        <v>Bethmann, Andy</v>
      </c>
      <c r="B71" s="8">
        <f t="shared" si="1"/>
        <v>1</v>
      </c>
      <c r="C71" s="8">
        <f t="array" ref="C71">COUNT(IF(Linemen1=$A71,IF(HomeTeam=C$4,1)))+COUNT(IF(Linemen2=$A71,IF(HomeTeam=C$4,1)))</f>
        <v>0</v>
      </c>
      <c r="D71" s="8">
        <f t="array" ref="D71">COUNT(IF(Linemen1=$A71,IF(HomeTeam=D$4,1)))+COUNT(IF(Linemen2=$A71,IF(HomeTeam=D$4,1)))</f>
        <v>1</v>
      </c>
      <c r="E71" s="8">
        <f t="array" ref="E71">COUNT(IF(Linemen1=$A71,IF(HomeTeam=E$4,1)))+COUNT(IF(Linemen2=$A71,IF(HomeTeam=E$4,1)))</f>
        <v>0</v>
      </c>
      <c r="F71" s="8">
        <f t="array" ref="F71">COUNT(IF(Linemen1=$A71,IF(HomeTeam=F$4,1)))+COUNT(IF(Linemen2=$A71,IF(HomeTeam=F$4,1)))</f>
        <v>0</v>
      </c>
      <c r="G71" s="8">
        <f t="array" ref="G71">COUNT(IF(Linemen1=$A71,IF(HomeTeam=G$4,1)))+COUNT(IF(Linemen2=$A71,IF(HomeTeam=G$4,1)))</f>
        <v>0</v>
      </c>
      <c r="H71" s="8">
        <f t="array" ref="H71">COUNT(IF(Linemen1=$A71,IF(HomeTeam=H$4,1)))+COUNT(IF(Linemen2=$A71,IF(HomeTeam=H$4,1)))</f>
        <v>0</v>
      </c>
      <c r="I71" s="8">
        <f t="array" ref="I71">COUNT(IF(Linemen1=$A71,IF(HomeTeam=I$4,1)))+COUNT(IF(Linemen2=$A71,IF(HomeTeam=I$4,1)))</f>
        <v>0</v>
      </c>
      <c r="J71" s="8">
        <f t="array" ref="J71">COUNT(IF(Linemen1=$A71,IF(HomeTeam=J$4,1)))+COUNT(IF(Linemen2=$A71,IF(HomeTeam=J$4,1)))</f>
        <v>0</v>
      </c>
      <c r="K71" s="8">
        <f t="array" ref="K71">COUNT(IF(Linemen1=$A71,IF(HomeTeam=K$4,1)))+COUNT(IF(Linemen2=$A71,IF(HomeTeam=K$4,1)))</f>
        <v>0</v>
      </c>
      <c r="L71" s="8">
        <f t="array" ref="L71">COUNT(IF(Linemen1=$A71,IF(HomeTeam=L$4,1)))+COUNT(IF(Linemen2=$A71,IF(HomeTeam=L$4,1)))</f>
        <v>0</v>
      </c>
      <c r="M71" s="8">
        <f t="array" ref="M71">COUNT(IF(Linemen1=$A71,IF(HomeTeam=M$4,1)))+COUNT(IF(Linemen2=$A71,IF(HomeTeam=M$4,1)))</f>
        <v>0</v>
      </c>
      <c r="N71" s="8">
        <f t="array" ref="N71">COUNT(IF(Linemen1=$A71,IF(HomeTeam=N$4,1)))+COUNT(IF(Linemen2=$A71,IF(HomeTeam=N$4,1)))</f>
        <v>0</v>
      </c>
      <c r="O71" s="8">
        <f t="array" ref="O71">COUNT(IF(Linemen1=$A71,IF(HomeTeam=O$4,1)))+COUNT(IF(Linemen2=$A71,IF(HomeTeam=O$4,1)))</f>
        <v>0</v>
      </c>
      <c r="P71" s="8">
        <f t="array" ref="P71">COUNT(IF(Linemen1=$A71,IF(HomeTeam=P$4,1)))+COUNT(IF(Linemen2=$A71,IF(HomeTeam=P$4,1)))</f>
        <v>0</v>
      </c>
      <c r="Q71" s="8">
        <f t="array" ref="Q71">COUNT(IF(Linemen1=$A71,IF(HomeTeam=Q$4,1)))+COUNT(IF(Linemen2=$A71,IF(HomeTeam=Q$4,1)))</f>
        <v>0</v>
      </c>
      <c r="R71" s="8">
        <f t="array" ref="R71">COUNT(IF(Linemen1=$A71,IF(HomeTeam=R$4,1)))+COUNT(IF(Linemen2=$A71,IF(HomeTeam=R$4,1)))</f>
        <v>0</v>
      </c>
      <c r="S71" s="8">
        <f t="array" ref="S71">COUNT(IF(Linemen1=$A71,IF(HomeTeam=S$4,1)))+COUNT(IF(Linemen2=$A71,IF(HomeTeam=S$4,1)))</f>
        <v>0</v>
      </c>
      <c r="T71" s="8">
        <f t="array" ref="T71">COUNT(IF(Linemen1=$A71,IF(HomeTeam=T$4,1)))+COUNT(IF(Linemen2=$A71,IF(HomeTeam=T$4,1)))</f>
        <v>0</v>
      </c>
      <c r="U71" s="8">
        <f t="array" ref="U71">COUNT(IF(Linemen1=$A71,IF(HomeTeam=U$4,1)))+COUNT(IF(Linemen2=$A71,IF(HomeTeam=U$4,1)))</f>
        <v>0</v>
      </c>
      <c r="V71" s="8">
        <f t="array" ref="V71">COUNT(IF(Linemen1=$A71,IF(HomeTeam=V$4,1)))+COUNT(IF(Linemen2=$A71,IF(HomeTeam=V$4,1)))</f>
        <v>0</v>
      </c>
      <c r="W71" s="8">
        <f t="array" ref="W71">COUNT(IF(Linemen1=$A71,IF(AwayTeam=W$4,1)))+COUNT(IF(Linemen2=$A71,IF(AwayTeam=W$4,1)))</f>
        <v>0</v>
      </c>
      <c r="X71" s="8">
        <f t="array" ref="X71">COUNT(IF(Linemen1=$A71,IF(AwayTeam=X$4,1)))+COUNT(IF(Linemen2=$A71,IF(AwayTeam=X$4,1)))</f>
        <v>0</v>
      </c>
      <c r="Y71" s="8">
        <f t="array" ref="Y71">COUNT(IF(Linemen1=$A71,IF(AwayTeam=Y$4,1)))+COUNT(IF(Linemen2=$A71,IF(AwayTeam=Y$4,1)))</f>
        <v>0</v>
      </c>
      <c r="Z71" s="8">
        <f t="array" ref="Z71">COUNT(IF(Linemen1=$A71,IF(AwayTeam=Z$4,1)))+COUNT(IF(Linemen2=$A71,IF(AwayTeam=Z$4,1)))</f>
        <v>0</v>
      </c>
      <c r="AA71" s="8">
        <f t="array" ref="AA71">COUNT(IF(Linemen1=$A71,IF(AwayTeam=AA$4,1)))+COUNT(IF(Linemen2=$A71,IF(AwayTeam=AA$4,1)))</f>
        <v>0</v>
      </c>
      <c r="AB71" s="8">
        <f t="array" ref="AB71">COUNT(IF(Linemen1=$A71,IF(AwayTeam=AB$4,1)))+COUNT(IF(Linemen2=$A71,IF(AwayTeam=AB$4,1)))</f>
        <v>0</v>
      </c>
      <c r="AC71" s="8">
        <f t="array" ref="AC71">COUNT(IF(Linemen1=$A71,IF(AwayTeam=AC$4,1)))+COUNT(IF(Linemen2=$A71,IF(AwayTeam=AC$4,1)))</f>
        <v>0</v>
      </c>
      <c r="AD71" s="8">
        <f t="array" ref="AD71">COUNT(IF(Linemen1=$A71,IF(AwayTeam=AD$4,1)))+COUNT(IF(Linemen2=$A71,IF(AwayTeam=AD$4,1)))</f>
        <v>0</v>
      </c>
      <c r="AE71" s="8">
        <f t="array" ref="AE71">COUNT(IF(Linemen1=$A71,IF(AwayTeam=AE$4,1)))+COUNT(IF(Linemen2=$A71,IF(AwayTeam=AE$4,1)))</f>
        <v>0</v>
      </c>
      <c r="AF71" s="8">
        <f t="array" ref="AF71">COUNT(IF(Linemen1=$A71,IF(AwayTeam=AF$4,1)))+COUNT(IF(Linemen2=$A71,IF(AwayTeam=AF$4,1)))</f>
        <v>0</v>
      </c>
      <c r="AG71" s="8">
        <f t="array" ref="AG71">COUNT(IF(Linemen1=$A71,IF(AwayTeam=AG$4,1)))+COUNT(IF(Linemen2=$A71,IF(AwayTeam=AG$4,1)))</f>
        <v>0</v>
      </c>
      <c r="AH71" s="8">
        <f t="array" ref="AH71">COUNT(IF(Linemen1=$A71,IF(AwayTeam=AH$4,1)))+COUNT(IF(Linemen2=$A71,IF(AwayTeam=AH$4,1)))</f>
        <v>0</v>
      </c>
      <c r="AI71" s="8">
        <f t="array" ref="AI71">COUNT(IF(Linemen1=$A71,IF(AwayTeam=AI$4,1)))+COUNT(IF(Linemen2=$A71,IF(AwayTeam=AI$4,1)))</f>
        <v>0</v>
      </c>
      <c r="AJ71" s="8">
        <f t="array" ref="AJ71">COUNT(IF(Linemen1=$A71,IF(AwayTeam=AJ$4,1)))+COUNT(IF(Linemen2=$A71,IF(AwayTeam=AJ$4,1)))</f>
        <v>0</v>
      </c>
      <c r="AK71" s="8">
        <f t="array" ref="AK71">COUNT(IF(Linemen1=$A71,IF(AwayTeam=AK$4,1)))+COUNT(IF(Linemen2=$A71,IF(AwayTeam=AK$4,1)))</f>
        <v>1</v>
      </c>
      <c r="AL71" s="8">
        <f t="array" ref="AL71">COUNT(IF(Linemen1=$A71,IF(AwayTeam=AL$4,1)))+COUNT(IF(Linemen2=$A71,IF(AwayTeam=AL$4,1)))</f>
        <v>0</v>
      </c>
      <c r="AM71" s="8">
        <f t="array" ref="AM71">COUNT(IF(Linemen1=$A71,IF(AwayTeam=AM$4,1)))+COUNT(IF(Linemen2=$A71,IF(AwayTeam=AM$4,1)))</f>
        <v>0</v>
      </c>
      <c r="AN71" s="8">
        <f t="array" ref="AN71">COUNT(IF(Linemen1=$A71,IF(AwayTeam=AN$4,1)))+COUNT(IF(Linemen2=$A71,IF(AwayTeam=AN$4,1)))</f>
        <v>0</v>
      </c>
      <c r="AO71" s="8">
        <f t="array" ref="AO71">COUNT(IF(Linemen1=$A71,IF(AwayTeam=AO$4,1)))+COUNT(IF(Linemen2=$A71,IF(AwayTeam=AO$4,1)))</f>
        <v>0</v>
      </c>
      <c r="AP71" s="8">
        <f t="array" ref="AP71">COUNT(IF(Linemen1=$A71,IF(AwayTeam=AP$4,1)))+COUNT(IF(Linemen2=$A71,IF(AwayTeam=AP$4,1)))</f>
        <v>0</v>
      </c>
    </row>
    <row r="72" spans="1:42" x14ac:dyDescent="0.2">
      <c r="A72" s="8" t="str">
        <f>IF(Info!B7&lt;&gt;0,Info!B7,"")</f>
        <v>Bucholz, Elliot</v>
      </c>
      <c r="B72" s="8">
        <f t="shared" si="1"/>
        <v>3</v>
      </c>
      <c r="C72" s="8">
        <f t="array" ref="C72">COUNT(IF(Linemen1=$A72,IF(HomeTeam=C$4,1)))+COUNT(IF(Linemen2=$A72,IF(HomeTeam=C$4,1)))</f>
        <v>0</v>
      </c>
      <c r="D72" s="8">
        <f t="array" ref="D72">COUNT(IF(Linemen1=$A72,IF(HomeTeam=D$4,1)))+COUNT(IF(Linemen2=$A72,IF(HomeTeam=D$4,1)))</f>
        <v>0</v>
      </c>
      <c r="E72" s="8">
        <f t="array" ref="E72">COUNT(IF(Linemen1=$A72,IF(HomeTeam=E$4,1)))+COUNT(IF(Linemen2=$A72,IF(HomeTeam=E$4,1)))</f>
        <v>0</v>
      </c>
      <c r="F72" s="8">
        <f t="array" ref="F72">COUNT(IF(Linemen1=$A72,IF(HomeTeam=F$4,1)))+COUNT(IF(Linemen2=$A72,IF(HomeTeam=F$4,1)))</f>
        <v>0</v>
      </c>
      <c r="G72" s="8">
        <f t="array" ref="G72">COUNT(IF(Linemen1=$A72,IF(HomeTeam=G$4,1)))+COUNT(IF(Linemen2=$A72,IF(HomeTeam=G$4,1)))</f>
        <v>0</v>
      </c>
      <c r="H72" s="8">
        <f t="array" ref="H72">COUNT(IF(Linemen1=$A72,IF(HomeTeam=H$4,1)))+COUNT(IF(Linemen2=$A72,IF(HomeTeam=H$4,1)))</f>
        <v>0</v>
      </c>
      <c r="I72" s="8">
        <f t="array" ref="I72">COUNT(IF(Linemen1=$A72,IF(HomeTeam=I$4,1)))+COUNT(IF(Linemen2=$A72,IF(HomeTeam=I$4,1)))</f>
        <v>0</v>
      </c>
      <c r="J72" s="8">
        <f t="array" ref="J72">COUNT(IF(Linemen1=$A72,IF(HomeTeam=J$4,1)))+COUNT(IF(Linemen2=$A72,IF(HomeTeam=J$4,1)))</f>
        <v>0</v>
      </c>
      <c r="K72" s="8">
        <f t="array" ref="K72">COUNT(IF(Linemen1=$A72,IF(HomeTeam=K$4,1)))+COUNT(IF(Linemen2=$A72,IF(HomeTeam=K$4,1)))</f>
        <v>0</v>
      </c>
      <c r="L72" s="8">
        <f t="array" ref="L72">COUNT(IF(Linemen1=$A72,IF(HomeTeam=L$4,1)))+COUNT(IF(Linemen2=$A72,IF(HomeTeam=L$4,1)))</f>
        <v>0</v>
      </c>
      <c r="M72" s="8">
        <f t="array" ref="M72">COUNT(IF(Linemen1=$A72,IF(HomeTeam=M$4,1)))+COUNT(IF(Linemen2=$A72,IF(HomeTeam=M$4,1)))</f>
        <v>0</v>
      </c>
      <c r="N72" s="8">
        <f t="array" ref="N72">COUNT(IF(Linemen1=$A72,IF(HomeTeam=N$4,1)))+COUNT(IF(Linemen2=$A72,IF(HomeTeam=N$4,1)))</f>
        <v>1</v>
      </c>
      <c r="O72" s="8">
        <f t="array" ref="O72">COUNT(IF(Linemen1=$A72,IF(HomeTeam=O$4,1)))+COUNT(IF(Linemen2=$A72,IF(HomeTeam=O$4,1)))</f>
        <v>1</v>
      </c>
      <c r="P72" s="8">
        <f t="array" ref="P72">COUNT(IF(Linemen1=$A72,IF(HomeTeam=P$4,1)))+COUNT(IF(Linemen2=$A72,IF(HomeTeam=P$4,1)))</f>
        <v>0</v>
      </c>
      <c r="Q72" s="8">
        <f t="array" ref="Q72">COUNT(IF(Linemen1=$A72,IF(HomeTeam=Q$4,1)))+COUNT(IF(Linemen2=$A72,IF(HomeTeam=Q$4,1)))</f>
        <v>0</v>
      </c>
      <c r="R72" s="8">
        <f t="array" ref="R72">COUNT(IF(Linemen1=$A72,IF(HomeTeam=R$4,1)))+COUNT(IF(Linemen2=$A72,IF(HomeTeam=R$4,1)))</f>
        <v>1</v>
      </c>
      <c r="S72" s="8">
        <f t="array" ref="S72">COUNT(IF(Linemen1=$A72,IF(HomeTeam=S$4,1)))+COUNT(IF(Linemen2=$A72,IF(HomeTeam=S$4,1)))</f>
        <v>0</v>
      </c>
      <c r="T72" s="8">
        <f t="array" ref="T72">COUNT(IF(Linemen1=$A72,IF(HomeTeam=T$4,1)))+COUNT(IF(Linemen2=$A72,IF(HomeTeam=T$4,1)))</f>
        <v>0</v>
      </c>
      <c r="U72" s="8">
        <f t="array" ref="U72">COUNT(IF(Linemen1=$A72,IF(HomeTeam=U$4,1)))+COUNT(IF(Linemen2=$A72,IF(HomeTeam=U$4,1)))</f>
        <v>0</v>
      </c>
      <c r="V72" s="8">
        <f t="array" ref="V72">COUNT(IF(Linemen1=$A72,IF(HomeTeam=V$4,1)))+COUNT(IF(Linemen2=$A72,IF(HomeTeam=V$4,1)))</f>
        <v>0</v>
      </c>
      <c r="W72" s="8">
        <f t="array" ref="W72">COUNT(IF(Linemen1=$A72,IF(AwayTeam=W$4,1)))+COUNT(IF(Linemen2=$A72,IF(AwayTeam=W$4,1)))</f>
        <v>2</v>
      </c>
      <c r="X72" s="8">
        <f t="array" ref="X72">COUNT(IF(Linemen1=$A72,IF(AwayTeam=X$4,1)))+COUNT(IF(Linemen2=$A72,IF(AwayTeam=X$4,1)))</f>
        <v>0</v>
      </c>
      <c r="Y72" s="8">
        <f t="array" ref="Y72">COUNT(IF(Linemen1=$A72,IF(AwayTeam=Y$4,1)))+COUNT(IF(Linemen2=$A72,IF(AwayTeam=Y$4,1)))</f>
        <v>0</v>
      </c>
      <c r="Z72" s="8">
        <f t="array" ref="Z72">COUNT(IF(Linemen1=$A72,IF(AwayTeam=Z$4,1)))+COUNT(IF(Linemen2=$A72,IF(AwayTeam=Z$4,1)))</f>
        <v>1</v>
      </c>
      <c r="AA72" s="8">
        <f t="array" ref="AA72">COUNT(IF(Linemen1=$A72,IF(AwayTeam=AA$4,1)))+COUNT(IF(Linemen2=$A72,IF(AwayTeam=AA$4,1)))</f>
        <v>0</v>
      </c>
      <c r="AB72" s="8">
        <f t="array" ref="AB72">COUNT(IF(Linemen1=$A72,IF(AwayTeam=AB$4,1)))+COUNT(IF(Linemen2=$A72,IF(AwayTeam=AB$4,1)))</f>
        <v>0</v>
      </c>
      <c r="AC72" s="8">
        <f t="array" ref="AC72">COUNT(IF(Linemen1=$A72,IF(AwayTeam=AC$4,1)))+COUNT(IF(Linemen2=$A72,IF(AwayTeam=AC$4,1)))</f>
        <v>0</v>
      </c>
      <c r="AD72" s="8">
        <f t="array" ref="AD72">COUNT(IF(Linemen1=$A72,IF(AwayTeam=AD$4,1)))+COUNT(IF(Linemen2=$A72,IF(AwayTeam=AD$4,1)))</f>
        <v>0</v>
      </c>
      <c r="AE72" s="8">
        <f t="array" ref="AE72">COUNT(IF(Linemen1=$A72,IF(AwayTeam=AE$4,1)))+COUNT(IF(Linemen2=$A72,IF(AwayTeam=AE$4,1)))</f>
        <v>0</v>
      </c>
      <c r="AF72" s="8">
        <f t="array" ref="AF72">COUNT(IF(Linemen1=$A72,IF(AwayTeam=AF$4,1)))+COUNT(IF(Linemen2=$A72,IF(AwayTeam=AF$4,1)))</f>
        <v>0</v>
      </c>
      <c r="AG72" s="8">
        <f t="array" ref="AG72">COUNT(IF(Linemen1=$A72,IF(AwayTeam=AG$4,1)))+COUNT(IF(Linemen2=$A72,IF(AwayTeam=AG$4,1)))</f>
        <v>0</v>
      </c>
      <c r="AH72" s="8">
        <f t="array" ref="AH72">COUNT(IF(Linemen1=$A72,IF(AwayTeam=AH$4,1)))+COUNT(IF(Linemen2=$A72,IF(AwayTeam=AH$4,1)))</f>
        <v>0</v>
      </c>
      <c r="AI72" s="8">
        <f t="array" ref="AI72">COUNT(IF(Linemen1=$A72,IF(AwayTeam=AI$4,1)))+COUNT(IF(Linemen2=$A72,IF(AwayTeam=AI$4,1)))</f>
        <v>0</v>
      </c>
      <c r="AJ72" s="8">
        <f t="array" ref="AJ72">COUNT(IF(Linemen1=$A72,IF(AwayTeam=AJ$4,1)))+COUNT(IF(Linemen2=$A72,IF(AwayTeam=AJ$4,1)))</f>
        <v>0</v>
      </c>
      <c r="AK72" s="8">
        <f t="array" ref="AK72">COUNT(IF(Linemen1=$A72,IF(AwayTeam=AK$4,1)))+COUNT(IF(Linemen2=$A72,IF(AwayTeam=AK$4,1)))</f>
        <v>0</v>
      </c>
      <c r="AL72" s="8">
        <f t="array" ref="AL72">COUNT(IF(Linemen1=$A72,IF(AwayTeam=AL$4,1)))+COUNT(IF(Linemen2=$A72,IF(AwayTeam=AL$4,1)))</f>
        <v>0</v>
      </c>
      <c r="AM72" s="8">
        <f t="array" ref="AM72">COUNT(IF(Linemen1=$A72,IF(AwayTeam=AM$4,1)))+COUNT(IF(Linemen2=$A72,IF(AwayTeam=AM$4,1)))</f>
        <v>0</v>
      </c>
      <c r="AN72" s="8">
        <f t="array" ref="AN72">COUNT(IF(Linemen1=$A72,IF(AwayTeam=AN$4,1)))+COUNT(IF(Linemen2=$A72,IF(AwayTeam=AN$4,1)))</f>
        <v>0</v>
      </c>
      <c r="AO72" s="8">
        <f t="array" ref="AO72">COUNT(IF(Linemen1=$A72,IF(AwayTeam=AO$4,1)))+COUNT(IF(Linemen2=$A72,IF(AwayTeam=AO$4,1)))</f>
        <v>0</v>
      </c>
      <c r="AP72" s="8">
        <f t="array" ref="AP72">COUNT(IF(Linemen1=$A72,IF(AwayTeam=AP$4,1)))+COUNT(IF(Linemen2=$A72,IF(AwayTeam=AP$4,1)))</f>
        <v>0</v>
      </c>
    </row>
    <row r="73" spans="1:42" x14ac:dyDescent="0.2">
      <c r="A73" s="8" t="str">
        <f>IF(Info!B8&lt;&gt;0,Info!B8,"")</f>
        <v>Clark, Cody</v>
      </c>
      <c r="B73" s="8">
        <f t="shared" si="1"/>
        <v>14</v>
      </c>
      <c r="C73" s="8">
        <f t="array" ref="C73">COUNT(IF(Linemen1=$A73,IF(HomeTeam=C$4,1)))+COUNT(IF(Linemen2=$A73,IF(HomeTeam=C$4,1)))</f>
        <v>6</v>
      </c>
      <c r="D73" s="8">
        <f t="array" ref="D73">COUNT(IF(Linemen1=$A73,IF(HomeTeam=D$4,1)))+COUNT(IF(Linemen2=$A73,IF(HomeTeam=D$4,1)))</f>
        <v>2</v>
      </c>
      <c r="E73" s="8">
        <f t="array" ref="E73">COUNT(IF(Linemen1=$A73,IF(HomeTeam=E$4,1)))+COUNT(IF(Linemen2=$A73,IF(HomeTeam=E$4,1)))</f>
        <v>0</v>
      </c>
      <c r="F73" s="8">
        <f t="array" ref="F73">COUNT(IF(Linemen1=$A73,IF(HomeTeam=F$4,1)))+COUNT(IF(Linemen2=$A73,IF(HomeTeam=F$4,1)))</f>
        <v>1</v>
      </c>
      <c r="G73" s="8">
        <f t="array" ref="G73">COUNT(IF(Linemen1=$A73,IF(HomeTeam=G$4,1)))+COUNT(IF(Linemen2=$A73,IF(HomeTeam=G$4,1)))</f>
        <v>1</v>
      </c>
      <c r="H73" s="8">
        <f t="array" ref="H73">COUNT(IF(Linemen1=$A73,IF(HomeTeam=H$4,1)))+COUNT(IF(Linemen2=$A73,IF(HomeTeam=H$4,1)))</f>
        <v>0</v>
      </c>
      <c r="I73" s="8">
        <f t="array" ref="I73">COUNT(IF(Linemen1=$A73,IF(HomeTeam=I$4,1)))+COUNT(IF(Linemen2=$A73,IF(HomeTeam=I$4,1)))</f>
        <v>0</v>
      </c>
      <c r="J73" s="8">
        <f t="array" ref="J73">COUNT(IF(Linemen1=$A73,IF(HomeTeam=J$4,1)))+COUNT(IF(Linemen2=$A73,IF(HomeTeam=J$4,1)))</f>
        <v>1</v>
      </c>
      <c r="K73" s="8">
        <f t="array" ref="K73">COUNT(IF(Linemen1=$A73,IF(HomeTeam=K$4,1)))+COUNT(IF(Linemen2=$A73,IF(HomeTeam=K$4,1)))</f>
        <v>1</v>
      </c>
      <c r="L73" s="8">
        <f t="array" ref="L73">COUNT(IF(Linemen1=$A73,IF(HomeTeam=L$4,1)))+COUNT(IF(Linemen2=$A73,IF(HomeTeam=L$4,1)))</f>
        <v>0</v>
      </c>
      <c r="M73" s="8">
        <f t="array" ref="M73">COUNT(IF(Linemen1=$A73,IF(HomeTeam=M$4,1)))+COUNT(IF(Linemen2=$A73,IF(HomeTeam=M$4,1)))</f>
        <v>0</v>
      </c>
      <c r="N73" s="8">
        <f t="array" ref="N73">COUNT(IF(Linemen1=$A73,IF(HomeTeam=N$4,1)))+COUNT(IF(Linemen2=$A73,IF(HomeTeam=N$4,1)))</f>
        <v>0</v>
      </c>
      <c r="O73" s="8">
        <f t="array" ref="O73">COUNT(IF(Linemen1=$A73,IF(HomeTeam=O$4,1)))+COUNT(IF(Linemen2=$A73,IF(HomeTeam=O$4,1)))</f>
        <v>0</v>
      </c>
      <c r="P73" s="8">
        <f t="array" ref="P73">COUNT(IF(Linemen1=$A73,IF(HomeTeam=P$4,1)))+COUNT(IF(Linemen2=$A73,IF(HomeTeam=P$4,1)))</f>
        <v>0</v>
      </c>
      <c r="Q73" s="8">
        <f t="array" ref="Q73">COUNT(IF(Linemen1=$A73,IF(HomeTeam=Q$4,1)))+COUNT(IF(Linemen2=$A73,IF(HomeTeam=Q$4,1)))</f>
        <v>1</v>
      </c>
      <c r="R73" s="8">
        <f t="array" ref="R73">COUNT(IF(Linemen1=$A73,IF(HomeTeam=R$4,1)))+COUNT(IF(Linemen2=$A73,IF(HomeTeam=R$4,1)))</f>
        <v>1</v>
      </c>
      <c r="S73" s="8">
        <f t="array" ref="S73">COUNT(IF(Linemen1=$A73,IF(HomeTeam=S$4,1)))+COUNT(IF(Linemen2=$A73,IF(HomeTeam=S$4,1)))</f>
        <v>0</v>
      </c>
      <c r="T73" s="8">
        <f t="array" ref="T73">COUNT(IF(Linemen1=$A73,IF(HomeTeam=T$4,1)))+COUNT(IF(Linemen2=$A73,IF(HomeTeam=T$4,1)))</f>
        <v>0</v>
      </c>
      <c r="U73" s="8">
        <f t="array" ref="U73">COUNT(IF(Linemen1=$A73,IF(HomeTeam=U$4,1)))+COUNT(IF(Linemen2=$A73,IF(HomeTeam=U$4,1)))</f>
        <v>0</v>
      </c>
      <c r="V73" s="8">
        <f t="array" ref="V73">COUNT(IF(Linemen1=$A73,IF(HomeTeam=V$4,1)))+COUNT(IF(Linemen2=$A73,IF(HomeTeam=V$4,1)))</f>
        <v>0</v>
      </c>
      <c r="W73" s="8">
        <f t="array" ref="W73">COUNT(IF(Linemen1=$A73,IF(AwayTeam=W$4,1)))+COUNT(IF(Linemen2=$A73,IF(AwayTeam=W$4,1)))</f>
        <v>1</v>
      </c>
      <c r="X73" s="8">
        <f t="array" ref="X73">COUNT(IF(Linemen1=$A73,IF(AwayTeam=X$4,1)))+COUNT(IF(Linemen2=$A73,IF(AwayTeam=X$4,1)))</f>
        <v>1</v>
      </c>
      <c r="Y73" s="8">
        <f t="array" ref="Y73">COUNT(IF(Linemen1=$A73,IF(AwayTeam=Y$4,1)))+COUNT(IF(Linemen2=$A73,IF(AwayTeam=Y$4,1)))</f>
        <v>2</v>
      </c>
      <c r="Z73" s="8">
        <f t="array" ref="Z73">COUNT(IF(Linemen1=$A73,IF(AwayTeam=Z$4,1)))+COUNT(IF(Linemen2=$A73,IF(AwayTeam=Z$4,1)))</f>
        <v>1</v>
      </c>
      <c r="AA73" s="8">
        <f t="array" ref="AA73">COUNT(IF(Linemen1=$A73,IF(AwayTeam=AA$4,1)))+COUNT(IF(Linemen2=$A73,IF(AwayTeam=AA$4,1)))</f>
        <v>0</v>
      </c>
      <c r="AB73" s="8">
        <f t="array" ref="AB73">COUNT(IF(Linemen1=$A73,IF(AwayTeam=AB$4,1)))+COUNT(IF(Linemen2=$A73,IF(AwayTeam=AB$4,1)))</f>
        <v>0</v>
      </c>
      <c r="AC73" s="8">
        <f t="array" ref="AC73">COUNT(IF(Linemen1=$A73,IF(AwayTeam=AC$4,1)))+COUNT(IF(Linemen2=$A73,IF(AwayTeam=AC$4,1)))</f>
        <v>1</v>
      </c>
      <c r="AD73" s="8">
        <f t="array" ref="AD73">COUNT(IF(Linemen1=$A73,IF(AwayTeam=AD$4,1)))+COUNT(IF(Linemen2=$A73,IF(AwayTeam=AD$4,1)))</f>
        <v>0</v>
      </c>
      <c r="AE73" s="8">
        <f t="array" ref="AE73">COUNT(IF(Linemen1=$A73,IF(AwayTeam=AE$4,1)))+COUNT(IF(Linemen2=$A73,IF(AwayTeam=AE$4,1)))</f>
        <v>1</v>
      </c>
      <c r="AF73" s="8">
        <f t="array" ref="AF73">COUNT(IF(Linemen1=$A73,IF(AwayTeam=AF$4,1)))+COUNT(IF(Linemen2=$A73,IF(AwayTeam=AF$4,1)))</f>
        <v>0</v>
      </c>
      <c r="AG73" s="8">
        <f t="array" ref="AG73">COUNT(IF(Linemen1=$A73,IF(AwayTeam=AG$4,1)))+COUNT(IF(Linemen2=$A73,IF(AwayTeam=AG$4,1)))</f>
        <v>0</v>
      </c>
      <c r="AH73" s="8">
        <f t="array" ref="AH73">COUNT(IF(Linemen1=$A73,IF(AwayTeam=AH$4,1)))+COUNT(IF(Linemen2=$A73,IF(AwayTeam=AH$4,1)))</f>
        <v>0</v>
      </c>
      <c r="AI73" s="8">
        <f t="array" ref="AI73">COUNT(IF(Linemen1=$A73,IF(AwayTeam=AI$4,1)))+COUNT(IF(Linemen2=$A73,IF(AwayTeam=AI$4,1)))</f>
        <v>1</v>
      </c>
      <c r="AJ73" s="8">
        <f t="array" ref="AJ73">COUNT(IF(Linemen1=$A73,IF(AwayTeam=AJ$4,1)))+COUNT(IF(Linemen2=$A73,IF(AwayTeam=AJ$4,1)))</f>
        <v>1</v>
      </c>
      <c r="AK73" s="8">
        <f t="array" ref="AK73">COUNT(IF(Linemen1=$A73,IF(AwayTeam=AK$4,1)))+COUNT(IF(Linemen2=$A73,IF(AwayTeam=AK$4,1)))</f>
        <v>0</v>
      </c>
      <c r="AL73" s="8">
        <f t="array" ref="AL73">COUNT(IF(Linemen1=$A73,IF(AwayTeam=AL$4,1)))+COUNT(IF(Linemen2=$A73,IF(AwayTeam=AL$4,1)))</f>
        <v>1</v>
      </c>
      <c r="AM73" s="8">
        <f t="array" ref="AM73">COUNT(IF(Linemen1=$A73,IF(AwayTeam=AM$4,1)))+COUNT(IF(Linemen2=$A73,IF(AwayTeam=AM$4,1)))</f>
        <v>4</v>
      </c>
      <c r="AN73" s="8">
        <f t="array" ref="AN73">COUNT(IF(Linemen1=$A73,IF(AwayTeam=AN$4,1)))+COUNT(IF(Linemen2=$A73,IF(AwayTeam=AN$4,1)))</f>
        <v>0</v>
      </c>
      <c r="AO73" s="8">
        <f t="array" ref="AO73">COUNT(IF(Linemen1=$A73,IF(AwayTeam=AO$4,1)))+COUNT(IF(Linemen2=$A73,IF(AwayTeam=AO$4,1)))</f>
        <v>0</v>
      </c>
      <c r="AP73" s="8">
        <f t="array" ref="AP73">COUNT(IF(Linemen1=$A73,IF(AwayTeam=AP$4,1)))+COUNT(IF(Linemen2=$A73,IF(AwayTeam=AP$4,1)))</f>
        <v>0</v>
      </c>
    </row>
    <row r="74" spans="1:42" x14ac:dyDescent="0.2">
      <c r="A74" s="8" t="str">
        <f>IF(Info!B9&lt;&gt;0,Info!B9,"")</f>
        <v>Cornell, Justin</v>
      </c>
      <c r="B74" s="8">
        <f t="shared" si="1"/>
        <v>6</v>
      </c>
      <c r="C74" s="8">
        <f t="array" ref="C74">COUNT(IF(Linemen1=$A74,IF(HomeTeam=C$4,1)))+COUNT(IF(Linemen2=$A74,IF(HomeTeam=C$4,1)))</f>
        <v>0</v>
      </c>
      <c r="D74" s="8">
        <f t="array" ref="D74">COUNT(IF(Linemen1=$A74,IF(HomeTeam=D$4,1)))+COUNT(IF(Linemen2=$A74,IF(HomeTeam=D$4,1)))</f>
        <v>0</v>
      </c>
      <c r="E74" s="8">
        <f t="array" ref="E74">COUNT(IF(Linemen1=$A74,IF(HomeTeam=E$4,1)))+COUNT(IF(Linemen2=$A74,IF(HomeTeam=E$4,1)))</f>
        <v>1</v>
      </c>
      <c r="F74" s="8">
        <f t="array" ref="F74">COUNT(IF(Linemen1=$A74,IF(HomeTeam=F$4,1)))+COUNT(IF(Linemen2=$A74,IF(HomeTeam=F$4,1)))</f>
        <v>0</v>
      </c>
      <c r="G74" s="8">
        <f t="array" ref="G74">COUNT(IF(Linemen1=$A74,IF(HomeTeam=G$4,1)))+COUNT(IF(Linemen2=$A74,IF(HomeTeam=G$4,1)))</f>
        <v>0</v>
      </c>
      <c r="H74" s="8">
        <f t="array" ref="H74">COUNT(IF(Linemen1=$A74,IF(HomeTeam=H$4,1)))+COUNT(IF(Linemen2=$A74,IF(HomeTeam=H$4,1)))</f>
        <v>0</v>
      </c>
      <c r="I74" s="8">
        <f t="array" ref="I74">COUNT(IF(Linemen1=$A74,IF(HomeTeam=I$4,1)))+COUNT(IF(Linemen2=$A74,IF(HomeTeam=I$4,1)))</f>
        <v>0</v>
      </c>
      <c r="J74" s="8">
        <f t="array" ref="J74">COUNT(IF(Linemen1=$A74,IF(HomeTeam=J$4,1)))+COUNT(IF(Linemen2=$A74,IF(HomeTeam=J$4,1)))</f>
        <v>0</v>
      </c>
      <c r="K74" s="8">
        <f t="array" ref="K74">COUNT(IF(Linemen1=$A74,IF(HomeTeam=K$4,1)))+COUNT(IF(Linemen2=$A74,IF(HomeTeam=K$4,1)))</f>
        <v>0</v>
      </c>
      <c r="L74" s="8">
        <f t="array" ref="L74">COUNT(IF(Linemen1=$A74,IF(HomeTeam=L$4,1)))+COUNT(IF(Linemen2=$A74,IF(HomeTeam=L$4,1)))</f>
        <v>1</v>
      </c>
      <c r="M74" s="8">
        <f t="array" ref="M74">COUNT(IF(Linemen1=$A74,IF(HomeTeam=M$4,1)))+COUNT(IF(Linemen2=$A74,IF(HomeTeam=M$4,1)))</f>
        <v>1</v>
      </c>
      <c r="N74" s="8">
        <f t="array" ref="N74">COUNT(IF(Linemen1=$A74,IF(HomeTeam=N$4,1)))+COUNT(IF(Linemen2=$A74,IF(HomeTeam=N$4,1)))</f>
        <v>0</v>
      </c>
      <c r="O74" s="8">
        <f t="array" ref="O74">COUNT(IF(Linemen1=$A74,IF(HomeTeam=O$4,1)))+COUNT(IF(Linemen2=$A74,IF(HomeTeam=O$4,1)))</f>
        <v>0</v>
      </c>
      <c r="P74" s="8">
        <f t="array" ref="P74">COUNT(IF(Linemen1=$A74,IF(HomeTeam=P$4,1)))+COUNT(IF(Linemen2=$A74,IF(HomeTeam=P$4,1)))</f>
        <v>2</v>
      </c>
      <c r="Q74" s="8">
        <f t="array" ref="Q74">COUNT(IF(Linemen1=$A74,IF(HomeTeam=Q$4,1)))+COUNT(IF(Linemen2=$A74,IF(HomeTeam=Q$4,1)))</f>
        <v>0</v>
      </c>
      <c r="R74" s="8">
        <f t="array" ref="R74">COUNT(IF(Linemen1=$A74,IF(HomeTeam=R$4,1)))+COUNT(IF(Linemen2=$A74,IF(HomeTeam=R$4,1)))</f>
        <v>0</v>
      </c>
      <c r="S74" s="8">
        <f t="array" ref="S74">COUNT(IF(Linemen1=$A74,IF(HomeTeam=S$4,1)))+COUNT(IF(Linemen2=$A74,IF(HomeTeam=S$4,1)))</f>
        <v>1</v>
      </c>
      <c r="T74" s="8">
        <f t="array" ref="T74">COUNT(IF(Linemen1=$A74,IF(HomeTeam=T$4,1)))+COUNT(IF(Linemen2=$A74,IF(HomeTeam=T$4,1)))</f>
        <v>0</v>
      </c>
      <c r="U74" s="8">
        <f t="array" ref="U74">COUNT(IF(Linemen1=$A74,IF(HomeTeam=U$4,1)))+COUNT(IF(Linemen2=$A74,IF(HomeTeam=U$4,1)))</f>
        <v>0</v>
      </c>
      <c r="V74" s="8">
        <f t="array" ref="V74">COUNT(IF(Linemen1=$A74,IF(HomeTeam=V$4,1)))+COUNT(IF(Linemen2=$A74,IF(HomeTeam=V$4,1)))</f>
        <v>0</v>
      </c>
      <c r="W74" s="8">
        <f t="array" ref="W74">COUNT(IF(Linemen1=$A74,IF(AwayTeam=W$4,1)))+COUNT(IF(Linemen2=$A74,IF(AwayTeam=W$4,1)))</f>
        <v>0</v>
      </c>
      <c r="X74" s="8">
        <f t="array" ref="X74">COUNT(IF(Linemen1=$A74,IF(AwayTeam=X$4,1)))+COUNT(IF(Linemen2=$A74,IF(AwayTeam=X$4,1)))</f>
        <v>2</v>
      </c>
      <c r="Y74" s="8">
        <f t="array" ref="Y74">COUNT(IF(Linemen1=$A74,IF(AwayTeam=Y$4,1)))+COUNT(IF(Linemen2=$A74,IF(AwayTeam=Y$4,1)))</f>
        <v>1</v>
      </c>
      <c r="Z74" s="8">
        <f t="array" ref="Z74">COUNT(IF(Linemen1=$A74,IF(AwayTeam=Z$4,1)))+COUNT(IF(Linemen2=$A74,IF(AwayTeam=Z$4,1)))</f>
        <v>1</v>
      </c>
      <c r="AA74" s="8">
        <f t="array" ref="AA74">COUNT(IF(Linemen1=$A74,IF(AwayTeam=AA$4,1)))+COUNT(IF(Linemen2=$A74,IF(AwayTeam=AA$4,1)))</f>
        <v>1</v>
      </c>
      <c r="AB74" s="8">
        <f t="array" ref="AB74">COUNT(IF(Linemen1=$A74,IF(AwayTeam=AB$4,1)))+COUNT(IF(Linemen2=$A74,IF(AwayTeam=AB$4,1)))</f>
        <v>0</v>
      </c>
      <c r="AC74" s="8">
        <f t="array" ref="AC74">COUNT(IF(Linemen1=$A74,IF(AwayTeam=AC$4,1)))+COUNT(IF(Linemen2=$A74,IF(AwayTeam=AC$4,1)))</f>
        <v>0</v>
      </c>
      <c r="AD74" s="8">
        <f t="array" ref="AD74">COUNT(IF(Linemen1=$A74,IF(AwayTeam=AD$4,1)))+COUNT(IF(Linemen2=$A74,IF(AwayTeam=AD$4,1)))</f>
        <v>0</v>
      </c>
      <c r="AE74" s="8">
        <f t="array" ref="AE74">COUNT(IF(Linemen1=$A74,IF(AwayTeam=AE$4,1)))+COUNT(IF(Linemen2=$A74,IF(AwayTeam=AE$4,1)))</f>
        <v>0</v>
      </c>
      <c r="AF74" s="8">
        <f t="array" ref="AF74">COUNT(IF(Linemen1=$A74,IF(AwayTeam=AF$4,1)))+COUNT(IF(Linemen2=$A74,IF(AwayTeam=AF$4,1)))</f>
        <v>0</v>
      </c>
      <c r="AG74" s="8">
        <f t="array" ref="AG74">COUNT(IF(Linemen1=$A74,IF(AwayTeam=AG$4,1)))+COUNT(IF(Linemen2=$A74,IF(AwayTeam=AG$4,1)))</f>
        <v>0</v>
      </c>
      <c r="AH74" s="8">
        <f t="array" ref="AH74">COUNT(IF(Linemen1=$A74,IF(AwayTeam=AH$4,1)))+COUNT(IF(Linemen2=$A74,IF(AwayTeam=AH$4,1)))</f>
        <v>0</v>
      </c>
      <c r="AI74" s="8">
        <f t="array" ref="AI74">COUNT(IF(Linemen1=$A74,IF(AwayTeam=AI$4,1)))+COUNT(IF(Linemen2=$A74,IF(AwayTeam=AI$4,1)))</f>
        <v>0</v>
      </c>
      <c r="AJ74" s="8">
        <f t="array" ref="AJ74">COUNT(IF(Linemen1=$A74,IF(AwayTeam=AJ$4,1)))+COUNT(IF(Linemen2=$A74,IF(AwayTeam=AJ$4,1)))</f>
        <v>0</v>
      </c>
      <c r="AK74" s="8">
        <f t="array" ref="AK74">COUNT(IF(Linemen1=$A74,IF(AwayTeam=AK$4,1)))+COUNT(IF(Linemen2=$A74,IF(AwayTeam=AK$4,1)))</f>
        <v>0</v>
      </c>
      <c r="AL74" s="8">
        <f t="array" ref="AL74">COUNT(IF(Linemen1=$A74,IF(AwayTeam=AL$4,1)))+COUNT(IF(Linemen2=$A74,IF(AwayTeam=AL$4,1)))</f>
        <v>1</v>
      </c>
      <c r="AM74" s="8">
        <f t="array" ref="AM74">COUNT(IF(Linemen1=$A74,IF(AwayTeam=AM$4,1)))+COUNT(IF(Linemen2=$A74,IF(AwayTeam=AM$4,1)))</f>
        <v>0</v>
      </c>
      <c r="AN74" s="8">
        <f t="array" ref="AN74">COUNT(IF(Linemen1=$A74,IF(AwayTeam=AN$4,1)))+COUNT(IF(Linemen2=$A74,IF(AwayTeam=AN$4,1)))</f>
        <v>0</v>
      </c>
      <c r="AO74" s="8">
        <f t="array" ref="AO74">COUNT(IF(Linemen1=$A74,IF(AwayTeam=AO$4,1)))+COUNT(IF(Linemen2=$A74,IF(AwayTeam=AO$4,1)))</f>
        <v>0</v>
      </c>
      <c r="AP74" s="8">
        <f t="array" ref="AP74">COUNT(IF(Linemen1=$A74,IF(AwayTeam=AP$4,1)))+COUNT(IF(Linemen2=$A74,IF(AwayTeam=AP$4,1)))</f>
        <v>0</v>
      </c>
    </row>
    <row r="75" spans="1:42" x14ac:dyDescent="0.2">
      <c r="A75" s="8" t="str">
        <f>IF(Info!B10&lt;&gt;0,Info!B10,"")</f>
        <v>Daltrey, Michael</v>
      </c>
      <c r="B75" s="8">
        <f t="shared" si="1"/>
        <v>3</v>
      </c>
      <c r="C75" s="8">
        <f t="array" ref="C75">COUNT(IF(Linemen1=$A75,IF(HomeTeam=C$4,1)))+COUNT(IF(Linemen2=$A75,IF(HomeTeam=C$4,1)))</f>
        <v>0</v>
      </c>
      <c r="D75" s="8">
        <f t="array" ref="D75">COUNT(IF(Linemen1=$A75,IF(HomeTeam=D$4,1)))+COUNT(IF(Linemen2=$A75,IF(HomeTeam=D$4,1)))</f>
        <v>1</v>
      </c>
      <c r="E75" s="8">
        <f t="array" ref="E75">COUNT(IF(Linemen1=$A75,IF(HomeTeam=E$4,1)))+COUNT(IF(Linemen2=$A75,IF(HomeTeam=E$4,1)))</f>
        <v>1</v>
      </c>
      <c r="F75" s="8">
        <f t="array" ref="F75">COUNT(IF(Linemen1=$A75,IF(HomeTeam=F$4,1)))+COUNT(IF(Linemen2=$A75,IF(HomeTeam=F$4,1)))</f>
        <v>0</v>
      </c>
      <c r="G75" s="8">
        <f t="array" ref="G75">COUNT(IF(Linemen1=$A75,IF(HomeTeam=G$4,1)))+COUNT(IF(Linemen2=$A75,IF(HomeTeam=G$4,1)))</f>
        <v>0</v>
      </c>
      <c r="H75" s="8">
        <f t="array" ref="H75">COUNT(IF(Linemen1=$A75,IF(HomeTeam=H$4,1)))+COUNT(IF(Linemen2=$A75,IF(HomeTeam=H$4,1)))</f>
        <v>0</v>
      </c>
      <c r="I75" s="8">
        <f t="array" ref="I75">COUNT(IF(Linemen1=$A75,IF(HomeTeam=I$4,1)))+COUNT(IF(Linemen2=$A75,IF(HomeTeam=I$4,1)))</f>
        <v>1</v>
      </c>
      <c r="J75" s="8">
        <f t="array" ref="J75">COUNT(IF(Linemen1=$A75,IF(HomeTeam=J$4,1)))+COUNT(IF(Linemen2=$A75,IF(HomeTeam=J$4,1)))</f>
        <v>0</v>
      </c>
      <c r="K75" s="8">
        <f t="array" ref="K75">COUNT(IF(Linemen1=$A75,IF(HomeTeam=K$4,1)))+COUNT(IF(Linemen2=$A75,IF(HomeTeam=K$4,1)))</f>
        <v>0</v>
      </c>
      <c r="L75" s="8">
        <f t="array" ref="L75">COUNT(IF(Linemen1=$A75,IF(HomeTeam=L$4,1)))+COUNT(IF(Linemen2=$A75,IF(HomeTeam=L$4,1)))</f>
        <v>0</v>
      </c>
      <c r="M75" s="8">
        <f t="array" ref="M75">COUNT(IF(Linemen1=$A75,IF(HomeTeam=M$4,1)))+COUNT(IF(Linemen2=$A75,IF(HomeTeam=M$4,1)))</f>
        <v>0</v>
      </c>
      <c r="N75" s="8">
        <f t="array" ref="N75">COUNT(IF(Linemen1=$A75,IF(HomeTeam=N$4,1)))+COUNT(IF(Linemen2=$A75,IF(HomeTeam=N$4,1)))</f>
        <v>0</v>
      </c>
      <c r="O75" s="8">
        <f t="array" ref="O75">COUNT(IF(Linemen1=$A75,IF(HomeTeam=O$4,1)))+COUNT(IF(Linemen2=$A75,IF(HomeTeam=O$4,1)))</f>
        <v>0</v>
      </c>
      <c r="P75" s="8">
        <f t="array" ref="P75">COUNT(IF(Linemen1=$A75,IF(HomeTeam=P$4,1)))+COUNT(IF(Linemen2=$A75,IF(HomeTeam=P$4,1)))</f>
        <v>0</v>
      </c>
      <c r="Q75" s="8">
        <f t="array" ref="Q75">COUNT(IF(Linemen1=$A75,IF(HomeTeam=Q$4,1)))+COUNT(IF(Linemen2=$A75,IF(HomeTeam=Q$4,1)))</f>
        <v>0</v>
      </c>
      <c r="R75" s="8">
        <f t="array" ref="R75">COUNT(IF(Linemen1=$A75,IF(HomeTeam=R$4,1)))+COUNT(IF(Linemen2=$A75,IF(HomeTeam=R$4,1)))</f>
        <v>0</v>
      </c>
      <c r="S75" s="8">
        <f t="array" ref="S75">COUNT(IF(Linemen1=$A75,IF(HomeTeam=S$4,1)))+COUNT(IF(Linemen2=$A75,IF(HomeTeam=S$4,1)))</f>
        <v>0</v>
      </c>
      <c r="T75" s="8">
        <f t="array" ref="T75">COUNT(IF(Linemen1=$A75,IF(HomeTeam=T$4,1)))+COUNT(IF(Linemen2=$A75,IF(HomeTeam=T$4,1)))</f>
        <v>0</v>
      </c>
      <c r="U75" s="8">
        <f t="array" ref="U75">COUNT(IF(Linemen1=$A75,IF(HomeTeam=U$4,1)))+COUNT(IF(Linemen2=$A75,IF(HomeTeam=U$4,1)))</f>
        <v>0</v>
      </c>
      <c r="V75" s="8">
        <f t="array" ref="V75">COUNT(IF(Linemen1=$A75,IF(HomeTeam=V$4,1)))+COUNT(IF(Linemen2=$A75,IF(HomeTeam=V$4,1)))</f>
        <v>0</v>
      </c>
      <c r="W75" s="8">
        <f t="array" ref="W75">COUNT(IF(Linemen1=$A75,IF(AwayTeam=W$4,1)))+COUNT(IF(Linemen2=$A75,IF(AwayTeam=W$4,1)))</f>
        <v>1</v>
      </c>
      <c r="X75" s="8">
        <f t="array" ref="X75">COUNT(IF(Linemen1=$A75,IF(AwayTeam=X$4,1)))+COUNT(IF(Linemen2=$A75,IF(AwayTeam=X$4,1)))</f>
        <v>1</v>
      </c>
      <c r="Y75" s="8">
        <f t="array" ref="Y75">COUNT(IF(Linemen1=$A75,IF(AwayTeam=Y$4,1)))+COUNT(IF(Linemen2=$A75,IF(AwayTeam=Y$4,1)))</f>
        <v>0</v>
      </c>
      <c r="Z75" s="8">
        <f t="array" ref="Z75">COUNT(IF(Linemen1=$A75,IF(AwayTeam=Z$4,1)))+COUNT(IF(Linemen2=$A75,IF(AwayTeam=Z$4,1)))</f>
        <v>0</v>
      </c>
      <c r="AA75" s="8">
        <f t="array" ref="AA75">COUNT(IF(Linemen1=$A75,IF(AwayTeam=AA$4,1)))+COUNT(IF(Linemen2=$A75,IF(AwayTeam=AA$4,1)))</f>
        <v>0</v>
      </c>
      <c r="AB75" s="8">
        <f t="array" ref="AB75">COUNT(IF(Linemen1=$A75,IF(AwayTeam=AB$4,1)))+COUNT(IF(Linemen2=$A75,IF(AwayTeam=AB$4,1)))</f>
        <v>0</v>
      </c>
      <c r="AC75" s="8">
        <f t="array" ref="AC75">COUNT(IF(Linemen1=$A75,IF(AwayTeam=AC$4,1)))+COUNT(IF(Linemen2=$A75,IF(AwayTeam=AC$4,1)))</f>
        <v>0</v>
      </c>
      <c r="AD75" s="8">
        <f t="array" ref="AD75">COUNT(IF(Linemen1=$A75,IF(AwayTeam=AD$4,1)))+COUNT(IF(Linemen2=$A75,IF(AwayTeam=AD$4,1)))</f>
        <v>0</v>
      </c>
      <c r="AE75" s="8">
        <f t="array" ref="AE75">COUNT(IF(Linemen1=$A75,IF(AwayTeam=AE$4,1)))+COUNT(IF(Linemen2=$A75,IF(AwayTeam=AE$4,1)))</f>
        <v>0</v>
      </c>
      <c r="AF75" s="8">
        <f t="array" ref="AF75">COUNT(IF(Linemen1=$A75,IF(AwayTeam=AF$4,1)))+COUNT(IF(Linemen2=$A75,IF(AwayTeam=AF$4,1)))</f>
        <v>0</v>
      </c>
      <c r="AG75" s="8">
        <f t="array" ref="AG75">COUNT(IF(Linemen1=$A75,IF(AwayTeam=AG$4,1)))+COUNT(IF(Linemen2=$A75,IF(AwayTeam=AG$4,1)))</f>
        <v>0</v>
      </c>
      <c r="AH75" s="8">
        <f t="array" ref="AH75">COUNT(IF(Linemen1=$A75,IF(AwayTeam=AH$4,1)))+COUNT(IF(Linemen2=$A75,IF(AwayTeam=AH$4,1)))</f>
        <v>0</v>
      </c>
      <c r="AI75" s="8">
        <f t="array" ref="AI75">COUNT(IF(Linemen1=$A75,IF(AwayTeam=AI$4,1)))+COUNT(IF(Linemen2=$A75,IF(AwayTeam=AI$4,1)))</f>
        <v>0</v>
      </c>
      <c r="AJ75" s="8">
        <f t="array" ref="AJ75">COUNT(IF(Linemen1=$A75,IF(AwayTeam=AJ$4,1)))+COUNT(IF(Linemen2=$A75,IF(AwayTeam=AJ$4,1)))</f>
        <v>0</v>
      </c>
      <c r="AK75" s="8">
        <f t="array" ref="AK75">COUNT(IF(Linemen1=$A75,IF(AwayTeam=AK$4,1)))+COUNT(IF(Linemen2=$A75,IF(AwayTeam=AK$4,1)))</f>
        <v>0</v>
      </c>
      <c r="AL75" s="8">
        <f t="array" ref="AL75">COUNT(IF(Linemen1=$A75,IF(AwayTeam=AL$4,1)))+COUNT(IF(Linemen2=$A75,IF(AwayTeam=AL$4,1)))</f>
        <v>1</v>
      </c>
      <c r="AM75" s="8">
        <f t="array" ref="AM75">COUNT(IF(Linemen1=$A75,IF(AwayTeam=AM$4,1)))+COUNT(IF(Linemen2=$A75,IF(AwayTeam=AM$4,1)))</f>
        <v>0</v>
      </c>
      <c r="AN75" s="8">
        <f t="array" ref="AN75">COUNT(IF(Linemen1=$A75,IF(AwayTeam=AN$4,1)))+COUNT(IF(Linemen2=$A75,IF(AwayTeam=AN$4,1)))</f>
        <v>0</v>
      </c>
      <c r="AO75" s="8">
        <f t="array" ref="AO75">COUNT(IF(Linemen1=$A75,IF(AwayTeam=AO$4,1)))+COUNT(IF(Linemen2=$A75,IF(AwayTeam=AO$4,1)))</f>
        <v>0</v>
      </c>
      <c r="AP75" s="8">
        <f t="array" ref="AP75">COUNT(IF(Linemen1=$A75,IF(AwayTeam=AP$4,1)))+COUNT(IF(Linemen2=$A75,IF(AwayTeam=AP$4,1)))</f>
        <v>0</v>
      </c>
    </row>
    <row r="76" spans="1:42" x14ac:dyDescent="0.2">
      <c r="A76" s="8" t="str">
        <f>IF(Info!B11&lt;&gt;0,Info!B11,"")</f>
        <v>Darcy, David</v>
      </c>
      <c r="B76" s="8">
        <f t="shared" si="1"/>
        <v>7</v>
      </c>
      <c r="C76" s="8">
        <f t="array" ref="C76">COUNT(IF(Linemen1=$A76,IF(HomeTeam=C$4,1)))+COUNT(IF(Linemen2=$A76,IF(HomeTeam=C$4,1)))</f>
        <v>1</v>
      </c>
      <c r="D76" s="8">
        <f t="array" ref="D76">COUNT(IF(Linemen1=$A76,IF(HomeTeam=D$4,1)))+COUNT(IF(Linemen2=$A76,IF(HomeTeam=D$4,1)))</f>
        <v>0</v>
      </c>
      <c r="E76" s="8">
        <f t="array" ref="E76">COUNT(IF(Linemen1=$A76,IF(HomeTeam=E$4,1)))+COUNT(IF(Linemen2=$A76,IF(HomeTeam=E$4,1)))</f>
        <v>0</v>
      </c>
      <c r="F76" s="8">
        <f t="array" ref="F76">COUNT(IF(Linemen1=$A76,IF(HomeTeam=F$4,1)))+COUNT(IF(Linemen2=$A76,IF(HomeTeam=F$4,1)))</f>
        <v>1</v>
      </c>
      <c r="G76" s="8">
        <f t="array" ref="G76">COUNT(IF(Linemen1=$A76,IF(HomeTeam=G$4,1)))+COUNT(IF(Linemen2=$A76,IF(HomeTeam=G$4,1)))</f>
        <v>2</v>
      </c>
      <c r="H76" s="8">
        <f t="array" ref="H76">COUNT(IF(Linemen1=$A76,IF(HomeTeam=H$4,1)))+COUNT(IF(Linemen2=$A76,IF(HomeTeam=H$4,1)))</f>
        <v>0</v>
      </c>
      <c r="I76" s="8">
        <f t="array" ref="I76">COUNT(IF(Linemen1=$A76,IF(HomeTeam=I$4,1)))+COUNT(IF(Linemen2=$A76,IF(HomeTeam=I$4,1)))</f>
        <v>0</v>
      </c>
      <c r="J76" s="8">
        <f t="array" ref="J76">COUNT(IF(Linemen1=$A76,IF(HomeTeam=J$4,1)))+COUNT(IF(Linemen2=$A76,IF(HomeTeam=J$4,1)))</f>
        <v>1</v>
      </c>
      <c r="K76" s="8">
        <f t="array" ref="K76">COUNT(IF(Linemen1=$A76,IF(HomeTeam=K$4,1)))+COUNT(IF(Linemen2=$A76,IF(HomeTeam=K$4,1)))</f>
        <v>0</v>
      </c>
      <c r="L76" s="8">
        <f t="array" ref="L76">COUNT(IF(Linemen1=$A76,IF(HomeTeam=L$4,1)))+COUNT(IF(Linemen2=$A76,IF(HomeTeam=L$4,1)))</f>
        <v>0</v>
      </c>
      <c r="M76" s="8">
        <f t="array" ref="M76">COUNT(IF(Linemen1=$A76,IF(HomeTeam=M$4,1)))+COUNT(IF(Linemen2=$A76,IF(HomeTeam=M$4,1)))</f>
        <v>2</v>
      </c>
      <c r="N76" s="8">
        <f t="array" ref="N76">COUNT(IF(Linemen1=$A76,IF(HomeTeam=N$4,1)))+COUNT(IF(Linemen2=$A76,IF(HomeTeam=N$4,1)))</f>
        <v>0</v>
      </c>
      <c r="O76" s="8">
        <f t="array" ref="O76">COUNT(IF(Linemen1=$A76,IF(HomeTeam=O$4,1)))+COUNT(IF(Linemen2=$A76,IF(HomeTeam=O$4,1)))</f>
        <v>0</v>
      </c>
      <c r="P76" s="8">
        <f t="array" ref="P76">COUNT(IF(Linemen1=$A76,IF(HomeTeam=P$4,1)))+COUNT(IF(Linemen2=$A76,IF(HomeTeam=P$4,1)))</f>
        <v>0</v>
      </c>
      <c r="Q76" s="8">
        <f t="array" ref="Q76">COUNT(IF(Linemen1=$A76,IF(HomeTeam=Q$4,1)))+COUNT(IF(Linemen2=$A76,IF(HomeTeam=Q$4,1)))</f>
        <v>0</v>
      </c>
      <c r="R76" s="8">
        <f t="array" ref="R76">COUNT(IF(Linemen1=$A76,IF(HomeTeam=R$4,1)))+COUNT(IF(Linemen2=$A76,IF(HomeTeam=R$4,1)))</f>
        <v>0</v>
      </c>
      <c r="S76" s="8">
        <f t="array" ref="S76">COUNT(IF(Linemen1=$A76,IF(HomeTeam=S$4,1)))+COUNT(IF(Linemen2=$A76,IF(HomeTeam=S$4,1)))</f>
        <v>0</v>
      </c>
      <c r="T76" s="8">
        <f t="array" ref="T76">COUNT(IF(Linemen1=$A76,IF(HomeTeam=T$4,1)))+COUNT(IF(Linemen2=$A76,IF(HomeTeam=T$4,1)))</f>
        <v>0</v>
      </c>
      <c r="U76" s="8">
        <f t="array" ref="U76">COUNT(IF(Linemen1=$A76,IF(HomeTeam=U$4,1)))+COUNT(IF(Linemen2=$A76,IF(HomeTeam=U$4,1)))</f>
        <v>0</v>
      </c>
      <c r="V76" s="8">
        <f t="array" ref="V76">COUNT(IF(Linemen1=$A76,IF(HomeTeam=V$4,1)))+COUNT(IF(Linemen2=$A76,IF(HomeTeam=V$4,1)))</f>
        <v>0</v>
      </c>
      <c r="W76" s="8">
        <f t="array" ref="W76">COUNT(IF(Linemen1=$A76,IF(AwayTeam=W$4,1)))+COUNT(IF(Linemen2=$A76,IF(AwayTeam=W$4,1)))</f>
        <v>0</v>
      </c>
      <c r="X76" s="8">
        <f t="array" ref="X76">COUNT(IF(Linemen1=$A76,IF(AwayTeam=X$4,1)))+COUNT(IF(Linemen2=$A76,IF(AwayTeam=X$4,1)))</f>
        <v>1</v>
      </c>
      <c r="Y76" s="8">
        <f t="array" ref="Y76">COUNT(IF(Linemen1=$A76,IF(AwayTeam=Y$4,1)))+COUNT(IF(Linemen2=$A76,IF(AwayTeam=Y$4,1)))</f>
        <v>1</v>
      </c>
      <c r="Z76" s="8">
        <f t="array" ref="Z76">COUNT(IF(Linemen1=$A76,IF(AwayTeam=Z$4,1)))+COUNT(IF(Linemen2=$A76,IF(AwayTeam=Z$4,1)))</f>
        <v>4</v>
      </c>
      <c r="AA76" s="8">
        <f t="array" ref="AA76">COUNT(IF(Linemen1=$A76,IF(AwayTeam=AA$4,1)))+COUNT(IF(Linemen2=$A76,IF(AwayTeam=AA$4,1)))</f>
        <v>0</v>
      </c>
      <c r="AB76" s="8">
        <f t="array" ref="AB76">COUNT(IF(Linemen1=$A76,IF(AwayTeam=AB$4,1)))+COUNT(IF(Linemen2=$A76,IF(AwayTeam=AB$4,1)))</f>
        <v>0</v>
      </c>
      <c r="AC76" s="8">
        <f t="array" ref="AC76">COUNT(IF(Linemen1=$A76,IF(AwayTeam=AC$4,1)))+COUNT(IF(Linemen2=$A76,IF(AwayTeam=AC$4,1)))</f>
        <v>0</v>
      </c>
      <c r="AD76" s="8">
        <f t="array" ref="AD76">COUNT(IF(Linemen1=$A76,IF(AwayTeam=AD$4,1)))+COUNT(IF(Linemen2=$A76,IF(AwayTeam=AD$4,1)))</f>
        <v>0</v>
      </c>
      <c r="AE76" s="8">
        <f t="array" ref="AE76">COUNT(IF(Linemen1=$A76,IF(AwayTeam=AE$4,1)))+COUNT(IF(Linemen2=$A76,IF(AwayTeam=AE$4,1)))</f>
        <v>0</v>
      </c>
      <c r="AF76" s="8">
        <f t="array" ref="AF76">COUNT(IF(Linemen1=$A76,IF(AwayTeam=AF$4,1)))+COUNT(IF(Linemen2=$A76,IF(AwayTeam=AF$4,1)))</f>
        <v>0</v>
      </c>
      <c r="AG76" s="8">
        <f t="array" ref="AG76">COUNT(IF(Linemen1=$A76,IF(AwayTeam=AG$4,1)))+COUNT(IF(Linemen2=$A76,IF(AwayTeam=AG$4,1)))</f>
        <v>0</v>
      </c>
      <c r="AH76" s="8">
        <f t="array" ref="AH76">COUNT(IF(Linemen1=$A76,IF(AwayTeam=AH$4,1)))+COUNT(IF(Linemen2=$A76,IF(AwayTeam=AH$4,1)))</f>
        <v>0</v>
      </c>
      <c r="AI76" s="8">
        <f t="array" ref="AI76">COUNT(IF(Linemen1=$A76,IF(AwayTeam=AI$4,1)))+COUNT(IF(Linemen2=$A76,IF(AwayTeam=AI$4,1)))</f>
        <v>0</v>
      </c>
      <c r="AJ76" s="8">
        <f t="array" ref="AJ76">COUNT(IF(Linemen1=$A76,IF(AwayTeam=AJ$4,1)))+COUNT(IF(Linemen2=$A76,IF(AwayTeam=AJ$4,1)))</f>
        <v>1</v>
      </c>
      <c r="AK76" s="8">
        <f t="array" ref="AK76">COUNT(IF(Linemen1=$A76,IF(AwayTeam=AK$4,1)))+COUNT(IF(Linemen2=$A76,IF(AwayTeam=AK$4,1)))</f>
        <v>0</v>
      </c>
      <c r="AL76" s="8">
        <f t="array" ref="AL76">COUNT(IF(Linemen1=$A76,IF(AwayTeam=AL$4,1)))+COUNT(IF(Linemen2=$A76,IF(AwayTeam=AL$4,1)))</f>
        <v>0</v>
      </c>
      <c r="AM76" s="8">
        <f t="array" ref="AM76">COUNT(IF(Linemen1=$A76,IF(AwayTeam=AM$4,1)))+COUNT(IF(Linemen2=$A76,IF(AwayTeam=AM$4,1)))</f>
        <v>0</v>
      </c>
      <c r="AN76" s="8">
        <f t="array" ref="AN76">COUNT(IF(Linemen1=$A76,IF(AwayTeam=AN$4,1)))+COUNT(IF(Linemen2=$A76,IF(AwayTeam=AN$4,1)))</f>
        <v>0</v>
      </c>
      <c r="AO76" s="8">
        <f t="array" ref="AO76">COUNT(IF(Linemen1=$A76,IF(AwayTeam=AO$4,1)))+COUNT(IF(Linemen2=$A76,IF(AwayTeam=AO$4,1)))</f>
        <v>0</v>
      </c>
      <c r="AP76" s="8">
        <f t="array" ref="AP76">COUNT(IF(Linemen1=$A76,IF(AwayTeam=AP$4,1)))+COUNT(IF(Linemen2=$A76,IF(AwayTeam=AP$4,1)))</f>
        <v>0</v>
      </c>
    </row>
    <row r="77" spans="1:42" x14ac:dyDescent="0.2">
      <c r="A77" s="8" t="str">
        <f>IF(Info!B12&lt;&gt;0,Info!B12,"")</f>
        <v>Darcy, Mack</v>
      </c>
      <c r="B77" s="8">
        <f t="shared" si="1"/>
        <v>13</v>
      </c>
      <c r="C77" s="8">
        <f t="array" ref="C77">COUNT(IF(Linemen1=$A77,IF(HomeTeam=C$4,1)))+COUNT(IF(Linemen2=$A77,IF(HomeTeam=C$4,1)))</f>
        <v>1</v>
      </c>
      <c r="D77" s="8">
        <f t="array" ref="D77">COUNT(IF(Linemen1=$A77,IF(HomeTeam=D$4,1)))+COUNT(IF(Linemen2=$A77,IF(HomeTeam=D$4,1)))</f>
        <v>1</v>
      </c>
      <c r="E77" s="8">
        <f t="array" ref="E77">COUNT(IF(Linemen1=$A77,IF(HomeTeam=E$4,1)))+COUNT(IF(Linemen2=$A77,IF(HomeTeam=E$4,1)))</f>
        <v>0</v>
      </c>
      <c r="F77" s="8">
        <f t="array" ref="F77">COUNT(IF(Linemen1=$A77,IF(HomeTeam=F$4,1)))+COUNT(IF(Linemen2=$A77,IF(HomeTeam=F$4,1)))</f>
        <v>5</v>
      </c>
      <c r="G77" s="8">
        <f t="array" ref="G77">COUNT(IF(Linemen1=$A77,IF(HomeTeam=G$4,1)))+COUNT(IF(Linemen2=$A77,IF(HomeTeam=G$4,1)))</f>
        <v>1</v>
      </c>
      <c r="H77" s="8">
        <f t="array" ref="H77">COUNT(IF(Linemen1=$A77,IF(HomeTeam=H$4,1)))+COUNT(IF(Linemen2=$A77,IF(HomeTeam=H$4,1)))</f>
        <v>0</v>
      </c>
      <c r="I77" s="8">
        <f t="array" ref="I77">COUNT(IF(Linemen1=$A77,IF(HomeTeam=I$4,1)))+COUNT(IF(Linemen2=$A77,IF(HomeTeam=I$4,1)))</f>
        <v>0</v>
      </c>
      <c r="J77" s="8">
        <f t="array" ref="J77">COUNT(IF(Linemen1=$A77,IF(HomeTeam=J$4,1)))+COUNT(IF(Linemen2=$A77,IF(HomeTeam=J$4,1)))</f>
        <v>1</v>
      </c>
      <c r="K77" s="8">
        <f t="array" ref="K77">COUNT(IF(Linemen1=$A77,IF(HomeTeam=K$4,1)))+COUNT(IF(Linemen2=$A77,IF(HomeTeam=K$4,1)))</f>
        <v>1</v>
      </c>
      <c r="L77" s="8">
        <f t="array" ref="L77">COUNT(IF(Linemen1=$A77,IF(HomeTeam=L$4,1)))+COUNT(IF(Linemen2=$A77,IF(HomeTeam=L$4,1)))</f>
        <v>0</v>
      </c>
      <c r="M77" s="8">
        <f t="array" ref="M77">COUNT(IF(Linemen1=$A77,IF(HomeTeam=M$4,1)))+COUNT(IF(Linemen2=$A77,IF(HomeTeam=M$4,1)))</f>
        <v>1</v>
      </c>
      <c r="N77" s="8">
        <f t="array" ref="N77">COUNT(IF(Linemen1=$A77,IF(HomeTeam=N$4,1)))+COUNT(IF(Linemen2=$A77,IF(HomeTeam=N$4,1)))</f>
        <v>0</v>
      </c>
      <c r="O77" s="8">
        <f t="array" ref="O77">COUNT(IF(Linemen1=$A77,IF(HomeTeam=O$4,1)))+COUNT(IF(Linemen2=$A77,IF(HomeTeam=O$4,1)))</f>
        <v>0</v>
      </c>
      <c r="P77" s="8">
        <f t="array" ref="P77">COUNT(IF(Linemen1=$A77,IF(HomeTeam=P$4,1)))+COUNT(IF(Linemen2=$A77,IF(HomeTeam=P$4,1)))</f>
        <v>0</v>
      </c>
      <c r="Q77" s="8">
        <f t="array" ref="Q77">COUNT(IF(Linemen1=$A77,IF(HomeTeam=Q$4,1)))+COUNT(IF(Linemen2=$A77,IF(HomeTeam=Q$4,1)))</f>
        <v>2</v>
      </c>
      <c r="R77" s="8">
        <f t="array" ref="R77">COUNT(IF(Linemen1=$A77,IF(HomeTeam=R$4,1)))+COUNT(IF(Linemen2=$A77,IF(HomeTeam=R$4,1)))</f>
        <v>0</v>
      </c>
      <c r="S77" s="8">
        <f t="array" ref="S77">COUNT(IF(Linemen1=$A77,IF(HomeTeam=S$4,1)))+COUNT(IF(Linemen2=$A77,IF(HomeTeam=S$4,1)))</f>
        <v>0</v>
      </c>
      <c r="T77" s="8">
        <f t="array" ref="T77">COUNT(IF(Linemen1=$A77,IF(HomeTeam=T$4,1)))+COUNT(IF(Linemen2=$A77,IF(HomeTeam=T$4,1)))</f>
        <v>0</v>
      </c>
      <c r="U77" s="8">
        <f t="array" ref="U77">COUNT(IF(Linemen1=$A77,IF(HomeTeam=U$4,1)))+COUNT(IF(Linemen2=$A77,IF(HomeTeam=U$4,1)))</f>
        <v>0</v>
      </c>
      <c r="V77" s="8">
        <f t="array" ref="V77">COUNT(IF(Linemen1=$A77,IF(HomeTeam=V$4,1)))+COUNT(IF(Linemen2=$A77,IF(HomeTeam=V$4,1)))</f>
        <v>0</v>
      </c>
      <c r="W77" s="8">
        <f t="array" ref="W77">COUNT(IF(Linemen1=$A77,IF(AwayTeam=W$4,1)))+COUNT(IF(Linemen2=$A77,IF(AwayTeam=W$4,1)))</f>
        <v>2</v>
      </c>
      <c r="X77" s="8">
        <f t="array" ref="X77">COUNT(IF(Linemen1=$A77,IF(AwayTeam=X$4,1)))+COUNT(IF(Linemen2=$A77,IF(AwayTeam=X$4,1)))</f>
        <v>2</v>
      </c>
      <c r="Y77" s="8">
        <f t="array" ref="Y77">COUNT(IF(Linemen1=$A77,IF(AwayTeam=Y$4,1)))+COUNT(IF(Linemen2=$A77,IF(AwayTeam=Y$4,1)))</f>
        <v>0</v>
      </c>
      <c r="Z77" s="8">
        <f t="array" ref="Z77">COUNT(IF(Linemen1=$A77,IF(AwayTeam=Z$4,1)))+COUNT(IF(Linemen2=$A77,IF(AwayTeam=Z$4,1)))</f>
        <v>2</v>
      </c>
      <c r="AA77" s="8">
        <f t="array" ref="AA77">COUNT(IF(Linemen1=$A77,IF(AwayTeam=AA$4,1)))+COUNT(IF(Linemen2=$A77,IF(AwayTeam=AA$4,1)))</f>
        <v>0</v>
      </c>
      <c r="AB77" s="8">
        <f t="array" ref="AB77">COUNT(IF(Linemen1=$A77,IF(AwayTeam=AB$4,1)))+COUNT(IF(Linemen2=$A77,IF(AwayTeam=AB$4,1)))</f>
        <v>0</v>
      </c>
      <c r="AC77" s="8">
        <f t="array" ref="AC77">COUNT(IF(Linemen1=$A77,IF(AwayTeam=AC$4,1)))+COUNT(IF(Linemen2=$A77,IF(AwayTeam=AC$4,1)))</f>
        <v>1</v>
      </c>
      <c r="AD77" s="8">
        <f t="array" ref="AD77">COUNT(IF(Linemen1=$A77,IF(AwayTeam=AD$4,1)))+COUNT(IF(Linemen2=$A77,IF(AwayTeam=AD$4,1)))</f>
        <v>2</v>
      </c>
      <c r="AE77" s="8">
        <f t="array" ref="AE77">COUNT(IF(Linemen1=$A77,IF(AwayTeam=AE$4,1)))+COUNT(IF(Linemen2=$A77,IF(AwayTeam=AE$4,1)))</f>
        <v>0</v>
      </c>
      <c r="AF77" s="8">
        <f t="array" ref="AF77">COUNT(IF(Linemen1=$A77,IF(AwayTeam=AF$4,1)))+COUNT(IF(Linemen2=$A77,IF(AwayTeam=AF$4,1)))</f>
        <v>0</v>
      </c>
      <c r="AG77" s="8">
        <f t="array" ref="AG77">COUNT(IF(Linemen1=$A77,IF(AwayTeam=AG$4,1)))+COUNT(IF(Linemen2=$A77,IF(AwayTeam=AG$4,1)))</f>
        <v>0</v>
      </c>
      <c r="AH77" s="8">
        <f t="array" ref="AH77">COUNT(IF(Linemen1=$A77,IF(AwayTeam=AH$4,1)))+COUNT(IF(Linemen2=$A77,IF(AwayTeam=AH$4,1)))</f>
        <v>1</v>
      </c>
      <c r="AI77" s="8">
        <f t="array" ref="AI77">COUNT(IF(Linemen1=$A77,IF(AwayTeam=AI$4,1)))+COUNT(IF(Linemen2=$A77,IF(AwayTeam=AI$4,1)))</f>
        <v>2</v>
      </c>
      <c r="AJ77" s="8">
        <f t="array" ref="AJ77">COUNT(IF(Linemen1=$A77,IF(AwayTeam=AJ$4,1)))+COUNT(IF(Linemen2=$A77,IF(AwayTeam=AJ$4,1)))</f>
        <v>0</v>
      </c>
      <c r="AK77" s="8">
        <f t="array" ref="AK77">COUNT(IF(Linemen1=$A77,IF(AwayTeam=AK$4,1)))+COUNT(IF(Linemen2=$A77,IF(AwayTeam=AK$4,1)))</f>
        <v>0</v>
      </c>
      <c r="AL77" s="8">
        <f t="array" ref="AL77">COUNT(IF(Linemen1=$A77,IF(AwayTeam=AL$4,1)))+COUNT(IF(Linemen2=$A77,IF(AwayTeam=AL$4,1)))</f>
        <v>1</v>
      </c>
      <c r="AM77" s="8">
        <f t="array" ref="AM77">COUNT(IF(Linemen1=$A77,IF(AwayTeam=AM$4,1)))+COUNT(IF(Linemen2=$A77,IF(AwayTeam=AM$4,1)))</f>
        <v>0</v>
      </c>
      <c r="AN77" s="8">
        <f t="array" ref="AN77">COUNT(IF(Linemen1=$A77,IF(AwayTeam=AN$4,1)))+COUNT(IF(Linemen2=$A77,IF(AwayTeam=AN$4,1)))</f>
        <v>0</v>
      </c>
      <c r="AO77" s="8">
        <f t="array" ref="AO77">COUNT(IF(Linemen1=$A77,IF(AwayTeam=AO$4,1)))+COUNT(IF(Linemen2=$A77,IF(AwayTeam=AO$4,1)))</f>
        <v>0</v>
      </c>
      <c r="AP77" s="8">
        <f t="array" ref="AP77">COUNT(IF(Linemen1=$A77,IF(AwayTeam=AP$4,1)))+COUNT(IF(Linemen2=$A77,IF(AwayTeam=AP$4,1)))</f>
        <v>0</v>
      </c>
    </row>
    <row r="78" spans="1:42" x14ac:dyDescent="0.2">
      <c r="A78" s="8" t="str">
        <f>IF(Info!B13&lt;&gt;0,Info!B13,"")</f>
        <v>Davis, Jake</v>
      </c>
      <c r="B78" s="8">
        <f t="shared" si="1"/>
        <v>8</v>
      </c>
      <c r="C78" s="8">
        <f t="array" ref="C78">COUNT(IF(Linemen1=$A78,IF(HomeTeam=C$4,1)))+COUNT(IF(Linemen2=$A78,IF(HomeTeam=C$4,1)))</f>
        <v>1</v>
      </c>
      <c r="D78" s="8">
        <f t="array" ref="D78">COUNT(IF(Linemen1=$A78,IF(HomeTeam=D$4,1)))+COUNT(IF(Linemen2=$A78,IF(HomeTeam=D$4,1)))</f>
        <v>1</v>
      </c>
      <c r="E78" s="8">
        <f t="array" ref="E78">COUNT(IF(Linemen1=$A78,IF(HomeTeam=E$4,1)))+COUNT(IF(Linemen2=$A78,IF(HomeTeam=E$4,1)))</f>
        <v>0</v>
      </c>
      <c r="F78" s="8">
        <f t="array" ref="F78">COUNT(IF(Linemen1=$A78,IF(HomeTeam=F$4,1)))+COUNT(IF(Linemen2=$A78,IF(HomeTeam=F$4,1)))</f>
        <v>1</v>
      </c>
      <c r="G78" s="8">
        <f t="array" ref="G78">COUNT(IF(Linemen1=$A78,IF(HomeTeam=G$4,1)))+COUNT(IF(Linemen2=$A78,IF(HomeTeam=G$4,1)))</f>
        <v>0</v>
      </c>
      <c r="H78" s="8">
        <f t="array" ref="H78">COUNT(IF(Linemen1=$A78,IF(HomeTeam=H$4,1)))+COUNT(IF(Linemen2=$A78,IF(HomeTeam=H$4,1)))</f>
        <v>0</v>
      </c>
      <c r="I78" s="8">
        <f t="array" ref="I78">COUNT(IF(Linemen1=$A78,IF(HomeTeam=I$4,1)))+COUNT(IF(Linemen2=$A78,IF(HomeTeam=I$4,1)))</f>
        <v>0</v>
      </c>
      <c r="J78" s="8">
        <f t="array" ref="J78">COUNT(IF(Linemen1=$A78,IF(HomeTeam=J$4,1)))+COUNT(IF(Linemen2=$A78,IF(HomeTeam=J$4,1)))</f>
        <v>0</v>
      </c>
      <c r="K78" s="8">
        <f t="array" ref="K78">COUNT(IF(Linemen1=$A78,IF(HomeTeam=K$4,1)))+COUNT(IF(Linemen2=$A78,IF(HomeTeam=K$4,1)))</f>
        <v>0</v>
      </c>
      <c r="L78" s="8">
        <f t="array" ref="L78">COUNT(IF(Linemen1=$A78,IF(HomeTeam=L$4,1)))+COUNT(IF(Linemen2=$A78,IF(HomeTeam=L$4,1)))</f>
        <v>1</v>
      </c>
      <c r="M78" s="8">
        <f t="array" ref="M78">COUNT(IF(Linemen1=$A78,IF(HomeTeam=M$4,1)))+COUNT(IF(Linemen2=$A78,IF(HomeTeam=M$4,1)))</f>
        <v>0</v>
      </c>
      <c r="N78" s="8">
        <f t="array" ref="N78">COUNT(IF(Linemen1=$A78,IF(HomeTeam=N$4,1)))+COUNT(IF(Linemen2=$A78,IF(HomeTeam=N$4,1)))</f>
        <v>0</v>
      </c>
      <c r="O78" s="8">
        <f t="array" ref="O78">COUNT(IF(Linemen1=$A78,IF(HomeTeam=O$4,1)))+COUNT(IF(Linemen2=$A78,IF(HomeTeam=O$4,1)))</f>
        <v>0</v>
      </c>
      <c r="P78" s="8">
        <f t="array" ref="P78">COUNT(IF(Linemen1=$A78,IF(HomeTeam=P$4,1)))+COUNT(IF(Linemen2=$A78,IF(HomeTeam=P$4,1)))</f>
        <v>4</v>
      </c>
      <c r="Q78" s="8">
        <f t="array" ref="Q78">COUNT(IF(Linemen1=$A78,IF(HomeTeam=Q$4,1)))+COUNT(IF(Linemen2=$A78,IF(HomeTeam=Q$4,1)))</f>
        <v>0</v>
      </c>
      <c r="R78" s="8">
        <f t="array" ref="R78">COUNT(IF(Linemen1=$A78,IF(HomeTeam=R$4,1)))+COUNT(IF(Linemen2=$A78,IF(HomeTeam=R$4,1)))</f>
        <v>0</v>
      </c>
      <c r="S78" s="8">
        <f t="array" ref="S78">COUNT(IF(Linemen1=$A78,IF(HomeTeam=S$4,1)))+COUNT(IF(Linemen2=$A78,IF(HomeTeam=S$4,1)))</f>
        <v>0</v>
      </c>
      <c r="T78" s="8">
        <f t="array" ref="T78">COUNT(IF(Linemen1=$A78,IF(HomeTeam=T$4,1)))+COUNT(IF(Linemen2=$A78,IF(HomeTeam=T$4,1)))</f>
        <v>0</v>
      </c>
      <c r="U78" s="8">
        <f t="array" ref="U78">COUNT(IF(Linemen1=$A78,IF(HomeTeam=U$4,1)))+COUNT(IF(Linemen2=$A78,IF(HomeTeam=U$4,1)))</f>
        <v>0</v>
      </c>
      <c r="V78" s="8">
        <f t="array" ref="V78">COUNT(IF(Linemen1=$A78,IF(HomeTeam=V$4,1)))+COUNT(IF(Linemen2=$A78,IF(HomeTeam=V$4,1)))</f>
        <v>0</v>
      </c>
      <c r="W78" s="8">
        <f t="array" ref="W78">COUNT(IF(Linemen1=$A78,IF(AwayTeam=W$4,1)))+COUNT(IF(Linemen2=$A78,IF(AwayTeam=W$4,1)))</f>
        <v>1</v>
      </c>
      <c r="X78" s="8">
        <f t="array" ref="X78">COUNT(IF(Linemen1=$A78,IF(AwayTeam=X$4,1)))+COUNT(IF(Linemen2=$A78,IF(AwayTeam=X$4,1)))</f>
        <v>4</v>
      </c>
      <c r="Y78" s="8">
        <f t="array" ref="Y78">COUNT(IF(Linemen1=$A78,IF(AwayTeam=Y$4,1)))+COUNT(IF(Linemen2=$A78,IF(AwayTeam=Y$4,1)))</f>
        <v>0</v>
      </c>
      <c r="Z78" s="8">
        <f t="array" ref="Z78">COUNT(IF(Linemen1=$A78,IF(AwayTeam=Z$4,1)))+COUNT(IF(Linemen2=$A78,IF(AwayTeam=Z$4,1)))</f>
        <v>0</v>
      </c>
      <c r="AA78" s="8">
        <f t="array" ref="AA78">COUNT(IF(Linemen1=$A78,IF(AwayTeam=AA$4,1)))+COUNT(IF(Linemen2=$A78,IF(AwayTeam=AA$4,1)))</f>
        <v>1</v>
      </c>
      <c r="AB78" s="8">
        <f t="array" ref="AB78">COUNT(IF(Linemen1=$A78,IF(AwayTeam=AB$4,1)))+COUNT(IF(Linemen2=$A78,IF(AwayTeam=AB$4,1)))</f>
        <v>0</v>
      </c>
      <c r="AC78" s="8">
        <f t="array" ref="AC78">COUNT(IF(Linemen1=$A78,IF(AwayTeam=AC$4,1)))+COUNT(IF(Linemen2=$A78,IF(AwayTeam=AC$4,1)))</f>
        <v>0</v>
      </c>
      <c r="AD78" s="8">
        <f t="array" ref="AD78">COUNT(IF(Linemen1=$A78,IF(AwayTeam=AD$4,1)))+COUNT(IF(Linemen2=$A78,IF(AwayTeam=AD$4,1)))</f>
        <v>0</v>
      </c>
      <c r="AE78" s="8">
        <f t="array" ref="AE78">COUNT(IF(Linemen1=$A78,IF(AwayTeam=AE$4,1)))+COUNT(IF(Linemen2=$A78,IF(AwayTeam=AE$4,1)))</f>
        <v>0</v>
      </c>
      <c r="AF78" s="8">
        <f t="array" ref="AF78">COUNT(IF(Linemen1=$A78,IF(AwayTeam=AF$4,1)))+COUNT(IF(Linemen2=$A78,IF(AwayTeam=AF$4,1)))</f>
        <v>0</v>
      </c>
      <c r="AG78" s="8">
        <f t="array" ref="AG78">COUNT(IF(Linemen1=$A78,IF(AwayTeam=AG$4,1)))+COUNT(IF(Linemen2=$A78,IF(AwayTeam=AG$4,1)))</f>
        <v>0</v>
      </c>
      <c r="AH78" s="8">
        <f t="array" ref="AH78">COUNT(IF(Linemen1=$A78,IF(AwayTeam=AH$4,1)))+COUNT(IF(Linemen2=$A78,IF(AwayTeam=AH$4,1)))</f>
        <v>0</v>
      </c>
      <c r="AI78" s="8">
        <f t="array" ref="AI78">COUNT(IF(Linemen1=$A78,IF(AwayTeam=AI$4,1)))+COUNT(IF(Linemen2=$A78,IF(AwayTeam=AI$4,1)))</f>
        <v>0</v>
      </c>
      <c r="AJ78" s="8">
        <f t="array" ref="AJ78">COUNT(IF(Linemen1=$A78,IF(AwayTeam=AJ$4,1)))+COUNT(IF(Linemen2=$A78,IF(AwayTeam=AJ$4,1)))</f>
        <v>0</v>
      </c>
      <c r="AK78" s="8">
        <f t="array" ref="AK78">COUNT(IF(Linemen1=$A78,IF(AwayTeam=AK$4,1)))+COUNT(IF(Linemen2=$A78,IF(AwayTeam=AK$4,1)))</f>
        <v>0</v>
      </c>
      <c r="AL78" s="8">
        <f t="array" ref="AL78">COUNT(IF(Linemen1=$A78,IF(AwayTeam=AL$4,1)))+COUNT(IF(Linemen2=$A78,IF(AwayTeam=AL$4,1)))</f>
        <v>0</v>
      </c>
      <c r="AM78" s="8">
        <f t="array" ref="AM78">COUNT(IF(Linemen1=$A78,IF(AwayTeam=AM$4,1)))+COUNT(IF(Linemen2=$A78,IF(AwayTeam=AM$4,1)))</f>
        <v>2</v>
      </c>
      <c r="AN78" s="8">
        <f t="array" ref="AN78">COUNT(IF(Linemen1=$A78,IF(AwayTeam=AN$4,1)))+COUNT(IF(Linemen2=$A78,IF(AwayTeam=AN$4,1)))</f>
        <v>0</v>
      </c>
      <c r="AO78" s="8">
        <f t="array" ref="AO78">COUNT(IF(Linemen1=$A78,IF(AwayTeam=AO$4,1)))+COUNT(IF(Linemen2=$A78,IF(AwayTeam=AO$4,1)))</f>
        <v>0</v>
      </c>
      <c r="AP78" s="8">
        <f t="array" ref="AP78">COUNT(IF(Linemen1=$A78,IF(AwayTeam=AP$4,1)))+COUNT(IF(Linemen2=$A78,IF(AwayTeam=AP$4,1)))</f>
        <v>0</v>
      </c>
    </row>
    <row r="79" spans="1:42" x14ac:dyDescent="0.2">
      <c r="A79" s="8" t="str">
        <f>IF(Info!B14&lt;&gt;0,Info!B14,"")</f>
        <v>Default Linesman</v>
      </c>
      <c r="B79" s="8">
        <f t="shared" si="1"/>
        <v>2</v>
      </c>
      <c r="C79" s="8">
        <f t="array" ref="C79">COUNT(IF(Linemen1=$A79,IF(HomeTeam=C$4,1)))+COUNT(IF(Linemen2=$A79,IF(HomeTeam=C$4,1)))</f>
        <v>0</v>
      </c>
      <c r="D79" s="8">
        <f t="array" ref="D79">COUNT(IF(Linemen1=$A79,IF(HomeTeam=D$4,1)))+COUNT(IF(Linemen2=$A79,IF(HomeTeam=D$4,1)))</f>
        <v>0</v>
      </c>
      <c r="E79" s="8">
        <f t="array" ref="E79">COUNT(IF(Linemen1=$A79,IF(HomeTeam=E$4,1)))+COUNT(IF(Linemen2=$A79,IF(HomeTeam=E$4,1)))</f>
        <v>0</v>
      </c>
      <c r="F79" s="8">
        <f t="array" ref="F79">COUNT(IF(Linemen1=$A79,IF(HomeTeam=F$4,1)))+COUNT(IF(Linemen2=$A79,IF(HomeTeam=F$4,1)))</f>
        <v>1</v>
      </c>
      <c r="G79" s="8">
        <f t="array" ref="G79">COUNT(IF(Linemen1=$A79,IF(HomeTeam=G$4,1)))+COUNT(IF(Linemen2=$A79,IF(HomeTeam=G$4,1)))</f>
        <v>0</v>
      </c>
      <c r="H79" s="8">
        <f t="array" ref="H79">COUNT(IF(Linemen1=$A79,IF(HomeTeam=H$4,1)))+COUNT(IF(Linemen2=$A79,IF(HomeTeam=H$4,1)))</f>
        <v>0</v>
      </c>
      <c r="I79" s="8">
        <f t="array" ref="I79">COUNT(IF(Linemen1=$A79,IF(HomeTeam=I$4,1)))+COUNT(IF(Linemen2=$A79,IF(HomeTeam=I$4,1)))</f>
        <v>0</v>
      </c>
      <c r="J79" s="8">
        <f t="array" ref="J79">COUNT(IF(Linemen1=$A79,IF(HomeTeam=J$4,1)))+COUNT(IF(Linemen2=$A79,IF(HomeTeam=J$4,1)))</f>
        <v>0</v>
      </c>
      <c r="K79" s="8">
        <f t="array" ref="K79">COUNT(IF(Linemen1=$A79,IF(HomeTeam=K$4,1)))+COUNT(IF(Linemen2=$A79,IF(HomeTeam=K$4,1)))</f>
        <v>0</v>
      </c>
      <c r="L79" s="8">
        <f t="array" ref="L79">COUNT(IF(Linemen1=$A79,IF(HomeTeam=L$4,1)))+COUNT(IF(Linemen2=$A79,IF(HomeTeam=L$4,1)))</f>
        <v>0</v>
      </c>
      <c r="M79" s="8">
        <f t="array" ref="M79">COUNT(IF(Linemen1=$A79,IF(HomeTeam=M$4,1)))+COUNT(IF(Linemen2=$A79,IF(HomeTeam=M$4,1)))</f>
        <v>0</v>
      </c>
      <c r="N79" s="8">
        <f t="array" ref="N79">COUNT(IF(Linemen1=$A79,IF(HomeTeam=N$4,1)))+COUNT(IF(Linemen2=$A79,IF(HomeTeam=N$4,1)))</f>
        <v>0</v>
      </c>
      <c r="O79" s="8">
        <f t="array" ref="O79">COUNT(IF(Linemen1=$A79,IF(HomeTeam=O$4,1)))+COUNT(IF(Linemen2=$A79,IF(HomeTeam=O$4,1)))</f>
        <v>0</v>
      </c>
      <c r="P79" s="8">
        <f t="array" ref="P79">COUNT(IF(Linemen1=$A79,IF(HomeTeam=P$4,1)))+COUNT(IF(Linemen2=$A79,IF(HomeTeam=P$4,1)))</f>
        <v>0</v>
      </c>
      <c r="Q79" s="8">
        <f t="array" ref="Q79">COUNT(IF(Linemen1=$A79,IF(HomeTeam=Q$4,1)))+COUNT(IF(Linemen2=$A79,IF(HomeTeam=Q$4,1)))</f>
        <v>0</v>
      </c>
      <c r="R79" s="8">
        <f t="array" ref="R79">COUNT(IF(Linemen1=$A79,IF(HomeTeam=R$4,1)))+COUNT(IF(Linemen2=$A79,IF(HomeTeam=R$4,1)))</f>
        <v>1</v>
      </c>
      <c r="S79" s="8">
        <f t="array" ref="S79">COUNT(IF(Linemen1=$A79,IF(HomeTeam=S$4,1)))+COUNT(IF(Linemen2=$A79,IF(HomeTeam=S$4,1)))</f>
        <v>0</v>
      </c>
      <c r="T79" s="8">
        <f t="array" ref="T79">COUNT(IF(Linemen1=$A79,IF(HomeTeam=T$4,1)))+COUNT(IF(Linemen2=$A79,IF(HomeTeam=T$4,1)))</f>
        <v>0</v>
      </c>
      <c r="U79" s="8">
        <f t="array" ref="U79">COUNT(IF(Linemen1=$A79,IF(HomeTeam=U$4,1)))+COUNT(IF(Linemen2=$A79,IF(HomeTeam=U$4,1)))</f>
        <v>0</v>
      </c>
      <c r="V79" s="8">
        <f t="array" ref="V79">COUNT(IF(Linemen1=$A79,IF(HomeTeam=V$4,1)))+COUNT(IF(Linemen2=$A79,IF(HomeTeam=V$4,1)))</f>
        <v>0</v>
      </c>
      <c r="W79" s="8">
        <f t="array" ref="W79">COUNT(IF(Linemen1=$A79,IF(AwayTeam=W$4,1)))+COUNT(IF(Linemen2=$A79,IF(AwayTeam=W$4,1)))</f>
        <v>0</v>
      </c>
      <c r="X79" s="8">
        <f t="array" ref="X79">COUNT(IF(Linemen1=$A79,IF(AwayTeam=X$4,1)))+COUNT(IF(Linemen2=$A79,IF(AwayTeam=X$4,1)))</f>
        <v>0</v>
      </c>
      <c r="Y79" s="8">
        <f t="array" ref="Y79">COUNT(IF(Linemen1=$A79,IF(AwayTeam=Y$4,1)))+COUNT(IF(Linemen2=$A79,IF(AwayTeam=Y$4,1)))</f>
        <v>0</v>
      </c>
      <c r="Z79" s="8">
        <f t="array" ref="Z79">COUNT(IF(Linemen1=$A79,IF(AwayTeam=Z$4,1)))+COUNT(IF(Linemen2=$A79,IF(AwayTeam=Z$4,1)))</f>
        <v>1</v>
      </c>
      <c r="AA79" s="8">
        <f t="array" ref="AA79">COUNT(IF(Linemen1=$A79,IF(AwayTeam=AA$4,1)))+COUNT(IF(Linemen2=$A79,IF(AwayTeam=AA$4,1)))</f>
        <v>0</v>
      </c>
      <c r="AB79" s="8">
        <f t="array" ref="AB79">COUNT(IF(Linemen1=$A79,IF(AwayTeam=AB$4,1)))+COUNT(IF(Linemen2=$A79,IF(AwayTeam=AB$4,1)))</f>
        <v>0</v>
      </c>
      <c r="AC79" s="8">
        <f t="array" ref="AC79">COUNT(IF(Linemen1=$A79,IF(AwayTeam=AC$4,1)))+COUNT(IF(Linemen2=$A79,IF(AwayTeam=AC$4,1)))</f>
        <v>0</v>
      </c>
      <c r="AD79" s="8">
        <f t="array" ref="AD79">COUNT(IF(Linemen1=$A79,IF(AwayTeam=AD$4,1)))+COUNT(IF(Linemen2=$A79,IF(AwayTeam=AD$4,1)))</f>
        <v>0</v>
      </c>
      <c r="AE79" s="8">
        <f t="array" ref="AE79">COUNT(IF(Linemen1=$A79,IF(AwayTeam=AE$4,1)))+COUNT(IF(Linemen2=$A79,IF(AwayTeam=AE$4,1)))</f>
        <v>0</v>
      </c>
      <c r="AF79" s="8">
        <f t="array" ref="AF79">COUNT(IF(Linemen1=$A79,IF(AwayTeam=AF$4,1)))+COUNT(IF(Linemen2=$A79,IF(AwayTeam=AF$4,1)))</f>
        <v>0</v>
      </c>
      <c r="AG79" s="8">
        <f t="array" ref="AG79">COUNT(IF(Linemen1=$A79,IF(AwayTeam=AG$4,1)))+COUNT(IF(Linemen2=$A79,IF(AwayTeam=AG$4,1)))</f>
        <v>0</v>
      </c>
      <c r="AH79" s="8">
        <f t="array" ref="AH79">COUNT(IF(Linemen1=$A79,IF(AwayTeam=AH$4,1)))+COUNT(IF(Linemen2=$A79,IF(AwayTeam=AH$4,1)))</f>
        <v>0</v>
      </c>
      <c r="AI79" s="8">
        <f t="array" ref="AI79">COUNT(IF(Linemen1=$A79,IF(AwayTeam=AI$4,1)))+COUNT(IF(Linemen2=$A79,IF(AwayTeam=AI$4,1)))</f>
        <v>0</v>
      </c>
      <c r="AJ79" s="8">
        <f t="array" ref="AJ79">COUNT(IF(Linemen1=$A79,IF(AwayTeam=AJ$4,1)))+COUNT(IF(Linemen2=$A79,IF(AwayTeam=AJ$4,1)))</f>
        <v>0</v>
      </c>
      <c r="AK79" s="8">
        <f t="array" ref="AK79">COUNT(IF(Linemen1=$A79,IF(AwayTeam=AK$4,1)))+COUNT(IF(Linemen2=$A79,IF(AwayTeam=AK$4,1)))</f>
        <v>0</v>
      </c>
      <c r="AL79" s="8">
        <f t="array" ref="AL79">COUNT(IF(Linemen1=$A79,IF(AwayTeam=AL$4,1)))+COUNT(IF(Linemen2=$A79,IF(AwayTeam=AL$4,1)))</f>
        <v>0</v>
      </c>
      <c r="AM79" s="8">
        <f t="array" ref="AM79">COUNT(IF(Linemen1=$A79,IF(AwayTeam=AM$4,1)))+COUNT(IF(Linemen2=$A79,IF(AwayTeam=AM$4,1)))</f>
        <v>1</v>
      </c>
      <c r="AN79" s="8">
        <f t="array" ref="AN79">COUNT(IF(Linemen1=$A79,IF(AwayTeam=AN$4,1)))+COUNT(IF(Linemen2=$A79,IF(AwayTeam=AN$4,1)))</f>
        <v>0</v>
      </c>
      <c r="AO79" s="8">
        <f t="array" ref="AO79">COUNT(IF(Linemen1=$A79,IF(AwayTeam=AO$4,1)))+COUNT(IF(Linemen2=$A79,IF(AwayTeam=AO$4,1)))</f>
        <v>0</v>
      </c>
      <c r="AP79" s="8">
        <f t="array" ref="AP79">COUNT(IF(Linemen1=$A79,IF(AwayTeam=AP$4,1)))+COUNT(IF(Linemen2=$A79,IF(AwayTeam=AP$4,1)))</f>
        <v>0</v>
      </c>
    </row>
    <row r="80" spans="1:42" x14ac:dyDescent="0.2">
      <c r="A80" s="8" t="str">
        <f>IF(Info!B15&lt;&gt;0,Info!B15,"")</f>
        <v>Delaney, Kris</v>
      </c>
      <c r="B80" s="8">
        <f t="shared" si="1"/>
        <v>16</v>
      </c>
      <c r="C80" s="8">
        <f t="array" ref="C80">COUNT(IF(Linemen1=$A80,IF(HomeTeam=C$4,1)))+COUNT(IF(Linemen2=$A80,IF(HomeTeam=C$4,1)))</f>
        <v>2</v>
      </c>
      <c r="D80" s="8">
        <f t="array" ref="D80">COUNT(IF(Linemen1=$A80,IF(HomeTeam=D$4,1)))+COUNT(IF(Linemen2=$A80,IF(HomeTeam=D$4,1)))</f>
        <v>2</v>
      </c>
      <c r="E80" s="8">
        <f t="array" ref="E80">COUNT(IF(Linemen1=$A80,IF(HomeTeam=E$4,1)))+COUNT(IF(Linemen2=$A80,IF(HomeTeam=E$4,1)))</f>
        <v>0</v>
      </c>
      <c r="F80" s="8">
        <f t="array" ref="F80">COUNT(IF(Linemen1=$A80,IF(HomeTeam=F$4,1)))+COUNT(IF(Linemen2=$A80,IF(HomeTeam=F$4,1)))</f>
        <v>8</v>
      </c>
      <c r="G80" s="8">
        <f t="array" ref="G80">COUNT(IF(Linemen1=$A80,IF(HomeTeam=G$4,1)))+COUNT(IF(Linemen2=$A80,IF(HomeTeam=G$4,1)))</f>
        <v>1</v>
      </c>
      <c r="H80" s="8">
        <f t="array" ref="H80">COUNT(IF(Linemen1=$A80,IF(HomeTeam=H$4,1)))+COUNT(IF(Linemen2=$A80,IF(HomeTeam=H$4,1)))</f>
        <v>0</v>
      </c>
      <c r="I80" s="8">
        <f t="array" ref="I80">COUNT(IF(Linemen1=$A80,IF(HomeTeam=I$4,1)))+COUNT(IF(Linemen2=$A80,IF(HomeTeam=I$4,1)))</f>
        <v>0</v>
      </c>
      <c r="J80" s="8">
        <f t="array" ref="J80">COUNT(IF(Linemen1=$A80,IF(HomeTeam=J$4,1)))+COUNT(IF(Linemen2=$A80,IF(HomeTeam=J$4,1)))</f>
        <v>1</v>
      </c>
      <c r="K80" s="8">
        <f t="array" ref="K80">COUNT(IF(Linemen1=$A80,IF(HomeTeam=K$4,1)))+COUNT(IF(Linemen2=$A80,IF(HomeTeam=K$4,1)))</f>
        <v>0</v>
      </c>
      <c r="L80" s="8">
        <f t="array" ref="L80">COUNT(IF(Linemen1=$A80,IF(HomeTeam=L$4,1)))+COUNT(IF(Linemen2=$A80,IF(HomeTeam=L$4,1)))</f>
        <v>0</v>
      </c>
      <c r="M80" s="8">
        <f t="array" ref="M80">COUNT(IF(Linemen1=$A80,IF(HomeTeam=M$4,1)))+COUNT(IF(Linemen2=$A80,IF(HomeTeam=M$4,1)))</f>
        <v>0</v>
      </c>
      <c r="N80" s="8">
        <f t="array" ref="N80">COUNT(IF(Linemen1=$A80,IF(HomeTeam=N$4,1)))+COUNT(IF(Linemen2=$A80,IF(HomeTeam=N$4,1)))</f>
        <v>1</v>
      </c>
      <c r="O80" s="8">
        <f t="array" ref="O80">COUNT(IF(Linemen1=$A80,IF(HomeTeam=O$4,1)))+COUNT(IF(Linemen2=$A80,IF(HomeTeam=O$4,1)))</f>
        <v>1</v>
      </c>
      <c r="P80" s="8">
        <f t="array" ref="P80">COUNT(IF(Linemen1=$A80,IF(HomeTeam=P$4,1)))+COUNT(IF(Linemen2=$A80,IF(HomeTeam=P$4,1)))</f>
        <v>0</v>
      </c>
      <c r="Q80" s="8">
        <f t="array" ref="Q80">COUNT(IF(Linemen1=$A80,IF(HomeTeam=Q$4,1)))+COUNT(IF(Linemen2=$A80,IF(HomeTeam=Q$4,1)))</f>
        <v>0</v>
      </c>
      <c r="R80" s="8">
        <f t="array" ref="R80">COUNT(IF(Linemen1=$A80,IF(HomeTeam=R$4,1)))+COUNT(IF(Linemen2=$A80,IF(HomeTeam=R$4,1)))</f>
        <v>0</v>
      </c>
      <c r="S80" s="8">
        <f t="array" ref="S80">COUNT(IF(Linemen1=$A80,IF(HomeTeam=S$4,1)))+COUNT(IF(Linemen2=$A80,IF(HomeTeam=S$4,1)))</f>
        <v>0</v>
      </c>
      <c r="T80" s="8">
        <f t="array" ref="T80">COUNT(IF(Linemen1=$A80,IF(HomeTeam=T$4,1)))+COUNT(IF(Linemen2=$A80,IF(HomeTeam=T$4,1)))</f>
        <v>0</v>
      </c>
      <c r="U80" s="8">
        <f t="array" ref="U80">COUNT(IF(Linemen1=$A80,IF(HomeTeam=U$4,1)))+COUNT(IF(Linemen2=$A80,IF(HomeTeam=U$4,1)))</f>
        <v>0</v>
      </c>
      <c r="V80" s="8">
        <f t="array" ref="V80">COUNT(IF(Linemen1=$A80,IF(HomeTeam=V$4,1)))+COUNT(IF(Linemen2=$A80,IF(HomeTeam=V$4,1)))</f>
        <v>0</v>
      </c>
      <c r="W80" s="8">
        <f t="array" ref="W80">COUNT(IF(Linemen1=$A80,IF(AwayTeam=W$4,1)))+COUNT(IF(Linemen2=$A80,IF(AwayTeam=W$4,1)))</f>
        <v>1</v>
      </c>
      <c r="X80" s="8">
        <f t="array" ref="X80">COUNT(IF(Linemen1=$A80,IF(AwayTeam=X$4,1)))+COUNT(IF(Linemen2=$A80,IF(AwayTeam=X$4,1)))</f>
        <v>0</v>
      </c>
      <c r="Y80" s="8">
        <f t="array" ref="Y80">COUNT(IF(Linemen1=$A80,IF(AwayTeam=Y$4,1)))+COUNT(IF(Linemen2=$A80,IF(AwayTeam=Y$4,1)))</f>
        <v>1</v>
      </c>
      <c r="Z80" s="8">
        <f t="array" ref="Z80">COUNT(IF(Linemen1=$A80,IF(AwayTeam=Z$4,1)))+COUNT(IF(Linemen2=$A80,IF(AwayTeam=Z$4,1)))</f>
        <v>1</v>
      </c>
      <c r="AA80" s="8">
        <f t="array" ref="AA80">COUNT(IF(Linemen1=$A80,IF(AwayTeam=AA$4,1)))+COUNT(IF(Linemen2=$A80,IF(AwayTeam=AA$4,1)))</f>
        <v>0</v>
      </c>
      <c r="AB80" s="8">
        <f t="array" ref="AB80">COUNT(IF(Linemen1=$A80,IF(AwayTeam=AB$4,1)))+COUNT(IF(Linemen2=$A80,IF(AwayTeam=AB$4,1)))</f>
        <v>1</v>
      </c>
      <c r="AC80" s="8">
        <f t="array" ref="AC80">COUNT(IF(Linemen1=$A80,IF(AwayTeam=AC$4,1)))+COUNT(IF(Linemen2=$A80,IF(AwayTeam=AC$4,1)))</f>
        <v>0</v>
      </c>
      <c r="AD80" s="8">
        <f t="array" ref="AD80">COUNT(IF(Linemen1=$A80,IF(AwayTeam=AD$4,1)))+COUNT(IF(Linemen2=$A80,IF(AwayTeam=AD$4,1)))</f>
        <v>2</v>
      </c>
      <c r="AE80" s="8">
        <f t="array" ref="AE80">COUNT(IF(Linemen1=$A80,IF(AwayTeam=AE$4,1)))+COUNT(IF(Linemen2=$A80,IF(AwayTeam=AE$4,1)))</f>
        <v>1</v>
      </c>
      <c r="AF80" s="8">
        <f t="array" ref="AF80">COUNT(IF(Linemen1=$A80,IF(AwayTeam=AF$4,1)))+COUNT(IF(Linemen2=$A80,IF(AwayTeam=AF$4,1)))</f>
        <v>1</v>
      </c>
      <c r="AG80" s="8">
        <f t="array" ref="AG80">COUNT(IF(Linemen1=$A80,IF(AwayTeam=AG$4,1)))+COUNT(IF(Linemen2=$A80,IF(AwayTeam=AG$4,1)))</f>
        <v>1</v>
      </c>
      <c r="AH80" s="8">
        <f t="array" ref="AH80">COUNT(IF(Linemen1=$A80,IF(AwayTeam=AH$4,1)))+COUNT(IF(Linemen2=$A80,IF(AwayTeam=AH$4,1)))</f>
        <v>0</v>
      </c>
      <c r="AI80" s="8">
        <f t="array" ref="AI80">COUNT(IF(Linemen1=$A80,IF(AwayTeam=AI$4,1)))+COUNT(IF(Linemen2=$A80,IF(AwayTeam=AI$4,1)))</f>
        <v>2</v>
      </c>
      <c r="AJ80" s="8">
        <f t="array" ref="AJ80">COUNT(IF(Linemen1=$A80,IF(AwayTeam=AJ$4,1)))+COUNT(IF(Linemen2=$A80,IF(AwayTeam=AJ$4,1)))</f>
        <v>0</v>
      </c>
      <c r="AK80" s="8">
        <f t="array" ref="AK80">COUNT(IF(Linemen1=$A80,IF(AwayTeam=AK$4,1)))+COUNT(IF(Linemen2=$A80,IF(AwayTeam=AK$4,1)))</f>
        <v>3</v>
      </c>
      <c r="AL80" s="8">
        <f t="array" ref="AL80">COUNT(IF(Linemen1=$A80,IF(AwayTeam=AL$4,1)))+COUNT(IF(Linemen2=$A80,IF(AwayTeam=AL$4,1)))</f>
        <v>2</v>
      </c>
      <c r="AM80" s="8">
        <f t="array" ref="AM80">COUNT(IF(Linemen1=$A80,IF(AwayTeam=AM$4,1)))+COUNT(IF(Linemen2=$A80,IF(AwayTeam=AM$4,1)))</f>
        <v>0</v>
      </c>
      <c r="AN80" s="8">
        <f t="array" ref="AN80">COUNT(IF(Linemen1=$A80,IF(AwayTeam=AN$4,1)))+COUNT(IF(Linemen2=$A80,IF(AwayTeam=AN$4,1)))</f>
        <v>0</v>
      </c>
      <c r="AO80" s="8">
        <f t="array" ref="AO80">COUNT(IF(Linemen1=$A80,IF(AwayTeam=AO$4,1)))+COUNT(IF(Linemen2=$A80,IF(AwayTeam=AO$4,1)))</f>
        <v>0</v>
      </c>
      <c r="AP80" s="8">
        <f t="array" ref="AP80">COUNT(IF(Linemen1=$A80,IF(AwayTeam=AP$4,1)))+COUNT(IF(Linemen2=$A80,IF(AwayTeam=AP$4,1)))</f>
        <v>0</v>
      </c>
    </row>
    <row r="81" spans="1:42" x14ac:dyDescent="0.2">
      <c r="A81" s="8" t="str">
        <f>IF(Info!B16&lt;&gt;0,Info!B16,"")</f>
        <v>Diehr, Nikolaus</v>
      </c>
      <c r="B81" s="8">
        <f t="shared" si="1"/>
        <v>21</v>
      </c>
      <c r="C81" s="8">
        <f t="array" ref="C81">COUNT(IF(Linemen1=$A81,IF(HomeTeam=C$4,1)))+COUNT(IF(Linemen2=$A81,IF(HomeTeam=C$4,1)))</f>
        <v>2</v>
      </c>
      <c r="D81" s="8">
        <f t="array" ref="D81">COUNT(IF(Linemen1=$A81,IF(HomeTeam=D$4,1)))+COUNT(IF(Linemen2=$A81,IF(HomeTeam=D$4,1)))</f>
        <v>7</v>
      </c>
      <c r="E81" s="8">
        <f t="array" ref="E81">COUNT(IF(Linemen1=$A81,IF(HomeTeam=E$4,1)))+COUNT(IF(Linemen2=$A81,IF(HomeTeam=E$4,1)))</f>
        <v>1</v>
      </c>
      <c r="F81" s="8">
        <f t="array" ref="F81">COUNT(IF(Linemen1=$A81,IF(HomeTeam=F$4,1)))+COUNT(IF(Linemen2=$A81,IF(HomeTeam=F$4,1)))</f>
        <v>3</v>
      </c>
      <c r="G81" s="8">
        <f t="array" ref="G81">COUNT(IF(Linemen1=$A81,IF(HomeTeam=G$4,1)))+COUNT(IF(Linemen2=$A81,IF(HomeTeam=G$4,1)))</f>
        <v>0</v>
      </c>
      <c r="H81" s="8">
        <f t="array" ref="H81">COUNT(IF(Linemen1=$A81,IF(HomeTeam=H$4,1)))+COUNT(IF(Linemen2=$A81,IF(HomeTeam=H$4,1)))</f>
        <v>0</v>
      </c>
      <c r="I81" s="8">
        <f t="array" ref="I81">COUNT(IF(Linemen1=$A81,IF(HomeTeam=I$4,1)))+COUNT(IF(Linemen2=$A81,IF(HomeTeam=I$4,1)))</f>
        <v>3</v>
      </c>
      <c r="J81" s="8">
        <f t="array" ref="J81">COUNT(IF(Linemen1=$A81,IF(HomeTeam=J$4,1)))+COUNT(IF(Linemen2=$A81,IF(HomeTeam=J$4,1)))</f>
        <v>0</v>
      </c>
      <c r="K81" s="8">
        <f t="array" ref="K81">COUNT(IF(Linemen1=$A81,IF(HomeTeam=K$4,1)))+COUNT(IF(Linemen2=$A81,IF(HomeTeam=K$4,1)))</f>
        <v>3</v>
      </c>
      <c r="L81" s="8">
        <f t="array" ref="L81">COUNT(IF(Linemen1=$A81,IF(HomeTeam=L$4,1)))+COUNT(IF(Linemen2=$A81,IF(HomeTeam=L$4,1)))</f>
        <v>0</v>
      </c>
      <c r="M81" s="8">
        <f t="array" ref="M81">COUNT(IF(Linemen1=$A81,IF(HomeTeam=M$4,1)))+COUNT(IF(Linemen2=$A81,IF(HomeTeam=M$4,1)))</f>
        <v>1</v>
      </c>
      <c r="N81" s="8">
        <f t="array" ref="N81">COUNT(IF(Linemen1=$A81,IF(HomeTeam=N$4,1)))+COUNT(IF(Linemen2=$A81,IF(HomeTeam=N$4,1)))</f>
        <v>0</v>
      </c>
      <c r="O81" s="8">
        <f t="array" ref="O81">COUNT(IF(Linemen1=$A81,IF(HomeTeam=O$4,1)))+COUNT(IF(Linemen2=$A81,IF(HomeTeam=O$4,1)))</f>
        <v>0</v>
      </c>
      <c r="P81" s="8">
        <f t="array" ref="P81">COUNT(IF(Linemen1=$A81,IF(HomeTeam=P$4,1)))+COUNT(IF(Linemen2=$A81,IF(HomeTeam=P$4,1)))</f>
        <v>0</v>
      </c>
      <c r="Q81" s="8">
        <f t="array" ref="Q81">COUNT(IF(Linemen1=$A81,IF(HomeTeam=Q$4,1)))+COUNT(IF(Linemen2=$A81,IF(HomeTeam=Q$4,1)))</f>
        <v>0</v>
      </c>
      <c r="R81" s="8">
        <f t="array" ref="R81">COUNT(IF(Linemen1=$A81,IF(HomeTeam=R$4,1)))+COUNT(IF(Linemen2=$A81,IF(HomeTeam=R$4,1)))</f>
        <v>0</v>
      </c>
      <c r="S81" s="8">
        <f t="array" ref="S81">COUNT(IF(Linemen1=$A81,IF(HomeTeam=S$4,1)))+COUNT(IF(Linemen2=$A81,IF(HomeTeam=S$4,1)))</f>
        <v>1</v>
      </c>
      <c r="T81" s="8">
        <f t="array" ref="T81">COUNT(IF(Linemen1=$A81,IF(HomeTeam=T$4,1)))+COUNT(IF(Linemen2=$A81,IF(HomeTeam=T$4,1)))</f>
        <v>0</v>
      </c>
      <c r="U81" s="8">
        <f t="array" ref="U81">COUNT(IF(Linemen1=$A81,IF(HomeTeam=U$4,1)))+COUNT(IF(Linemen2=$A81,IF(HomeTeam=U$4,1)))</f>
        <v>0</v>
      </c>
      <c r="V81" s="8">
        <f t="array" ref="V81">COUNT(IF(Linemen1=$A81,IF(HomeTeam=V$4,1)))+COUNT(IF(Linemen2=$A81,IF(HomeTeam=V$4,1)))</f>
        <v>0</v>
      </c>
      <c r="W81" s="8">
        <f t="array" ref="W81">COUNT(IF(Linemen1=$A81,IF(AwayTeam=W$4,1)))+COUNT(IF(Linemen2=$A81,IF(AwayTeam=W$4,1)))</f>
        <v>5</v>
      </c>
      <c r="X81" s="8">
        <f t="array" ref="X81">COUNT(IF(Linemen1=$A81,IF(AwayTeam=X$4,1)))+COUNT(IF(Linemen2=$A81,IF(AwayTeam=X$4,1)))</f>
        <v>4</v>
      </c>
      <c r="Y81" s="8">
        <f t="array" ref="Y81">COUNT(IF(Linemen1=$A81,IF(AwayTeam=Y$4,1)))+COUNT(IF(Linemen2=$A81,IF(AwayTeam=Y$4,1)))</f>
        <v>1</v>
      </c>
      <c r="Z81" s="8">
        <f t="array" ref="Z81">COUNT(IF(Linemen1=$A81,IF(AwayTeam=Z$4,1)))+COUNT(IF(Linemen2=$A81,IF(AwayTeam=Z$4,1)))</f>
        <v>2</v>
      </c>
      <c r="AA81" s="8">
        <f t="array" ref="AA81">COUNT(IF(Linemen1=$A81,IF(AwayTeam=AA$4,1)))+COUNT(IF(Linemen2=$A81,IF(AwayTeam=AA$4,1)))</f>
        <v>2</v>
      </c>
      <c r="AB81" s="8">
        <f t="array" ref="AB81">COUNT(IF(Linemen1=$A81,IF(AwayTeam=AB$4,1)))+COUNT(IF(Linemen2=$A81,IF(AwayTeam=AB$4,1)))</f>
        <v>1</v>
      </c>
      <c r="AC81" s="8">
        <f t="array" ref="AC81">COUNT(IF(Linemen1=$A81,IF(AwayTeam=AC$4,1)))+COUNT(IF(Linemen2=$A81,IF(AwayTeam=AC$4,1)))</f>
        <v>1</v>
      </c>
      <c r="AD81" s="8">
        <f t="array" ref="AD81">COUNT(IF(Linemen1=$A81,IF(AwayTeam=AD$4,1)))+COUNT(IF(Linemen2=$A81,IF(AwayTeam=AD$4,1)))</f>
        <v>0</v>
      </c>
      <c r="AE81" s="8">
        <f t="array" ref="AE81">COUNT(IF(Linemen1=$A81,IF(AwayTeam=AE$4,1)))+COUNT(IF(Linemen2=$A81,IF(AwayTeam=AE$4,1)))</f>
        <v>0</v>
      </c>
      <c r="AF81" s="8">
        <f t="array" ref="AF81">COUNT(IF(Linemen1=$A81,IF(AwayTeam=AF$4,1)))+COUNT(IF(Linemen2=$A81,IF(AwayTeam=AF$4,1)))</f>
        <v>1</v>
      </c>
      <c r="AG81" s="8">
        <f t="array" ref="AG81">COUNT(IF(Linemen1=$A81,IF(AwayTeam=AG$4,1)))+COUNT(IF(Linemen2=$A81,IF(AwayTeam=AG$4,1)))</f>
        <v>0</v>
      </c>
      <c r="AH81" s="8">
        <f t="array" ref="AH81">COUNT(IF(Linemen1=$A81,IF(AwayTeam=AH$4,1)))+COUNT(IF(Linemen2=$A81,IF(AwayTeam=AH$4,1)))</f>
        <v>0</v>
      </c>
      <c r="AI81" s="8">
        <f t="array" ref="AI81">COUNT(IF(Linemen1=$A81,IF(AwayTeam=AI$4,1)))+COUNT(IF(Linemen2=$A81,IF(AwayTeam=AI$4,1)))</f>
        <v>0</v>
      </c>
      <c r="AJ81" s="8">
        <f t="array" ref="AJ81">COUNT(IF(Linemen1=$A81,IF(AwayTeam=AJ$4,1)))+COUNT(IF(Linemen2=$A81,IF(AwayTeam=AJ$4,1)))</f>
        <v>2</v>
      </c>
      <c r="AK81" s="8">
        <f t="array" ref="AK81">COUNT(IF(Linemen1=$A81,IF(AwayTeam=AK$4,1)))+COUNT(IF(Linemen2=$A81,IF(AwayTeam=AK$4,1)))</f>
        <v>2</v>
      </c>
      <c r="AL81" s="8">
        <f t="array" ref="AL81">COUNT(IF(Linemen1=$A81,IF(AwayTeam=AL$4,1)))+COUNT(IF(Linemen2=$A81,IF(AwayTeam=AL$4,1)))</f>
        <v>0</v>
      </c>
      <c r="AM81" s="8">
        <f t="array" ref="AM81">COUNT(IF(Linemen1=$A81,IF(AwayTeam=AM$4,1)))+COUNT(IF(Linemen2=$A81,IF(AwayTeam=AM$4,1)))</f>
        <v>0</v>
      </c>
      <c r="AN81" s="8">
        <f t="array" ref="AN81">COUNT(IF(Linemen1=$A81,IF(AwayTeam=AN$4,1)))+COUNT(IF(Linemen2=$A81,IF(AwayTeam=AN$4,1)))</f>
        <v>0</v>
      </c>
      <c r="AO81" s="8">
        <f t="array" ref="AO81">COUNT(IF(Linemen1=$A81,IF(AwayTeam=AO$4,1)))+COUNT(IF(Linemen2=$A81,IF(AwayTeam=AO$4,1)))</f>
        <v>0</v>
      </c>
      <c r="AP81" s="8">
        <f t="array" ref="AP81">COUNT(IF(Linemen1=$A81,IF(AwayTeam=AP$4,1)))+COUNT(IF(Linemen2=$A81,IF(AwayTeam=AP$4,1)))</f>
        <v>0</v>
      </c>
    </row>
    <row r="82" spans="1:42" x14ac:dyDescent="0.2">
      <c r="A82" s="8" t="str">
        <f>IF(Info!B17&lt;&gt;0,Info!B17,"")</f>
        <v>Dolan, Rhodes</v>
      </c>
      <c r="B82" s="8">
        <f t="shared" si="1"/>
        <v>2</v>
      </c>
      <c r="C82" s="8">
        <f t="array" ref="C82">COUNT(IF(Linemen1=$A82,IF(HomeTeam=C$4,1)))+COUNT(IF(Linemen2=$A82,IF(HomeTeam=C$4,1)))</f>
        <v>1</v>
      </c>
      <c r="D82" s="8">
        <f t="array" ref="D82">COUNT(IF(Linemen1=$A82,IF(HomeTeam=D$4,1)))+COUNT(IF(Linemen2=$A82,IF(HomeTeam=D$4,1)))</f>
        <v>0</v>
      </c>
      <c r="E82" s="8">
        <f t="array" ref="E82">COUNT(IF(Linemen1=$A82,IF(HomeTeam=E$4,1)))+COUNT(IF(Linemen2=$A82,IF(HomeTeam=E$4,1)))</f>
        <v>0</v>
      </c>
      <c r="F82" s="8">
        <f t="array" ref="F82">COUNT(IF(Linemen1=$A82,IF(HomeTeam=F$4,1)))+COUNT(IF(Linemen2=$A82,IF(HomeTeam=F$4,1)))</f>
        <v>0</v>
      </c>
      <c r="G82" s="8">
        <f t="array" ref="G82">COUNT(IF(Linemen1=$A82,IF(HomeTeam=G$4,1)))+COUNT(IF(Linemen2=$A82,IF(HomeTeam=G$4,1)))</f>
        <v>0</v>
      </c>
      <c r="H82" s="8">
        <f t="array" ref="H82">COUNT(IF(Linemen1=$A82,IF(HomeTeam=H$4,1)))+COUNT(IF(Linemen2=$A82,IF(HomeTeam=H$4,1)))</f>
        <v>0</v>
      </c>
      <c r="I82" s="8">
        <f t="array" ref="I82">COUNT(IF(Linemen1=$A82,IF(HomeTeam=I$4,1)))+COUNT(IF(Linemen2=$A82,IF(HomeTeam=I$4,1)))</f>
        <v>0</v>
      </c>
      <c r="J82" s="8">
        <f t="array" ref="J82">COUNT(IF(Linemen1=$A82,IF(HomeTeam=J$4,1)))+COUNT(IF(Linemen2=$A82,IF(HomeTeam=J$4,1)))</f>
        <v>0</v>
      </c>
      <c r="K82" s="8">
        <f t="array" ref="K82">COUNT(IF(Linemen1=$A82,IF(HomeTeam=K$4,1)))+COUNT(IF(Linemen2=$A82,IF(HomeTeam=K$4,1)))</f>
        <v>0</v>
      </c>
      <c r="L82" s="8">
        <f t="array" ref="L82">COUNT(IF(Linemen1=$A82,IF(HomeTeam=L$4,1)))+COUNT(IF(Linemen2=$A82,IF(HomeTeam=L$4,1)))</f>
        <v>0</v>
      </c>
      <c r="M82" s="8">
        <f t="array" ref="M82">COUNT(IF(Linemen1=$A82,IF(HomeTeam=M$4,1)))+COUNT(IF(Linemen2=$A82,IF(HomeTeam=M$4,1)))</f>
        <v>0</v>
      </c>
      <c r="N82" s="8">
        <f t="array" ref="N82">COUNT(IF(Linemen1=$A82,IF(HomeTeam=N$4,1)))+COUNT(IF(Linemen2=$A82,IF(HomeTeam=N$4,1)))</f>
        <v>0</v>
      </c>
      <c r="O82" s="8">
        <f t="array" ref="O82">COUNT(IF(Linemen1=$A82,IF(HomeTeam=O$4,1)))+COUNT(IF(Linemen2=$A82,IF(HomeTeam=O$4,1)))</f>
        <v>0</v>
      </c>
      <c r="P82" s="8">
        <f t="array" ref="P82">COUNT(IF(Linemen1=$A82,IF(HomeTeam=P$4,1)))+COUNT(IF(Linemen2=$A82,IF(HomeTeam=P$4,1)))</f>
        <v>0</v>
      </c>
      <c r="Q82" s="8">
        <f t="array" ref="Q82">COUNT(IF(Linemen1=$A82,IF(HomeTeam=Q$4,1)))+COUNT(IF(Linemen2=$A82,IF(HomeTeam=Q$4,1)))</f>
        <v>0</v>
      </c>
      <c r="R82" s="8">
        <f t="array" ref="R82">COUNT(IF(Linemen1=$A82,IF(HomeTeam=R$4,1)))+COUNT(IF(Linemen2=$A82,IF(HomeTeam=R$4,1)))</f>
        <v>1</v>
      </c>
      <c r="S82" s="8">
        <f t="array" ref="S82">COUNT(IF(Linemen1=$A82,IF(HomeTeam=S$4,1)))+COUNT(IF(Linemen2=$A82,IF(HomeTeam=S$4,1)))</f>
        <v>0</v>
      </c>
      <c r="T82" s="8">
        <f t="array" ref="T82">COUNT(IF(Linemen1=$A82,IF(HomeTeam=T$4,1)))+COUNT(IF(Linemen2=$A82,IF(HomeTeam=T$4,1)))</f>
        <v>0</v>
      </c>
      <c r="U82" s="8">
        <f t="array" ref="U82">COUNT(IF(Linemen1=$A82,IF(HomeTeam=U$4,1)))+COUNT(IF(Linemen2=$A82,IF(HomeTeam=U$4,1)))</f>
        <v>0</v>
      </c>
      <c r="V82" s="8">
        <f t="array" ref="V82">COUNT(IF(Linemen1=$A82,IF(HomeTeam=V$4,1)))+COUNT(IF(Linemen2=$A82,IF(HomeTeam=V$4,1)))</f>
        <v>0</v>
      </c>
      <c r="W82" s="8">
        <f t="array" ref="W82">COUNT(IF(Linemen1=$A82,IF(AwayTeam=W$4,1)))+COUNT(IF(Linemen2=$A82,IF(AwayTeam=W$4,1)))</f>
        <v>1</v>
      </c>
      <c r="X82" s="8">
        <f t="array" ref="X82">COUNT(IF(Linemen1=$A82,IF(AwayTeam=X$4,1)))+COUNT(IF(Linemen2=$A82,IF(AwayTeam=X$4,1)))</f>
        <v>0</v>
      </c>
      <c r="Y82" s="8">
        <f t="array" ref="Y82">COUNT(IF(Linemen1=$A82,IF(AwayTeam=Y$4,1)))+COUNT(IF(Linemen2=$A82,IF(AwayTeam=Y$4,1)))</f>
        <v>0</v>
      </c>
      <c r="Z82" s="8">
        <f t="array" ref="Z82">COUNT(IF(Linemen1=$A82,IF(AwayTeam=Z$4,1)))+COUNT(IF(Linemen2=$A82,IF(AwayTeam=Z$4,1)))</f>
        <v>0</v>
      </c>
      <c r="AA82" s="8">
        <f t="array" ref="AA82">COUNT(IF(Linemen1=$A82,IF(AwayTeam=AA$4,1)))+COUNT(IF(Linemen2=$A82,IF(AwayTeam=AA$4,1)))</f>
        <v>0</v>
      </c>
      <c r="AB82" s="8">
        <f t="array" ref="AB82">COUNT(IF(Linemen1=$A82,IF(AwayTeam=AB$4,1)))+COUNT(IF(Linemen2=$A82,IF(AwayTeam=AB$4,1)))</f>
        <v>0</v>
      </c>
      <c r="AC82" s="8">
        <f t="array" ref="AC82">COUNT(IF(Linemen1=$A82,IF(AwayTeam=AC$4,1)))+COUNT(IF(Linemen2=$A82,IF(AwayTeam=AC$4,1)))</f>
        <v>1</v>
      </c>
      <c r="AD82" s="8">
        <f t="array" ref="AD82">COUNT(IF(Linemen1=$A82,IF(AwayTeam=AD$4,1)))+COUNT(IF(Linemen2=$A82,IF(AwayTeam=AD$4,1)))</f>
        <v>0</v>
      </c>
      <c r="AE82" s="8">
        <f t="array" ref="AE82">COUNT(IF(Linemen1=$A82,IF(AwayTeam=AE$4,1)))+COUNT(IF(Linemen2=$A82,IF(AwayTeam=AE$4,1)))</f>
        <v>0</v>
      </c>
      <c r="AF82" s="8">
        <f t="array" ref="AF82">COUNT(IF(Linemen1=$A82,IF(AwayTeam=AF$4,1)))+COUNT(IF(Linemen2=$A82,IF(AwayTeam=AF$4,1)))</f>
        <v>0</v>
      </c>
      <c r="AG82" s="8">
        <f t="array" ref="AG82">COUNT(IF(Linemen1=$A82,IF(AwayTeam=AG$4,1)))+COUNT(IF(Linemen2=$A82,IF(AwayTeam=AG$4,1)))</f>
        <v>0</v>
      </c>
      <c r="AH82" s="8">
        <f t="array" ref="AH82">COUNT(IF(Linemen1=$A82,IF(AwayTeam=AH$4,1)))+COUNT(IF(Linemen2=$A82,IF(AwayTeam=AH$4,1)))</f>
        <v>0</v>
      </c>
      <c r="AI82" s="8">
        <f t="array" ref="AI82">COUNT(IF(Linemen1=$A82,IF(AwayTeam=AI$4,1)))+COUNT(IF(Linemen2=$A82,IF(AwayTeam=AI$4,1)))</f>
        <v>0</v>
      </c>
      <c r="AJ82" s="8">
        <f t="array" ref="AJ82">COUNT(IF(Linemen1=$A82,IF(AwayTeam=AJ$4,1)))+COUNT(IF(Linemen2=$A82,IF(AwayTeam=AJ$4,1)))</f>
        <v>0</v>
      </c>
      <c r="AK82" s="8">
        <f t="array" ref="AK82">COUNT(IF(Linemen1=$A82,IF(AwayTeam=AK$4,1)))+COUNT(IF(Linemen2=$A82,IF(AwayTeam=AK$4,1)))</f>
        <v>0</v>
      </c>
      <c r="AL82" s="8">
        <f t="array" ref="AL82">COUNT(IF(Linemen1=$A82,IF(AwayTeam=AL$4,1)))+COUNT(IF(Linemen2=$A82,IF(AwayTeam=AL$4,1)))</f>
        <v>0</v>
      </c>
      <c r="AM82" s="8">
        <f t="array" ref="AM82">COUNT(IF(Linemen1=$A82,IF(AwayTeam=AM$4,1)))+COUNT(IF(Linemen2=$A82,IF(AwayTeam=AM$4,1)))</f>
        <v>0</v>
      </c>
      <c r="AN82" s="8">
        <f t="array" ref="AN82">COUNT(IF(Linemen1=$A82,IF(AwayTeam=AN$4,1)))+COUNT(IF(Linemen2=$A82,IF(AwayTeam=AN$4,1)))</f>
        <v>0</v>
      </c>
      <c r="AO82" s="8">
        <f t="array" ref="AO82">COUNT(IF(Linemen1=$A82,IF(AwayTeam=AO$4,1)))+COUNT(IF(Linemen2=$A82,IF(AwayTeam=AO$4,1)))</f>
        <v>0</v>
      </c>
      <c r="AP82" s="8">
        <f t="array" ref="AP82">COUNT(IF(Linemen1=$A82,IF(AwayTeam=AP$4,1)))+COUNT(IF(Linemen2=$A82,IF(AwayTeam=AP$4,1)))</f>
        <v>0</v>
      </c>
    </row>
    <row r="83" spans="1:42" x14ac:dyDescent="0.2">
      <c r="A83" s="8" t="str">
        <f>IF(Info!B18&lt;&gt;0,Info!B18,"")</f>
        <v>Domin, Kyle</v>
      </c>
      <c r="B83" s="8">
        <f t="shared" si="1"/>
        <v>2</v>
      </c>
      <c r="C83" s="8">
        <f t="array" ref="C83">COUNT(IF(Linemen1=$A83,IF(HomeTeam=C$4,1)))+COUNT(IF(Linemen2=$A83,IF(HomeTeam=C$4,1)))</f>
        <v>1</v>
      </c>
      <c r="D83" s="8">
        <f t="array" ref="D83">COUNT(IF(Linemen1=$A83,IF(HomeTeam=D$4,1)))+COUNT(IF(Linemen2=$A83,IF(HomeTeam=D$4,1)))</f>
        <v>0</v>
      </c>
      <c r="E83" s="8">
        <f t="array" ref="E83">COUNT(IF(Linemen1=$A83,IF(HomeTeam=E$4,1)))+COUNT(IF(Linemen2=$A83,IF(HomeTeam=E$4,1)))</f>
        <v>0</v>
      </c>
      <c r="F83" s="8">
        <f t="array" ref="F83">COUNT(IF(Linemen1=$A83,IF(HomeTeam=F$4,1)))+COUNT(IF(Linemen2=$A83,IF(HomeTeam=F$4,1)))</f>
        <v>1</v>
      </c>
      <c r="G83" s="8">
        <f t="array" ref="G83">COUNT(IF(Linemen1=$A83,IF(HomeTeam=G$4,1)))+COUNT(IF(Linemen2=$A83,IF(HomeTeam=G$4,1)))</f>
        <v>0</v>
      </c>
      <c r="H83" s="8">
        <f t="array" ref="H83">COUNT(IF(Linemen1=$A83,IF(HomeTeam=H$4,1)))+COUNT(IF(Linemen2=$A83,IF(HomeTeam=H$4,1)))</f>
        <v>0</v>
      </c>
      <c r="I83" s="8">
        <f t="array" ref="I83">COUNT(IF(Linemen1=$A83,IF(HomeTeam=I$4,1)))+COUNT(IF(Linemen2=$A83,IF(HomeTeam=I$4,1)))</f>
        <v>0</v>
      </c>
      <c r="J83" s="8">
        <f t="array" ref="J83">COUNT(IF(Linemen1=$A83,IF(HomeTeam=J$4,1)))+COUNT(IF(Linemen2=$A83,IF(HomeTeam=J$4,1)))</f>
        <v>0</v>
      </c>
      <c r="K83" s="8">
        <f t="array" ref="K83">COUNT(IF(Linemen1=$A83,IF(HomeTeam=K$4,1)))+COUNT(IF(Linemen2=$A83,IF(HomeTeam=K$4,1)))</f>
        <v>0</v>
      </c>
      <c r="L83" s="8">
        <f t="array" ref="L83">COUNT(IF(Linemen1=$A83,IF(HomeTeam=L$4,1)))+COUNT(IF(Linemen2=$A83,IF(HomeTeam=L$4,1)))</f>
        <v>0</v>
      </c>
      <c r="M83" s="8">
        <f t="array" ref="M83">COUNT(IF(Linemen1=$A83,IF(HomeTeam=M$4,1)))+COUNT(IF(Linemen2=$A83,IF(HomeTeam=M$4,1)))</f>
        <v>0</v>
      </c>
      <c r="N83" s="8">
        <f t="array" ref="N83">COUNT(IF(Linemen1=$A83,IF(HomeTeam=N$4,1)))+COUNT(IF(Linemen2=$A83,IF(HomeTeam=N$4,1)))</f>
        <v>0</v>
      </c>
      <c r="O83" s="8">
        <f t="array" ref="O83">COUNT(IF(Linemen1=$A83,IF(HomeTeam=O$4,1)))+COUNT(IF(Linemen2=$A83,IF(HomeTeam=O$4,1)))</f>
        <v>0</v>
      </c>
      <c r="P83" s="8">
        <f t="array" ref="P83">COUNT(IF(Linemen1=$A83,IF(HomeTeam=P$4,1)))+COUNT(IF(Linemen2=$A83,IF(HomeTeam=P$4,1)))</f>
        <v>0</v>
      </c>
      <c r="Q83" s="8">
        <f t="array" ref="Q83">COUNT(IF(Linemen1=$A83,IF(HomeTeam=Q$4,1)))+COUNT(IF(Linemen2=$A83,IF(HomeTeam=Q$4,1)))</f>
        <v>0</v>
      </c>
      <c r="R83" s="8">
        <f t="array" ref="R83">COUNT(IF(Linemen1=$A83,IF(HomeTeam=R$4,1)))+COUNT(IF(Linemen2=$A83,IF(HomeTeam=R$4,1)))</f>
        <v>0</v>
      </c>
      <c r="S83" s="8">
        <f t="array" ref="S83">COUNT(IF(Linemen1=$A83,IF(HomeTeam=S$4,1)))+COUNT(IF(Linemen2=$A83,IF(HomeTeam=S$4,1)))</f>
        <v>0</v>
      </c>
      <c r="T83" s="8">
        <f t="array" ref="T83">COUNT(IF(Linemen1=$A83,IF(HomeTeam=T$4,1)))+COUNT(IF(Linemen2=$A83,IF(HomeTeam=T$4,1)))</f>
        <v>0</v>
      </c>
      <c r="U83" s="8">
        <f t="array" ref="U83">COUNT(IF(Linemen1=$A83,IF(HomeTeam=U$4,1)))+COUNT(IF(Linemen2=$A83,IF(HomeTeam=U$4,1)))</f>
        <v>0</v>
      </c>
      <c r="V83" s="8">
        <f t="array" ref="V83">COUNT(IF(Linemen1=$A83,IF(HomeTeam=V$4,1)))+COUNT(IF(Linemen2=$A83,IF(HomeTeam=V$4,1)))</f>
        <v>0</v>
      </c>
      <c r="W83" s="8">
        <f t="array" ref="W83">COUNT(IF(Linemen1=$A83,IF(AwayTeam=W$4,1)))+COUNT(IF(Linemen2=$A83,IF(AwayTeam=W$4,1)))</f>
        <v>0</v>
      </c>
      <c r="X83" s="8">
        <f t="array" ref="X83">COUNT(IF(Linemen1=$A83,IF(AwayTeam=X$4,1)))+COUNT(IF(Linemen2=$A83,IF(AwayTeam=X$4,1)))</f>
        <v>0</v>
      </c>
      <c r="Y83" s="8">
        <f t="array" ref="Y83">COUNT(IF(Linemen1=$A83,IF(AwayTeam=Y$4,1)))+COUNT(IF(Linemen2=$A83,IF(AwayTeam=Y$4,1)))</f>
        <v>0</v>
      </c>
      <c r="Z83" s="8">
        <f t="array" ref="Z83">COUNT(IF(Linemen1=$A83,IF(AwayTeam=Z$4,1)))+COUNT(IF(Linemen2=$A83,IF(AwayTeam=Z$4,1)))</f>
        <v>0</v>
      </c>
      <c r="AA83" s="8">
        <f t="array" ref="AA83">COUNT(IF(Linemen1=$A83,IF(AwayTeam=AA$4,1)))+COUNT(IF(Linemen2=$A83,IF(AwayTeam=AA$4,1)))</f>
        <v>0</v>
      </c>
      <c r="AB83" s="8">
        <f t="array" ref="AB83">COUNT(IF(Linemen1=$A83,IF(AwayTeam=AB$4,1)))+COUNT(IF(Linemen2=$A83,IF(AwayTeam=AB$4,1)))</f>
        <v>0</v>
      </c>
      <c r="AC83" s="8">
        <f t="array" ref="AC83">COUNT(IF(Linemen1=$A83,IF(AwayTeam=AC$4,1)))+COUNT(IF(Linemen2=$A83,IF(AwayTeam=AC$4,1)))</f>
        <v>1</v>
      </c>
      <c r="AD83" s="8">
        <f t="array" ref="AD83">COUNT(IF(Linemen1=$A83,IF(AwayTeam=AD$4,1)))+COUNT(IF(Linemen2=$A83,IF(AwayTeam=AD$4,1)))</f>
        <v>0</v>
      </c>
      <c r="AE83" s="8">
        <f t="array" ref="AE83">COUNT(IF(Linemen1=$A83,IF(AwayTeam=AE$4,1)))+COUNT(IF(Linemen2=$A83,IF(AwayTeam=AE$4,1)))</f>
        <v>0</v>
      </c>
      <c r="AF83" s="8">
        <f t="array" ref="AF83">COUNT(IF(Linemen1=$A83,IF(AwayTeam=AF$4,1)))+COUNT(IF(Linemen2=$A83,IF(AwayTeam=AF$4,1)))</f>
        <v>0</v>
      </c>
      <c r="AG83" s="8">
        <f t="array" ref="AG83">COUNT(IF(Linemen1=$A83,IF(AwayTeam=AG$4,1)))+COUNT(IF(Linemen2=$A83,IF(AwayTeam=AG$4,1)))</f>
        <v>0</v>
      </c>
      <c r="AH83" s="8">
        <f t="array" ref="AH83">COUNT(IF(Linemen1=$A83,IF(AwayTeam=AH$4,1)))+COUNT(IF(Linemen2=$A83,IF(AwayTeam=AH$4,1)))</f>
        <v>1</v>
      </c>
      <c r="AI83" s="8">
        <f t="array" ref="AI83">COUNT(IF(Linemen1=$A83,IF(AwayTeam=AI$4,1)))+COUNT(IF(Linemen2=$A83,IF(AwayTeam=AI$4,1)))</f>
        <v>0</v>
      </c>
      <c r="AJ83" s="8">
        <f t="array" ref="AJ83">COUNT(IF(Linemen1=$A83,IF(AwayTeam=AJ$4,1)))+COUNT(IF(Linemen2=$A83,IF(AwayTeam=AJ$4,1)))</f>
        <v>0</v>
      </c>
      <c r="AK83" s="8">
        <f t="array" ref="AK83">COUNT(IF(Linemen1=$A83,IF(AwayTeam=AK$4,1)))+COUNT(IF(Linemen2=$A83,IF(AwayTeam=AK$4,1)))</f>
        <v>0</v>
      </c>
      <c r="AL83" s="8">
        <f t="array" ref="AL83">COUNT(IF(Linemen1=$A83,IF(AwayTeam=AL$4,1)))+COUNT(IF(Linemen2=$A83,IF(AwayTeam=AL$4,1)))</f>
        <v>0</v>
      </c>
      <c r="AM83" s="8">
        <f t="array" ref="AM83">COUNT(IF(Linemen1=$A83,IF(AwayTeam=AM$4,1)))+COUNT(IF(Linemen2=$A83,IF(AwayTeam=AM$4,1)))</f>
        <v>0</v>
      </c>
      <c r="AN83" s="8">
        <f t="array" ref="AN83">COUNT(IF(Linemen1=$A83,IF(AwayTeam=AN$4,1)))+COUNT(IF(Linemen2=$A83,IF(AwayTeam=AN$4,1)))</f>
        <v>0</v>
      </c>
      <c r="AO83" s="8">
        <f t="array" ref="AO83">COUNT(IF(Linemen1=$A83,IF(AwayTeam=AO$4,1)))+COUNT(IF(Linemen2=$A83,IF(AwayTeam=AO$4,1)))</f>
        <v>0</v>
      </c>
      <c r="AP83" s="8">
        <f t="array" ref="AP83">COUNT(IF(Linemen1=$A83,IF(AwayTeam=AP$4,1)))+COUNT(IF(Linemen2=$A83,IF(AwayTeam=AP$4,1)))</f>
        <v>0</v>
      </c>
    </row>
    <row r="84" spans="1:42" x14ac:dyDescent="0.2">
      <c r="A84" s="8" t="str">
        <f>IF(Info!B19&lt;&gt;0,Info!B19,"")</f>
        <v>Dykstra, Cameron</v>
      </c>
      <c r="B84" s="8">
        <f t="shared" si="1"/>
        <v>16</v>
      </c>
      <c r="C84" s="8">
        <f t="array" ref="C84">COUNT(IF(Linemen1=$A84,IF(HomeTeam=C$4,1)))+COUNT(IF(Linemen2=$A84,IF(HomeTeam=C$4,1)))</f>
        <v>2</v>
      </c>
      <c r="D84" s="8">
        <f t="array" ref="D84">COUNT(IF(Linemen1=$A84,IF(HomeTeam=D$4,1)))+COUNT(IF(Linemen2=$A84,IF(HomeTeam=D$4,1)))</f>
        <v>1</v>
      </c>
      <c r="E84" s="8">
        <f t="array" ref="E84">COUNT(IF(Linemen1=$A84,IF(HomeTeam=E$4,1)))+COUNT(IF(Linemen2=$A84,IF(HomeTeam=E$4,1)))</f>
        <v>0</v>
      </c>
      <c r="F84" s="8">
        <f t="array" ref="F84">COUNT(IF(Linemen1=$A84,IF(HomeTeam=F$4,1)))+COUNT(IF(Linemen2=$A84,IF(HomeTeam=F$4,1)))</f>
        <v>8</v>
      </c>
      <c r="G84" s="8">
        <f t="array" ref="G84">COUNT(IF(Linemen1=$A84,IF(HomeTeam=G$4,1)))+COUNT(IF(Linemen2=$A84,IF(HomeTeam=G$4,1)))</f>
        <v>1</v>
      </c>
      <c r="H84" s="8">
        <f t="array" ref="H84">COUNT(IF(Linemen1=$A84,IF(HomeTeam=H$4,1)))+COUNT(IF(Linemen2=$A84,IF(HomeTeam=H$4,1)))</f>
        <v>0</v>
      </c>
      <c r="I84" s="8">
        <f t="array" ref="I84">COUNT(IF(Linemen1=$A84,IF(HomeTeam=I$4,1)))+COUNT(IF(Linemen2=$A84,IF(HomeTeam=I$4,1)))</f>
        <v>0</v>
      </c>
      <c r="J84" s="8">
        <f t="array" ref="J84">COUNT(IF(Linemen1=$A84,IF(HomeTeam=J$4,1)))+COUNT(IF(Linemen2=$A84,IF(HomeTeam=J$4,1)))</f>
        <v>0</v>
      </c>
      <c r="K84" s="8">
        <f t="array" ref="K84">COUNT(IF(Linemen1=$A84,IF(HomeTeam=K$4,1)))+COUNT(IF(Linemen2=$A84,IF(HomeTeam=K$4,1)))</f>
        <v>0</v>
      </c>
      <c r="L84" s="8">
        <f t="array" ref="L84">COUNT(IF(Linemen1=$A84,IF(HomeTeam=L$4,1)))+COUNT(IF(Linemen2=$A84,IF(HomeTeam=L$4,1)))</f>
        <v>0</v>
      </c>
      <c r="M84" s="8">
        <f t="array" ref="M84">COUNT(IF(Linemen1=$A84,IF(HomeTeam=M$4,1)))+COUNT(IF(Linemen2=$A84,IF(HomeTeam=M$4,1)))</f>
        <v>0</v>
      </c>
      <c r="N84" s="8">
        <f t="array" ref="N84">COUNT(IF(Linemen1=$A84,IF(HomeTeam=N$4,1)))+COUNT(IF(Linemen2=$A84,IF(HomeTeam=N$4,1)))</f>
        <v>2</v>
      </c>
      <c r="O84" s="8">
        <f t="array" ref="O84">COUNT(IF(Linemen1=$A84,IF(HomeTeam=O$4,1)))+COUNT(IF(Linemen2=$A84,IF(HomeTeam=O$4,1)))</f>
        <v>1</v>
      </c>
      <c r="P84" s="8">
        <f t="array" ref="P84">COUNT(IF(Linemen1=$A84,IF(HomeTeam=P$4,1)))+COUNT(IF(Linemen2=$A84,IF(HomeTeam=P$4,1)))</f>
        <v>0</v>
      </c>
      <c r="Q84" s="8">
        <f t="array" ref="Q84">COUNT(IF(Linemen1=$A84,IF(HomeTeam=Q$4,1)))+COUNT(IF(Linemen2=$A84,IF(HomeTeam=Q$4,1)))</f>
        <v>0</v>
      </c>
      <c r="R84" s="8">
        <f t="array" ref="R84">COUNT(IF(Linemen1=$A84,IF(HomeTeam=R$4,1)))+COUNT(IF(Linemen2=$A84,IF(HomeTeam=R$4,1)))</f>
        <v>1</v>
      </c>
      <c r="S84" s="8">
        <f t="array" ref="S84">COUNT(IF(Linemen1=$A84,IF(HomeTeam=S$4,1)))+COUNT(IF(Linemen2=$A84,IF(HomeTeam=S$4,1)))</f>
        <v>0</v>
      </c>
      <c r="T84" s="8">
        <f t="array" ref="T84">COUNT(IF(Linemen1=$A84,IF(HomeTeam=T$4,1)))+COUNT(IF(Linemen2=$A84,IF(HomeTeam=T$4,1)))</f>
        <v>0</v>
      </c>
      <c r="U84" s="8">
        <f t="array" ref="U84">COUNT(IF(Linemen1=$A84,IF(HomeTeam=U$4,1)))+COUNT(IF(Linemen2=$A84,IF(HomeTeam=U$4,1)))</f>
        <v>0</v>
      </c>
      <c r="V84" s="8">
        <f t="array" ref="V84">COUNT(IF(Linemen1=$A84,IF(HomeTeam=V$4,1)))+COUNT(IF(Linemen2=$A84,IF(HomeTeam=V$4,1)))</f>
        <v>0</v>
      </c>
      <c r="W84" s="8">
        <f t="array" ref="W84">COUNT(IF(Linemen1=$A84,IF(AwayTeam=W$4,1)))+COUNT(IF(Linemen2=$A84,IF(AwayTeam=W$4,1)))</f>
        <v>2</v>
      </c>
      <c r="X84" s="8">
        <f t="array" ref="X84">COUNT(IF(Linemen1=$A84,IF(AwayTeam=X$4,1)))+COUNT(IF(Linemen2=$A84,IF(AwayTeam=X$4,1)))</f>
        <v>1</v>
      </c>
      <c r="Y84" s="8">
        <f t="array" ref="Y84">COUNT(IF(Linemen1=$A84,IF(AwayTeam=Y$4,1)))+COUNT(IF(Linemen2=$A84,IF(AwayTeam=Y$4,1)))</f>
        <v>0</v>
      </c>
      <c r="Z84" s="8">
        <f t="array" ref="Z84">COUNT(IF(Linemen1=$A84,IF(AwayTeam=Z$4,1)))+COUNT(IF(Linemen2=$A84,IF(AwayTeam=Z$4,1)))</f>
        <v>2</v>
      </c>
      <c r="AA84" s="8">
        <f t="array" ref="AA84">COUNT(IF(Linemen1=$A84,IF(AwayTeam=AA$4,1)))+COUNT(IF(Linemen2=$A84,IF(AwayTeam=AA$4,1)))</f>
        <v>1</v>
      </c>
      <c r="AB84" s="8">
        <f t="array" ref="AB84">COUNT(IF(Linemen1=$A84,IF(AwayTeam=AB$4,1)))+COUNT(IF(Linemen2=$A84,IF(AwayTeam=AB$4,1)))</f>
        <v>0</v>
      </c>
      <c r="AC84" s="8">
        <f t="array" ref="AC84">COUNT(IF(Linemen1=$A84,IF(AwayTeam=AC$4,1)))+COUNT(IF(Linemen2=$A84,IF(AwayTeam=AC$4,1)))</f>
        <v>0</v>
      </c>
      <c r="AD84" s="8">
        <f t="array" ref="AD84">COUNT(IF(Linemen1=$A84,IF(AwayTeam=AD$4,1)))+COUNT(IF(Linemen2=$A84,IF(AwayTeam=AD$4,1)))</f>
        <v>1</v>
      </c>
      <c r="AE84" s="8">
        <f t="array" ref="AE84">COUNT(IF(Linemen1=$A84,IF(AwayTeam=AE$4,1)))+COUNT(IF(Linemen2=$A84,IF(AwayTeam=AE$4,1)))</f>
        <v>0</v>
      </c>
      <c r="AF84" s="8">
        <f t="array" ref="AF84">COUNT(IF(Linemen1=$A84,IF(AwayTeam=AF$4,1)))+COUNT(IF(Linemen2=$A84,IF(AwayTeam=AF$4,1)))</f>
        <v>0</v>
      </c>
      <c r="AG84" s="8">
        <f t="array" ref="AG84">COUNT(IF(Linemen1=$A84,IF(AwayTeam=AG$4,1)))+COUNT(IF(Linemen2=$A84,IF(AwayTeam=AG$4,1)))</f>
        <v>1</v>
      </c>
      <c r="AH84" s="8">
        <f t="array" ref="AH84">COUNT(IF(Linemen1=$A84,IF(AwayTeam=AH$4,1)))+COUNT(IF(Linemen2=$A84,IF(AwayTeam=AH$4,1)))</f>
        <v>0</v>
      </c>
      <c r="AI84" s="8">
        <f t="array" ref="AI84">COUNT(IF(Linemen1=$A84,IF(AwayTeam=AI$4,1)))+COUNT(IF(Linemen2=$A84,IF(AwayTeam=AI$4,1)))</f>
        <v>3</v>
      </c>
      <c r="AJ84" s="8">
        <f t="array" ref="AJ84">COUNT(IF(Linemen1=$A84,IF(AwayTeam=AJ$4,1)))+COUNT(IF(Linemen2=$A84,IF(AwayTeam=AJ$4,1)))</f>
        <v>0</v>
      </c>
      <c r="AK84" s="8">
        <f t="array" ref="AK84">COUNT(IF(Linemen1=$A84,IF(AwayTeam=AK$4,1)))+COUNT(IF(Linemen2=$A84,IF(AwayTeam=AK$4,1)))</f>
        <v>3</v>
      </c>
      <c r="AL84" s="8">
        <f t="array" ref="AL84">COUNT(IF(Linemen1=$A84,IF(AwayTeam=AL$4,1)))+COUNT(IF(Linemen2=$A84,IF(AwayTeam=AL$4,1)))</f>
        <v>2</v>
      </c>
      <c r="AM84" s="8">
        <f t="array" ref="AM84">COUNT(IF(Linemen1=$A84,IF(AwayTeam=AM$4,1)))+COUNT(IF(Linemen2=$A84,IF(AwayTeam=AM$4,1)))</f>
        <v>0</v>
      </c>
      <c r="AN84" s="8">
        <f t="array" ref="AN84">COUNT(IF(Linemen1=$A84,IF(AwayTeam=AN$4,1)))+COUNT(IF(Linemen2=$A84,IF(AwayTeam=AN$4,1)))</f>
        <v>0</v>
      </c>
      <c r="AO84" s="8">
        <f t="array" ref="AO84">COUNT(IF(Linemen1=$A84,IF(AwayTeam=AO$4,1)))+COUNT(IF(Linemen2=$A84,IF(AwayTeam=AO$4,1)))</f>
        <v>0</v>
      </c>
      <c r="AP84" s="8">
        <f t="array" ref="AP84">COUNT(IF(Linemen1=$A84,IF(AwayTeam=AP$4,1)))+COUNT(IF(Linemen2=$A84,IF(AwayTeam=AP$4,1)))</f>
        <v>0</v>
      </c>
    </row>
    <row r="85" spans="1:42" x14ac:dyDescent="0.2">
      <c r="A85" s="8" t="str">
        <f>IF(Info!B20&lt;&gt;0,Info!B20,"")</f>
        <v>Faron, Richard</v>
      </c>
      <c r="B85" s="8">
        <f t="shared" si="1"/>
        <v>4</v>
      </c>
      <c r="C85" s="8">
        <f t="array" ref="C85">COUNT(IF(Linemen1=$A85,IF(HomeTeam=C$4,1)))+COUNT(IF(Linemen2=$A85,IF(HomeTeam=C$4,1)))</f>
        <v>0</v>
      </c>
      <c r="D85" s="8">
        <f t="array" ref="D85">COUNT(IF(Linemen1=$A85,IF(HomeTeam=D$4,1)))+COUNT(IF(Linemen2=$A85,IF(HomeTeam=D$4,1)))</f>
        <v>1</v>
      </c>
      <c r="E85" s="8">
        <f t="array" ref="E85">COUNT(IF(Linemen1=$A85,IF(HomeTeam=E$4,1)))+COUNT(IF(Linemen2=$A85,IF(HomeTeam=E$4,1)))</f>
        <v>0</v>
      </c>
      <c r="F85" s="8">
        <f t="array" ref="F85">COUNT(IF(Linemen1=$A85,IF(HomeTeam=F$4,1)))+COUNT(IF(Linemen2=$A85,IF(HomeTeam=F$4,1)))</f>
        <v>0</v>
      </c>
      <c r="G85" s="8">
        <f t="array" ref="G85">COUNT(IF(Linemen1=$A85,IF(HomeTeam=G$4,1)))+COUNT(IF(Linemen2=$A85,IF(HomeTeam=G$4,1)))</f>
        <v>0</v>
      </c>
      <c r="H85" s="8">
        <f t="array" ref="H85">COUNT(IF(Linemen1=$A85,IF(HomeTeam=H$4,1)))+COUNT(IF(Linemen2=$A85,IF(HomeTeam=H$4,1)))</f>
        <v>0</v>
      </c>
      <c r="I85" s="8">
        <f t="array" ref="I85">COUNT(IF(Linemen1=$A85,IF(HomeTeam=I$4,1)))+COUNT(IF(Linemen2=$A85,IF(HomeTeam=I$4,1)))</f>
        <v>2</v>
      </c>
      <c r="J85" s="8">
        <f t="array" ref="J85">COUNT(IF(Linemen1=$A85,IF(HomeTeam=J$4,1)))+COUNT(IF(Linemen2=$A85,IF(HomeTeam=J$4,1)))</f>
        <v>0</v>
      </c>
      <c r="K85" s="8">
        <f t="array" ref="K85">COUNT(IF(Linemen1=$A85,IF(HomeTeam=K$4,1)))+COUNT(IF(Linemen2=$A85,IF(HomeTeam=K$4,1)))</f>
        <v>1</v>
      </c>
      <c r="L85" s="8">
        <f t="array" ref="L85">COUNT(IF(Linemen1=$A85,IF(HomeTeam=L$4,1)))+COUNT(IF(Linemen2=$A85,IF(HomeTeam=L$4,1)))</f>
        <v>0</v>
      </c>
      <c r="M85" s="8">
        <f t="array" ref="M85">COUNT(IF(Linemen1=$A85,IF(HomeTeam=M$4,1)))+COUNT(IF(Linemen2=$A85,IF(HomeTeam=M$4,1)))</f>
        <v>0</v>
      </c>
      <c r="N85" s="8">
        <f t="array" ref="N85">COUNT(IF(Linemen1=$A85,IF(HomeTeam=N$4,1)))+COUNT(IF(Linemen2=$A85,IF(HomeTeam=N$4,1)))</f>
        <v>0</v>
      </c>
      <c r="O85" s="8">
        <f t="array" ref="O85">COUNT(IF(Linemen1=$A85,IF(HomeTeam=O$4,1)))+COUNT(IF(Linemen2=$A85,IF(HomeTeam=O$4,1)))</f>
        <v>0</v>
      </c>
      <c r="P85" s="8">
        <f t="array" ref="P85">COUNT(IF(Linemen1=$A85,IF(HomeTeam=P$4,1)))+COUNT(IF(Linemen2=$A85,IF(HomeTeam=P$4,1)))</f>
        <v>0</v>
      </c>
      <c r="Q85" s="8">
        <f t="array" ref="Q85">COUNT(IF(Linemen1=$A85,IF(HomeTeam=Q$4,1)))+COUNT(IF(Linemen2=$A85,IF(HomeTeam=Q$4,1)))</f>
        <v>0</v>
      </c>
      <c r="R85" s="8">
        <f t="array" ref="R85">COUNT(IF(Linemen1=$A85,IF(HomeTeam=R$4,1)))+COUNT(IF(Linemen2=$A85,IF(HomeTeam=R$4,1)))</f>
        <v>0</v>
      </c>
      <c r="S85" s="8">
        <f t="array" ref="S85">COUNT(IF(Linemen1=$A85,IF(HomeTeam=S$4,1)))+COUNT(IF(Linemen2=$A85,IF(HomeTeam=S$4,1)))</f>
        <v>0</v>
      </c>
      <c r="T85" s="8">
        <f t="array" ref="T85">COUNT(IF(Linemen1=$A85,IF(HomeTeam=T$4,1)))+COUNT(IF(Linemen2=$A85,IF(HomeTeam=T$4,1)))</f>
        <v>0</v>
      </c>
      <c r="U85" s="8">
        <f t="array" ref="U85">COUNT(IF(Linemen1=$A85,IF(HomeTeam=U$4,1)))+COUNT(IF(Linemen2=$A85,IF(HomeTeam=U$4,1)))</f>
        <v>0</v>
      </c>
      <c r="V85" s="8">
        <f t="array" ref="V85">COUNT(IF(Linemen1=$A85,IF(HomeTeam=V$4,1)))+COUNT(IF(Linemen2=$A85,IF(HomeTeam=V$4,1)))</f>
        <v>0</v>
      </c>
      <c r="W85" s="8">
        <f t="array" ref="W85">COUNT(IF(Linemen1=$A85,IF(AwayTeam=W$4,1)))+COUNT(IF(Linemen2=$A85,IF(AwayTeam=W$4,1)))</f>
        <v>1</v>
      </c>
      <c r="X85" s="8">
        <f t="array" ref="X85">COUNT(IF(Linemen1=$A85,IF(AwayTeam=X$4,1)))+COUNT(IF(Linemen2=$A85,IF(AwayTeam=X$4,1)))</f>
        <v>2</v>
      </c>
      <c r="Y85" s="8">
        <f t="array" ref="Y85">COUNT(IF(Linemen1=$A85,IF(AwayTeam=Y$4,1)))+COUNT(IF(Linemen2=$A85,IF(AwayTeam=Y$4,1)))</f>
        <v>1</v>
      </c>
      <c r="Z85" s="8">
        <f t="array" ref="Z85">COUNT(IF(Linemen1=$A85,IF(AwayTeam=Z$4,1)))+COUNT(IF(Linemen2=$A85,IF(AwayTeam=Z$4,1)))</f>
        <v>0</v>
      </c>
      <c r="AA85" s="8">
        <f t="array" ref="AA85">COUNT(IF(Linemen1=$A85,IF(AwayTeam=AA$4,1)))+COUNT(IF(Linemen2=$A85,IF(AwayTeam=AA$4,1)))</f>
        <v>0</v>
      </c>
      <c r="AB85" s="8">
        <f t="array" ref="AB85">COUNT(IF(Linemen1=$A85,IF(AwayTeam=AB$4,1)))+COUNT(IF(Linemen2=$A85,IF(AwayTeam=AB$4,1)))</f>
        <v>0</v>
      </c>
      <c r="AC85" s="8">
        <f t="array" ref="AC85">COUNT(IF(Linemen1=$A85,IF(AwayTeam=AC$4,1)))+COUNT(IF(Linemen2=$A85,IF(AwayTeam=AC$4,1)))</f>
        <v>0</v>
      </c>
      <c r="AD85" s="8">
        <f t="array" ref="AD85">COUNT(IF(Linemen1=$A85,IF(AwayTeam=AD$4,1)))+COUNT(IF(Linemen2=$A85,IF(AwayTeam=AD$4,1)))</f>
        <v>0</v>
      </c>
      <c r="AE85" s="8">
        <f t="array" ref="AE85">COUNT(IF(Linemen1=$A85,IF(AwayTeam=AE$4,1)))+COUNT(IF(Linemen2=$A85,IF(AwayTeam=AE$4,1)))</f>
        <v>0</v>
      </c>
      <c r="AF85" s="8">
        <f t="array" ref="AF85">COUNT(IF(Linemen1=$A85,IF(AwayTeam=AF$4,1)))+COUNT(IF(Linemen2=$A85,IF(AwayTeam=AF$4,1)))</f>
        <v>0</v>
      </c>
      <c r="AG85" s="8">
        <f t="array" ref="AG85">COUNT(IF(Linemen1=$A85,IF(AwayTeam=AG$4,1)))+COUNT(IF(Linemen2=$A85,IF(AwayTeam=AG$4,1)))</f>
        <v>0</v>
      </c>
      <c r="AH85" s="8">
        <f t="array" ref="AH85">COUNT(IF(Linemen1=$A85,IF(AwayTeam=AH$4,1)))+COUNT(IF(Linemen2=$A85,IF(AwayTeam=AH$4,1)))</f>
        <v>0</v>
      </c>
      <c r="AI85" s="8">
        <f t="array" ref="AI85">COUNT(IF(Linemen1=$A85,IF(AwayTeam=AI$4,1)))+COUNT(IF(Linemen2=$A85,IF(AwayTeam=AI$4,1)))</f>
        <v>0</v>
      </c>
      <c r="AJ85" s="8">
        <f t="array" ref="AJ85">COUNT(IF(Linemen1=$A85,IF(AwayTeam=AJ$4,1)))+COUNT(IF(Linemen2=$A85,IF(AwayTeam=AJ$4,1)))</f>
        <v>0</v>
      </c>
      <c r="AK85" s="8">
        <f t="array" ref="AK85">COUNT(IF(Linemen1=$A85,IF(AwayTeam=AK$4,1)))+COUNT(IF(Linemen2=$A85,IF(AwayTeam=AK$4,1)))</f>
        <v>0</v>
      </c>
      <c r="AL85" s="8">
        <f t="array" ref="AL85">COUNT(IF(Linemen1=$A85,IF(AwayTeam=AL$4,1)))+COUNT(IF(Linemen2=$A85,IF(AwayTeam=AL$4,1)))</f>
        <v>0</v>
      </c>
      <c r="AM85" s="8">
        <f t="array" ref="AM85">COUNT(IF(Linemen1=$A85,IF(AwayTeam=AM$4,1)))+COUNT(IF(Linemen2=$A85,IF(AwayTeam=AM$4,1)))</f>
        <v>0</v>
      </c>
      <c r="AN85" s="8">
        <f t="array" ref="AN85">COUNT(IF(Linemen1=$A85,IF(AwayTeam=AN$4,1)))+COUNT(IF(Linemen2=$A85,IF(AwayTeam=AN$4,1)))</f>
        <v>0</v>
      </c>
      <c r="AO85" s="8">
        <f t="array" ref="AO85">COUNT(IF(Linemen1=$A85,IF(AwayTeam=AO$4,1)))+COUNT(IF(Linemen2=$A85,IF(AwayTeam=AO$4,1)))</f>
        <v>0</v>
      </c>
      <c r="AP85" s="8">
        <f t="array" ref="AP85">COUNT(IF(Linemen1=$A85,IF(AwayTeam=AP$4,1)))+COUNT(IF(Linemen2=$A85,IF(AwayTeam=AP$4,1)))</f>
        <v>0</v>
      </c>
    </row>
    <row r="86" spans="1:42" x14ac:dyDescent="0.2">
      <c r="A86" s="8" t="str">
        <f>IF(Info!B21&lt;&gt;0,Info!B21,"")</f>
        <v>Fuller, Chad</v>
      </c>
      <c r="B86" s="8">
        <f t="shared" si="1"/>
        <v>20</v>
      </c>
      <c r="C86" s="8">
        <f t="array" ref="C86">COUNT(IF(Linemen1=$A86,IF(HomeTeam=C$4,1)))+COUNT(IF(Linemen2=$A86,IF(HomeTeam=C$4,1)))</f>
        <v>0</v>
      </c>
      <c r="D86" s="8">
        <f t="array" ref="D86">COUNT(IF(Linemen1=$A86,IF(HomeTeam=D$4,1)))+COUNT(IF(Linemen2=$A86,IF(HomeTeam=D$4,1)))</f>
        <v>7</v>
      </c>
      <c r="E86" s="8">
        <f t="array" ref="E86">COUNT(IF(Linemen1=$A86,IF(HomeTeam=E$4,1)))+COUNT(IF(Linemen2=$A86,IF(HomeTeam=E$4,1)))</f>
        <v>1</v>
      </c>
      <c r="F86" s="8">
        <f t="array" ref="F86">COUNT(IF(Linemen1=$A86,IF(HomeTeam=F$4,1)))+COUNT(IF(Linemen2=$A86,IF(HomeTeam=F$4,1)))</f>
        <v>2</v>
      </c>
      <c r="G86" s="8">
        <f t="array" ref="G86">COUNT(IF(Linemen1=$A86,IF(HomeTeam=G$4,1)))+COUNT(IF(Linemen2=$A86,IF(HomeTeam=G$4,1)))</f>
        <v>1</v>
      </c>
      <c r="H86" s="8">
        <f t="array" ref="H86">COUNT(IF(Linemen1=$A86,IF(HomeTeam=H$4,1)))+COUNT(IF(Linemen2=$A86,IF(HomeTeam=H$4,1)))</f>
        <v>0</v>
      </c>
      <c r="I86" s="8">
        <f t="array" ref="I86">COUNT(IF(Linemen1=$A86,IF(HomeTeam=I$4,1)))+COUNT(IF(Linemen2=$A86,IF(HomeTeam=I$4,1)))</f>
        <v>2</v>
      </c>
      <c r="J86" s="8">
        <f t="array" ref="J86">COUNT(IF(Linemen1=$A86,IF(HomeTeam=J$4,1)))+COUNT(IF(Linemen2=$A86,IF(HomeTeam=J$4,1)))</f>
        <v>0</v>
      </c>
      <c r="K86" s="8">
        <f t="array" ref="K86">COUNT(IF(Linemen1=$A86,IF(HomeTeam=K$4,1)))+COUNT(IF(Linemen2=$A86,IF(HomeTeam=K$4,1)))</f>
        <v>0</v>
      </c>
      <c r="L86" s="8">
        <f t="array" ref="L86">COUNT(IF(Linemen1=$A86,IF(HomeTeam=L$4,1)))+COUNT(IF(Linemen2=$A86,IF(HomeTeam=L$4,1)))</f>
        <v>1</v>
      </c>
      <c r="M86" s="8">
        <f t="array" ref="M86">COUNT(IF(Linemen1=$A86,IF(HomeTeam=M$4,1)))+COUNT(IF(Linemen2=$A86,IF(HomeTeam=M$4,1)))</f>
        <v>1</v>
      </c>
      <c r="N86" s="8">
        <f t="array" ref="N86">COUNT(IF(Linemen1=$A86,IF(HomeTeam=N$4,1)))+COUNT(IF(Linemen2=$A86,IF(HomeTeam=N$4,1)))</f>
        <v>0</v>
      </c>
      <c r="O86" s="8">
        <f t="array" ref="O86">COUNT(IF(Linemen1=$A86,IF(HomeTeam=O$4,1)))+COUNT(IF(Linemen2=$A86,IF(HomeTeam=O$4,1)))</f>
        <v>1</v>
      </c>
      <c r="P86" s="8">
        <f t="array" ref="P86">COUNT(IF(Linemen1=$A86,IF(HomeTeam=P$4,1)))+COUNT(IF(Linemen2=$A86,IF(HomeTeam=P$4,1)))</f>
        <v>3</v>
      </c>
      <c r="Q86" s="8">
        <f t="array" ref="Q86">COUNT(IF(Linemen1=$A86,IF(HomeTeam=Q$4,1)))+COUNT(IF(Linemen2=$A86,IF(HomeTeam=Q$4,1)))</f>
        <v>0</v>
      </c>
      <c r="R86" s="8">
        <f t="array" ref="R86">COUNT(IF(Linemen1=$A86,IF(HomeTeam=R$4,1)))+COUNT(IF(Linemen2=$A86,IF(HomeTeam=R$4,1)))</f>
        <v>0</v>
      </c>
      <c r="S86" s="8">
        <f t="array" ref="S86">COUNT(IF(Linemen1=$A86,IF(HomeTeam=S$4,1)))+COUNT(IF(Linemen2=$A86,IF(HomeTeam=S$4,1)))</f>
        <v>1</v>
      </c>
      <c r="T86" s="8">
        <f t="array" ref="T86">COUNT(IF(Linemen1=$A86,IF(HomeTeam=T$4,1)))+COUNT(IF(Linemen2=$A86,IF(HomeTeam=T$4,1)))</f>
        <v>0</v>
      </c>
      <c r="U86" s="8">
        <f t="array" ref="U86">COUNT(IF(Linemen1=$A86,IF(HomeTeam=U$4,1)))+COUNT(IF(Linemen2=$A86,IF(HomeTeam=U$4,1)))</f>
        <v>0</v>
      </c>
      <c r="V86" s="8">
        <f t="array" ref="V86">COUNT(IF(Linemen1=$A86,IF(HomeTeam=V$4,1)))+COUNT(IF(Linemen2=$A86,IF(HomeTeam=V$4,1)))</f>
        <v>0</v>
      </c>
      <c r="W86" s="8">
        <f t="array" ref="W86">COUNT(IF(Linemen1=$A86,IF(AwayTeam=W$4,1)))+COUNT(IF(Linemen2=$A86,IF(AwayTeam=W$4,1)))</f>
        <v>3</v>
      </c>
      <c r="X86" s="8">
        <f t="array" ref="X86">COUNT(IF(Linemen1=$A86,IF(AwayTeam=X$4,1)))+COUNT(IF(Linemen2=$A86,IF(AwayTeam=X$4,1)))</f>
        <v>4</v>
      </c>
      <c r="Y86" s="8">
        <f t="array" ref="Y86">COUNT(IF(Linemen1=$A86,IF(AwayTeam=Y$4,1)))+COUNT(IF(Linemen2=$A86,IF(AwayTeam=Y$4,1)))</f>
        <v>0</v>
      </c>
      <c r="Z86" s="8">
        <f t="array" ref="Z86">COUNT(IF(Linemen1=$A86,IF(AwayTeam=Z$4,1)))+COUNT(IF(Linemen2=$A86,IF(AwayTeam=Z$4,1)))</f>
        <v>2</v>
      </c>
      <c r="AA86" s="8">
        <f t="array" ref="AA86">COUNT(IF(Linemen1=$A86,IF(AwayTeam=AA$4,1)))+COUNT(IF(Linemen2=$A86,IF(AwayTeam=AA$4,1)))</f>
        <v>0</v>
      </c>
      <c r="AB86" s="8">
        <f t="array" ref="AB86">COUNT(IF(Linemen1=$A86,IF(AwayTeam=AB$4,1)))+COUNT(IF(Linemen2=$A86,IF(AwayTeam=AB$4,1)))</f>
        <v>1</v>
      </c>
      <c r="AC86" s="8">
        <f t="array" ref="AC86">COUNT(IF(Linemen1=$A86,IF(AwayTeam=AC$4,1)))+COUNT(IF(Linemen2=$A86,IF(AwayTeam=AC$4,1)))</f>
        <v>2</v>
      </c>
      <c r="AD86" s="8">
        <f t="array" ref="AD86">COUNT(IF(Linemen1=$A86,IF(AwayTeam=AD$4,1)))+COUNT(IF(Linemen2=$A86,IF(AwayTeam=AD$4,1)))</f>
        <v>0</v>
      </c>
      <c r="AE86" s="8">
        <f t="array" ref="AE86">COUNT(IF(Linemen1=$A86,IF(AwayTeam=AE$4,1)))+COUNT(IF(Linemen2=$A86,IF(AwayTeam=AE$4,1)))</f>
        <v>1</v>
      </c>
      <c r="AF86" s="8">
        <f t="array" ref="AF86">COUNT(IF(Linemen1=$A86,IF(AwayTeam=AF$4,1)))+COUNT(IF(Linemen2=$A86,IF(AwayTeam=AF$4,1)))</f>
        <v>1</v>
      </c>
      <c r="AG86" s="8">
        <f t="array" ref="AG86">COUNT(IF(Linemen1=$A86,IF(AwayTeam=AG$4,1)))+COUNT(IF(Linemen2=$A86,IF(AwayTeam=AG$4,1)))</f>
        <v>3</v>
      </c>
      <c r="AH86" s="8">
        <f t="array" ref="AH86">COUNT(IF(Linemen1=$A86,IF(AwayTeam=AH$4,1)))+COUNT(IF(Linemen2=$A86,IF(AwayTeam=AH$4,1)))</f>
        <v>2</v>
      </c>
      <c r="AI86" s="8">
        <f t="array" ref="AI86">COUNT(IF(Linemen1=$A86,IF(AwayTeam=AI$4,1)))+COUNT(IF(Linemen2=$A86,IF(AwayTeam=AI$4,1)))</f>
        <v>0</v>
      </c>
      <c r="AJ86" s="8">
        <f t="array" ref="AJ86">COUNT(IF(Linemen1=$A86,IF(AwayTeam=AJ$4,1)))+COUNT(IF(Linemen2=$A86,IF(AwayTeam=AJ$4,1)))</f>
        <v>0</v>
      </c>
      <c r="AK86" s="8">
        <f t="array" ref="AK86">COUNT(IF(Linemen1=$A86,IF(AwayTeam=AK$4,1)))+COUNT(IF(Linemen2=$A86,IF(AwayTeam=AK$4,1)))</f>
        <v>1</v>
      </c>
      <c r="AL86" s="8">
        <f t="array" ref="AL86">COUNT(IF(Linemen1=$A86,IF(AwayTeam=AL$4,1)))+COUNT(IF(Linemen2=$A86,IF(AwayTeam=AL$4,1)))</f>
        <v>0</v>
      </c>
      <c r="AM86" s="8">
        <f t="array" ref="AM86">COUNT(IF(Linemen1=$A86,IF(AwayTeam=AM$4,1)))+COUNT(IF(Linemen2=$A86,IF(AwayTeam=AM$4,1)))</f>
        <v>0</v>
      </c>
      <c r="AN86" s="8">
        <f t="array" ref="AN86">COUNT(IF(Linemen1=$A86,IF(AwayTeam=AN$4,1)))+COUNT(IF(Linemen2=$A86,IF(AwayTeam=AN$4,1)))</f>
        <v>0</v>
      </c>
      <c r="AO86" s="8">
        <f t="array" ref="AO86">COUNT(IF(Linemen1=$A86,IF(AwayTeam=AO$4,1)))+COUNT(IF(Linemen2=$A86,IF(AwayTeam=AO$4,1)))</f>
        <v>0</v>
      </c>
      <c r="AP86" s="8">
        <f t="array" ref="AP86">COUNT(IF(Linemen1=$A86,IF(AwayTeam=AP$4,1)))+COUNT(IF(Linemen2=$A86,IF(AwayTeam=AP$4,1)))</f>
        <v>0</v>
      </c>
    </row>
    <row r="87" spans="1:42" x14ac:dyDescent="0.2">
      <c r="A87" s="8" t="str">
        <f>IF(Info!B22&lt;&gt;0,Info!B22,"")</f>
        <v>Gawlik, Brent</v>
      </c>
      <c r="B87" s="8">
        <f t="shared" si="1"/>
        <v>1</v>
      </c>
      <c r="C87" s="8">
        <f t="array" ref="C87">COUNT(IF(Linemen1=$A87,IF(HomeTeam=C$4,1)))+COUNT(IF(Linemen2=$A87,IF(HomeTeam=C$4,1)))</f>
        <v>0</v>
      </c>
      <c r="D87" s="8">
        <f t="array" ref="D87">COUNT(IF(Linemen1=$A87,IF(HomeTeam=D$4,1)))+COUNT(IF(Linemen2=$A87,IF(HomeTeam=D$4,1)))</f>
        <v>0</v>
      </c>
      <c r="E87" s="8">
        <f t="array" ref="E87">COUNT(IF(Linemen1=$A87,IF(HomeTeam=E$4,1)))+COUNT(IF(Linemen2=$A87,IF(HomeTeam=E$4,1)))</f>
        <v>0</v>
      </c>
      <c r="F87" s="8">
        <f t="array" ref="F87">COUNT(IF(Linemen1=$A87,IF(HomeTeam=F$4,1)))+COUNT(IF(Linemen2=$A87,IF(HomeTeam=F$4,1)))</f>
        <v>0</v>
      </c>
      <c r="G87" s="8">
        <f t="array" ref="G87">COUNT(IF(Linemen1=$A87,IF(HomeTeam=G$4,1)))+COUNT(IF(Linemen2=$A87,IF(HomeTeam=G$4,1)))</f>
        <v>0</v>
      </c>
      <c r="H87" s="8">
        <f t="array" ref="H87">COUNT(IF(Linemen1=$A87,IF(HomeTeam=H$4,1)))+COUNT(IF(Linemen2=$A87,IF(HomeTeam=H$4,1)))</f>
        <v>0</v>
      </c>
      <c r="I87" s="8">
        <f t="array" ref="I87">COUNT(IF(Linemen1=$A87,IF(HomeTeam=I$4,1)))+COUNT(IF(Linemen2=$A87,IF(HomeTeam=I$4,1)))</f>
        <v>0</v>
      </c>
      <c r="J87" s="8">
        <f t="array" ref="J87">COUNT(IF(Linemen1=$A87,IF(HomeTeam=J$4,1)))+COUNT(IF(Linemen2=$A87,IF(HomeTeam=J$4,1)))</f>
        <v>0</v>
      </c>
      <c r="K87" s="8">
        <f t="array" ref="K87">COUNT(IF(Linemen1=$A87,IF(HomeTeam=K$4,1)))+COUNT(IF(Linemen2=$A87,IF(HomeTeam=K$4,1)))</f>
        <v>0</v>
      </c>
      <c r="L87" s="8">
        <f t="array" ref="L87">COUNT(IF(Linemen1=$A87,IF(HomeTeam=L$4,1)))+COUNT(IF(Linemen2=$A87,IF(HomeTeam=L$4,1)))</f>
        <v>1</v>
      </c>
      <c r="M87" s="8">
        <f t="array" ref="M87">COUNT(IF(Linemen1=$A87,IF(HomeTeam=M$4,1)))+COUNT(IF(Linemen2=$A87,IF(HomeTeam=M$4,1)))</f>
        <v>0</v>
      </c>
      <c r="N87" s="8">
        <f t="array" ref="N87">COUNT(IF(Linemen1=$A87,IF(HomeTeam=N$4,1)))+COUNT(IF(Linemen2=$A87,IF(HomeTeam=N$4,1)))</f>
        <v>0</v>
      </c>
      <c r="O87" s="8">
        <f t="array" ref="O87">COUNT(IF(Linemen1=$A87,IF(HomeTeam=O$4,1)))+COUNT(IF(Linemen2=$A87,IF(HomeTeam=O$4,1)))</f>
        <v>0</v>
      </c>
      <c r="P87" s="8">
        <f t="array" ref="P87">COUNT(IF(Linemen1=$A87,IF(HomeTeam=P$4,1)))+COUNT(IF(Linemen2=$A87,IF(HomeTeam=P$4,1)))</f>
        <v>0</v>
      </c>
      <c r="Q87" s="8">
        <f t="array" ref="Q87">COUNT(IF(Linemen1=$A87,IF(HomeTeam=Q$4,1)))+COUNT(IF(Linemen2=$A87,IF(HomeTeam=Q$4,1)))</f>
        <v>0</v>
      </c>
      <c r="R87" s="8">
        <f t="array" ref="R87">COUNT(IF(Linemen1=$A87,IF(HomeTeam=R$4,1)))+COUNT(IF(Linemen2=$A87,IF(HomeTeam=R$4,1)))</f>
        <v>0</v>
      </c>
      <c r="S87" s="8">
        <f t="array" ref="S87">COUNT(IF(Linemen1=$A87,IF(HomeTeam=S$4,1)))+COUNT(IF(Linemen2=$A87,IF(HomeTeam=S$4,1)))</f>
        <v>0</v>
      </c>
      <c r="T87" s="8">
        <f t="array" ref="T87">COUNT(IF(Linemen1=$A87,IF(HomeTeam=T$4,1)))+COUNT(IF(Linemen2=$A87,IF(HomeTeam=T$4,1)))</f>
        <v>0</v>
      </c>
      <c r="U87" s="8">
        <f t="array" ref="U87">COUNT(IF(Linemen1=$A87,IF(HomeTeam=U$4,1)))+COUNT(IF(Linemen2=$A87,IF(HomeTeam=U$4,1)))</f>
        <v>0</v>
      </c>
      <c r="V87" s="8">
        <f t="array" ref="V87">COUNT(IF(Linemen1=$A87,IF(HomeTeam=V$4,1)))+COUNT(IF(Linemen2=$A87,IF(HomeTeam=V$4,1)))</f>
        <v>0</v>
      </c>
      <c r="W87" s="8">
        <f t="array" ref="W87">COUNT(IF(Linemen1=$A87,IF(AwayTeam=W$4,1)))+COUNT(IF(Linemen2=$A87,IF(AwayTeam=W$4,1)))</f>
        <v>0</v>
      </c>
      <c r="X87" s="8">
        <f t="array" ref="X87">COUNT(IF(Linemen1=$A87,IF(AwayTeam=X$4,1)))+COUNT(IF(Linemen2=$A87,IF(AwayTeam=X$4,1)))</f>
        <v>0</v>
      </c>
      <c r="Y87" s="8">
        <f t="array" ref="Y87">COUNT(IF(Linemen1=$A87,IF(AwayTeam=Y$4,1)))+COUNT(IF(Linemen2=$A87,IF(AwayTeam=Y$4,1)))</f>
        <v>0</v>
      </c>
      <c r="Z87" s="8">
        <f t="array" ref="Z87">COUNT(IF(Linemen1=$A87,IF(AwayTeam=Z$4,1)))+COUNT(IF(Linemen2=$A87,IF(AwayTeam=Z$4,1)))</f>
        <v>1</v>
      </c>
      <c r="AA87" s="8">
        <f t="array" ref="AA87">COUNT(IF(Linemen1=$A87,IF(AwayTeam=AA$4,1)))+COUNT(IF(Linemen2=$A87,IF(AwayTeam=AA$4,1)))</f>
        <v>0</v>
      </c>
      <c r="AB87" s="8">
        <f t="array" ref="AB87">COUNT(IF(Linemen1=$A87,IF(AwayTeam=AB$4,1)))+COUNT(IF(Linemen2=$A87,IF(AwayTeam=AB$4,1)))</f>
        <v>0</v>
      </c>
      <c r="AC87" s="8">
        <f t="array" ref="AC87">COUNT(IF(Linemen1=$A87,IF(AwayTeam=AC$4,1)))+COUNT(IF(Linemen2=$A87,IF(AwayTeam=AC$4,1)))</f>
        <v>0</v>
      </c>
      <c r="AD87" s="8">
        <f t="array" ref="AD87">COUNT(IF(Linemen1=$A87,IF(AwayTeam=AD$4,1)))+COUNT(IF(Linemen2=$A87,IF(AwayTeam=AD$4,1)))</f>
        <v>0</v>
      </c>
      <c r="AE87" s="8">
        <f t="array" ref="AE87">COUNT(IF(Linemen1=$A87,IF(AwayTeam=AE$4,1)))+COUNT(IF(Linemen2=$A87,IF(AwayTeam=AE$4,1)))</f>
        <v>0</v>
      </c>
      <c r="AF87" s="8">
        <f t="array" ref="AF87">COUNT(IF(Linemen1=$A87,IF(AwayTeam=AF$4,1)))+COUNT(IF(Linemen2=$A87,IF(AwayTeam=AF$4,1)))</f>
        <v>0</v>
      </c>
      <c r="AG87" s="8">
        <f t="array" ref="AG87">COUNT(IF(Linemen1=$A87,IF(AwayTeam=AG$4,1)))+COUNT(IF(Linemen2=$A87,IF(AwayTeam=AG$4,1)))</f>
        <v>0</v>
      </c>
      <c r="AH87" s="8">
        <f t="array" ref="AH87">COUNT(IF(Linemen1=$A87,IF(AwayTeam=AH$4,1)))+COUNT(IF(Linemen2=$A87,IF(AwayTeam=AH$4,1)))</f>
        <v>0</v>
      </c>
      <c r="AI87" s="8">
        <f t="array" ref="AI87">COUNT(IF(Linemen1=$A87,IF(AwayTeam=AI$4,1)))+COUNT(IF(Linemen2=$A87,IF(AwayTeam=AI$4,1)))</f>
        <v>0</v>
      </c>
      <c r="AJ87" s="8">
        <f t="array" ref="AJ87">COUNT(IF(Linemen1=$A87,IF(AwayTeam=AJ$4,1)))+COUNT(IF(Linemen2=$A87,IF(AwayTeam=AJ$4,1)))</f>
        <v>0</v>
      </c>
      <c r="AK87" s="8">
        <f t="array" ref="AK87">COUNT(IF(Linemen1=$A87,IF(AwayTeam=AK$4,1)))+COUNT(IF(Linemen2=$A87,IF(AwayTeam=AK$4,1)))</f>
        <v>0</v>
      </c>
      <c r="AL87" s="8">
        <f t="array" ref="AL87">COUNT(IF(Linemen1=$A87,IF(AwayTeam=AL$4,1)))+COUNT(IF(Linemen2=$A87,IF(AwayTeam=AL$4,1)))</f>
        <v>0</v>
      </c>
      <c r="AM87" s="8">
        <f t="array" ref="AM87">COUNT(IF(Linemen1=$A87,IF(AwayTeam=AM$4,1)))+COUNT(IF(Linemen2=$A87,IF(AwayTeam=AM$4,1)))</f>
        <v>0</v>
      </c>
      <c r="AN87" s="8">
        <f t="array" ref="AN87">COUNT(IF(Linemen1=$A87,IF(AwayTeam=AN$4,1)))+COUNT(IF(Linemen2=$A87,IF(AwayTeam=AN$4,1)))</f>
        <v>0</v>
      </c>
      <c r="AO87" s="8">
        <f t="array" ref="AO87">COUNT(IF(Linemen1=$A87,IF(AwayTeam=AO$4,1)))+COUNT(IF(Linemen2=$A87,IF(AwayTeam=AO$4,1)))</f>
        <v>0</v>
      </c>
      <c r="AP87" s="8">
        <f t="array" ref="AP87">COUNT(IF(Linemen1=$A87,IF(AwayTeam=AP$4,1)))+COUNT(IF(Linemen2=$A87,IF(AwayTeam=AP$4,1)))</f>
        <v>0</v>
      </c>
    </row>
    <row r="88" spans="1:42" x14ac:dyDescent="0.2">
      <c r="A88" s="8" t="str">
        <f>IF(Info!B23&lt;&gt;0,Info!B23,"")</f>
        <v>Giles, Patrick</v>
      </c>
      <c r="B88" s="8">
        <f t="shared" si="1"/>
        <v>4</v>
      </c>
      <c r="C88" s="8">
        <f t="array" ref="C88">COUNT(IF(Linemen1=$A88,IF(HomeTeam=C$4,1)))+COUNT(IF(Linemen2=$A88,IF(HomeTeam=C$4,1)))</f>
        <v>0</v>
      </c>
      <c r="D88" s="8">
        <f t="array" ref="D88">COUNT(IF(Linemen1=$A88,IF(HomeTeam=D$4,1)))+COUNT(IF(Linemen2=$A88,IF(HomeTeam=D$4,1)))</f>
        <v>1</v>
      </c>
      <c r="E88" s="8">
        <f t="array" ref="E88">COUNT(IF(Linemen1=$A88,IF(HomeTeam=E$4,1)))+COUNT(IF(Linemen2=$A88,IF(HomeTeam=E$4,1)))</f>
        <v>0</v>
      </c>
      <c r="F88" s="8">
        <f t="array" ref="F88">COUNT(IF(Linemen1=$A88,IF(HomeTeam=F$4,1)))+COUNT(IF(Linemen2=$A88,IF(HomeTeam=F$4,1)))</f>
        <v>0</v>
      </c>
      <c r="G88" s="8">
        <f t="array" ref="G88">COUNT(IF(Linemen1=$A88,IF(HomeTeam=G$4,1)))+COUNT(IF(Linemen2=$A88,IF(HomeTeam=G$4,1)))</f>
        <v>0</v>
      </c>
      <c r="H88" s="8">
        <f t="array" ref="H88">COUNT(IF(Linemen1=$A88,IF(HomeTeam=H$4,1)))+COUNT(IF(Linemen2=$A88,IF(HomeTeam=H$4,1)))</f>
        <v>0</v>
      </c>
      <c r="I88" s="8">
        <f t="array" ref="I88">COUNT(IF(Linemen1=$A88,IF(HomeTeam=I$4,1)))+COUNT(IF(Linemen2=$A88,IF(HomeTeam=I$4,1)))</f>
        <v>0</v>
      </c>
      <c r="J88" s="8">
        <f t="array" ref="J88">COUNT(IF(Linemen1=$A88,IF(HomeTeam=J$4,1)))+COUNT(IF(Linemen2=$A88,IF(HomeTeam=J$4,1)))</f>
        <v>0</v>
      </c>
      <c r="K88" s="8">
        <f t="array" ref="K88">COUNT(IF(Linemen1=$A88,IF(HomeTeam=K$4,1)))+COUNT(IF(Linemen2=$A88,IF(HomeTeam=K$4,1)))</f>
        <v>0</v>
      </c>
      <c r="L88" s="8">
        <f t="array" ref="L88">COUNT(IF(Linemen1=$A88,IF(HomeTeam=L$4,1)))+COUNT(IF(Linemen2=$A88,IF(HomeTeam=L$4,1)))</f>
        <v>0</v>
      </c>
      <c r="M88" s="8">
        <f t="array" ref="M88">COUNT(IF(Linemen1=$A88,IF(HomeTeam=M$4,1)))+COUNT(IF(Linemen2=$A88,IF(HomeTeam=M$4,1)))</f>
        <v>0</v>
      </c>
      <c r="N88" s="8">
        <f t="array" ref="N88">COUNT(IF(Linemen1=$A88,IF(HomeTeam=N$4,1)))+COUNT(IF(Linemen2=$A88,IF(HomeTeam=N$4,1)))</f>
        <v>0</v>
      </c>
      <c r="O88" s="8">
        <f t="array" ref="O88">COUNT(IF(Linemen1=$A88,IF(HomeTeam=O$4,1)))+COUNT(IF(Linemen2=$A88,IF(HomeTeam=O$4,1)))</f>
        <v>0</v>
      </c>
      <c r="P88" s="8">
        <f t="array" ref="P88">COUNT(IF(Linemen1=$A88,IF(HomeTeam=P$4,1)))+COUNT(IF(Linemen2=$A88,IF(HomeTeam=P$4,1)))</f>
        <v>1</v>
      </c>
      <c r="Q88" s="8">
        <f t="array" ref="Q88">COUNT(IF(Linemen1=$A88,IF(HomeTeam=Q$4,1)))+COUNT(IF(Linemen2=$A88,IF(HomeTeam=Q$4,1)))</f>
        <v>0</v>
      </c>
      <c r="R88" s="8">
        <f t="array" ref="R88">COUNT(IF(Linemen1=$A88,IF(HomeTeam=R$4,1)))+COUNT(IF(Linemen2=$A88,IF(HomeTeam=R$4,1)))</f>
        <v>1</v>
      </c>
      <c r="S88" s="8">
        <f t="array" ref="S88">COUNT(IF(Linemen1=$A88,IF(HomeTeam=S$4,1)))+COUNT(IF(Linemen2=$A88,IF(HomeTeam=S$4,1)))</f>
        <v>1</v>
      </c>
      <c r="T88" s="8">
        <f t="array" ref="T88">COUNT(IF(Linemen1=$A88,IF(HomeTeam=T$4,1)))+COUNT(IF(Linemen2=$A88,IF(HomeTeam=T$4,1)))</f>
        <v>0</v>
      </c>
      <c r="U88" s="8">
        <f t="array" ref="U88">COUNT(IF(Linemen1=$A88,IF(HomeTeam=U$4,1)))+COUNT(IF(Linemen2=$A88,IF(HomeTeam=U$4,1)))</f>
        <v>0</v>
      </c>
      <c r="V88" s="8">
        <f t="array" ref="V88">COUNT(IF(Linemen1=$A88,IF(HomeTeam=V$4,1)))+COUNT(IF(Linemen2=$A88,IF(HomeTeam=V$4,1)))</f>
        <v>0</v>
      </c>
      <c r="W88" s="8">
        <f t="array" ref="W88">COUNT(IF(Linemen1=$A88,IF(AwayTeam=W$4,1)))+COUNT(IF(Linemen2=$A88,IF(AwayTeam=W$4,1)))</f>
        <v>1</v>
      </c>
      <c r="X88" s="8">
        <f t="array" ref="X88">COUNT(IF(Linemen1=$A88,IF(AwayTeam=X$4,1)))+COUNT(IF(Linemen2=$A88,IF(AwayTeam=X$4,1)))</f>
        <v>1</v>
      </c>
      <c r="Y88" s="8">
        <f t="array" ref="Y88">COUNT(IF(Linemen1=$A88,IF(AwayTeam=Y$4,1)))+COUNT(IF(Linemen2=$A88,IF(AwayTeam=Y$4,1)))</f>
        <v>0</v>
      </c>
      <c r="Z88" s="8">
        <f t="array" ref="Z88">COUNT(IF(Linemen1=$A88,IF(AwayTeam=Z$4,1)))+COUNT(IF(Linemen2=$A88,IF(AwayTeam=Z$4,1)))</f>
        <v>0</v>
      </c>
      <c r="AA88" s="8">
        <f t="array" ref="AA88">COUNT(IF(Linemen1=$A88,IF(AwayTeam=AA$4,1)))+COUNT(IF(Linemen2=$A88,IF(AwayTeam=AA$4,1)))</f>
        <v>0</v>
      </c>
      <c r="AB88" s="8">
        <f t="array" ref="AB88">COUNT(IF(Linemen1=$A88,IF(AwayTeam=AB$4,1)))+COUNT(IF(Linemen2=$A88,IF(AwayTeam=AB$4,1)))</f>
        <v>0</v>
      </c>
      <c r="AC88" s="8">
        <f t="array" ref="AC88">COUNT(IF(Linemen1=$A88,IF(AwayTeam=AC$4,1)))+COUNT(IF(Linemen2=$A88,IF(AwayTeam=AC$4,1)))</f>
        <v>0</v>
      </c>
      <c r="AD88" s="8">
        <f t="array" ref="AD88">COUNT(IF(Linemen1=$A88,IF(AwayTeam=AD$4,1)))+COUNT(IF(Linemen2=$A88,IF(AwayTeam=AD$4,1)))</f>
        <v>0</v>
      </c>
      <c r="AE88" s="8">
        <f t="array" ref="AE88">COUNT(IF(Linemen1=$A88,IF(AwayTeam=AE$4,1)))+COUNT(IF(Linemen2=$A88,IF(AwayTeam=AE$4,1)))</f>
        <v>0</v>
      </c>
      <c r="AF88" s="8">
        <f t="array" ref="AF88">COUNT(IF(Linemen1=$A88,IF(AwayTeam=AF$4,1)))+COUNT(IF(Linemen2=$A88,IF(AwayTeam=AF$4,1)))</f>
        <v>0</v>
      </c>
      <c r="AG88" s="8">
        <f t="array" ref="AG88">COUNT(IF(Linemen1=$A88,IF(AwayTeam=AG$4,1)))+COUNT(IF(Linemen2=$A88,IF(AwayTeam=AG$4,1)))</f>
        <v>1</v>
      </c>
      <c r="AH88" s="8">
        <f t="array" ref="AH88">COUNT(IF(Linemen1=$A88,IF(AwayTeam=AH$4,1)))+COUNT(IF(Linemen2=$A88,IF(AwayTeam=AH$4,1)))</f>
        <v>0</v>
      </c>
      <c r="AI88" s="8">
        <f t="array" ref="AI88">COUNT(IF(Linemen1=$A88,IF(AwayTeam=AI$4,1)))+COUNT(IF(Linemen2=$A88,IF(AwayTeam=AI$4,1)))</f>
        <v>0</v>
      </c>
      <c r="AJ88" s="8">
        <f t="array" ref="AJ88">COUNT(IF(Linemen1=$A88,IF(AwayTeam=AJ$4,1)))+COUNT(IF(Linemen2=$A88,IF(AwayTeam=AJ$4,1)))</f>
        <v>1</v>
      </c>
      <c r="AK88" s="8">
        <f t="array" ref="AK88">COUNT(IF(Linemen1=$A88,IF(AwayTeam=AK$4,1)))+COUNT(IF(Linemen2=$A88,IF(AwayTeam=AK$4,1)))</f>
        <v>0</v>
      </c>
      <c r="AL88" s="8">
        <f t="array" ref="AL88">COUNT(IF(Linemen1=$A88,IF(AwayTeam=AL$4,1)))+COUNT(IF(Linemen2=$A88,IF(AwayTeam=AL$4,1)))</f>
        <v>0</v>
      </c>
      <c r="AM88" s="8">
        <f t="array" ref="AM88">COUNT(IF(Linemen1=$A88,IF(AwayTeam=AM$4,1)))+COUNT(IF(Linemen2=$A88,IF(AwayTeam=AM$4,1)))</f>
        <v>0</v>
      </c>
      <c r="AN88" s="8">
        <f t="array" ref="AN88">COUNT(IF(Linemen1=$A88,IF(AwayTeam=AN$4,1)))+COUNT(IF(Linemen2=$A88,IF(AwayTeam=AN$4,1)))</f>
        <v>0</v>
      </c>
      <c r="AO88" s="8">
        <f t="array" ref="AO88">COUNT(IF(Linemen1=$A88,IF(AwayTeam=AO$4,1)))+COUNT(IF(Linemen2=$A88,IF(AwayTeam=AO$4,1)))</f>
        <v>0</v>
      </c>
      <c r="AP88" s="8">
        <f t="array" ref="AP88">COUNT(IF(Linemen1=$A88,IF(AwayTeam=AP$4,1)))+COUNT(IF(Linemen2=$A88,IF(AwayTeam=AP$4,1)))</f>
        <v>0</v>
      </c>
    </row>
    <row r="89" spans="1:42" x14ac:dyDescent="0.2">
      <c r="A89" s="8" t="str">
        <f>IF(Info!B24&lt;&gt;0,Info!B24,"")</f>
        <v>Gorcoff, Bryan</v>
      </c>
      <c r="B89" s="8">
        <f t="shared" si="1"/>
        <v>14</v>
      </c>
      <c r="C89" s="8">
        <f t="array" ref="C89">COUNT(IF(Linemen1=$A89,IF(HomeTeam=C$4,1)))+COUNT(IF(Linemen2=$A89,IF(HomeTeam=C$4,1)))</f>
        <v>3</v>
      </c>
      <c r="D89" s="8">
        <f t="array" ref="D89">COUNT(IF(Linemen1=$A89,IF(HomeTeam=D$4,1)))+COUNT(IF(Linemen2=$A89,IF(HomeTeam=D$4,1)))</f>
        <v>1</v>
      </c>
      <c r="E89" s="8">
        <f t="array" ref="E89">COUNT(IF(Linemen1=$A89,IF(HomeTeam=E$4,1)))+COUNT(IF(Linemen2=$A89,IF(HomeTeam=E$4,1)))</f>
        <v>1</v>
      </c>
      <c r="F89" s="8">
        <f t="array" ref="F89">COUNT(IF(Linemen1=$A89,IF(HomeTeam=F$4,1)))+COUNT(IF(Linemen2=$A89,IF(HomeTeam=F$4,1)))</f>
        <v>2</v>
      </c>
      <c r="G89" s="8">
        <f t="array" ref="G89">COUNT(IF(Linemen1=$A89,IF(HomeTeam=G$4,1)))+COUNT(IF(Linemen2=$A89,IF(HomeTeam=G$4,1)))</f>
        <v>0</v>
      </c>
      <c r="H89" s="8">
        <f t="array" ref="H89">COUNT(IF(Linemen1=$A89,IF(HomeTeam=H$4,1)))+COUNT(IF(Linemen2=$A89,IF(HomeTeam=H$4,1)))</f>
        <v>1</v>
      </c>
      <c r="I89" s="8">
        <f t="array" ref="I89">COUNT(IF(Linemen1=$A89,IF(HomeTeam=I$4,1)))+COUNT(IF(Linemen2=$A89,IF(HomeTeam=I$4,1)))</f>
        <v>1</v>
      </c>
      <c r="J89" s="8">
        <f t="array" ref="J89">COUNT(IF(Linemen1=$A89,IF(HomeTeam=J$4,1)))+COUNT(IF(Linemen2=$A89,IF(HomeTeam=J$4,1)))</f>
        <v>0</v>
      </c>
      <c r="K89" s="8">
        <f t="array" ref="K89">COUNT(IF(Linemen1=$A89,IF(HomeTeam=K$4,1)))+COUNT(IF(Linemen2=$A89,IF(HomeTeam=K$4,1)))</f>
        <v>0</v>
      </c>
      <c r="L89" s="8">
        <f t="array" ref="L89">COUNT(IF(Linemen1=$A89,IF(HomeTeam=L$4,1)))+COUNT(IF(Linemen2=$A89,IF(HomeTeam=L$4,1)))</f>
        <v>2</v>
      </c>
      <c r="M89" s="8">
        <f t="array" ref="M89">COUNT(IF(Linemen1=$A89,IF(HomeTeam=M$4,1)))+COUNT(IF(Linemen2=$A89,IF(HomeTeam=M$4,1)))</f>
        <v>0</v>
      </c>
      <c r="N89" s="8">
        <f t="array" ref="N89">COUNT(IF(Linemen1=$A89,IF(HomeTeam=N$4,1)))+COUNT(IF(Linemen2=$A89,IF(HomeTeam=N$4,1)))</f>
        <v>0</v>
      </c>
      <c r="O89" s="8">
        <f t="array" ref="O89">COUNT(IF(Linemen1=$A89,IF(HomeTeam=O$4,1)))+COUNT(IF(Linemen2=$A89,IF(HomeTeam=O$4,1)))</f>
        <v>1</v>
      </c>
      <c r="P89" s="8">
        <f t="array" ref="P89">COUNT(IF(Linemen1=$A89,IF(HomeTeam=P$4,1)))+COUNT(IF(Linemen2=$A89,IF(HomeTeam=P$4,1)))</f>
        <v>0</v>
      </c>
      <c r="Q89" s="8">
        <f t="array" ref="Q89">COUNT(IF(Linemen1=$A89,IF(HomeTeam=Q$4,1)))+COUNT(IF(Linemen2=$A89,IF(HomeTeam=Q$4,1)))</f>
        <v>0</v>
      </c>
      <c r="R89" s="8">
        <f t="array" ref="R89">COUNT(IF(Linemen1=$A89,IF(HomeTeam=R$4,1)))+COUNT(IF(Linemen2=$A89,IF(HomeTeam=R$4,1)))</f>
        <v>0</v>
      </c>
      <c r="S89" s="8">
        <f t="array" ref="S89">COUNT(IF(Linemen1=$A89,IF(HomeTeam=S$4,1)))+COUNT(IF(Linemen2=$A89,IF(HomeTeam=S$4,1)))</f>
        <v>2</v>
      </c>
      <c r="T89" s="8">
        <f t="array" ref="T89">COUNT(IF(Linemen1=$A89,IF(HomeTeam=T$4,1)))+COUNT(IF(Linemen2=$A89,IF(HomeTeam=T$4,1)))</f>
        <v>0</v>
      </c>
      <c r="U89" s="8">
        <f t="array" ref="U89">COUNT(IF(Linemen1=$A89,IF(HomeTeam=U$4,1)))+COUNT(IF(Linemen2=$A89,IF(HomeTeam=U$4,1)))</f>
        <v>0</v>
      </c>
      <c r="V89" s="8">
        <f t="array" ref="V89">COUNT(IF(Linemen1=$A89,IF(HomeTeam=V$4,1)))+COUNT(IF(Linemen2=$A89,IF(HomeTeam=V$4,1)))</f>
        <v>0</v>
      </c>
      <c r="W89" s="8">
        <f t="array" ref="W89">COUNT(IF(Linemen1=$A89,IF(AwayTeam=W$4,1)))+COUNT(IF(Linemen2=$A89,IF(AwayTeam=W$4,1)))</f>
        <v>2</v>
      </c>
      <c r="X89" s="8">
        <f t="array" ref="X89">COUNT(IF(Linemen1=$A89,IF(AwayTeam=X$4,1)))+COUNT(IF(Linemen2=$A89,IF(AwayTeam=X$4,1)))</f>
        <v>3</v>
      </c>
      <c r="Y89" s="8">
        <f t="array" ref="Y89">COUNT(IF(Linemen1=$A89,IF(AwayTeam=Y$4,1)))+COUNT(IF(Linemen2=$A89,IF(AwayTeam=Y$4,1)))</f>
        <v>0</v>
      </c>
      <c r="Z89" s="8">
        <f t="array" ref="Z89">COUNT(IF(Linemen1=$A89,IF(AwayTeam=Z$4,1)))+COUNT(IF(Linemen2=$A89,IF(AwayTeam=Z$4,1)))</f>
        <v>3</v>
      </c>
      <c r="AA89" s="8">
        <f t="array" ref="AA89">COUNT(IF(Linemen1=$A89,IF(AwayTeam=AA$4,1)))+COUNT(IF(Linemen2=$A89,IF(AwayTeam=AA$4,1)))</f>
        <v>1</v>
      </c>
      <c r="AB89" s="8">
        <f t="array" ref="AB89">COUNT(IF(Linemen1=$A89,IF(AwayTeam=AB$4,1)))+COUNT(IF(Linemen2=$A89,IF(AwayTeam=AB$4,1)))</f>
        <v>0</v>
      </c>
      <c r="AC89" s="8">
        <f t="array" ref="AC89">COUNT(IF(Linemen1=$A89,IF(AwayTeam=AC$4,1)))+COUNT(IF(Linemen2=$A89,IF(AwayTeam=AC$4,1)))</f>
        <v>0</v>
      </c>
      <c r="AD89" s="8">
        <f t="array" ref="AD89">COUNT(IF(Linemen1=$A89,IF(AwayTeam=AD$4,1)))+COUNT(IF(Linemen2=$A89,IF(AwayTeam=AD$4,1)))</f>
        <v>0</v>
      </c>
      <c r="AE89" s="8">
        <f t="array" ref="AE89">COUNT(IF(Linemen1=$A89,IF(AwayTeam=AE$4,1)))+COUNT(IF(Linemen2=$A89,IF(AwayTeam=AE$4,1)))</f>
        <v>0</v>
      </c>
      <c r="AF89" s="8">
        <f t="array" ref="AF89">COUNT(IF(Linemen1=$A89,IF(AwayTeam=AF$4,1)))+COUNT(IF(Linemen2=$A89,IF(AwayTeam=AF$4,1)))</f>
        <v>1</v>
      </c>
      <c r="AG89" s="8">
        <f t="array" ref="AG89">COUNT(IF(Linemen1=$A89,IF(AwayTeam=AG$4,1)))+COUNT(IF(Linemen2=$A89,IF(AwayTeam=AG$4,1)))</f>
        <v>2</v>
      </c>
      <c r="AH89" s="8">
        <f t="array" ref="AH89">COUNT(IF(Linemen1=$A89,IF(AwayTeam=AH$4,1)))+COUNT(IF(Linemen2=$A89,IF(AwayTeam=AH$4,1)))</f>
        <v>1</v>
      </c>
      <c r="AI89" s="8">
        <f t="array" ref="AI89">COUNT(IF(Linemen1=$A89,IF(AwayTeam=AI$4,1)))+COUNT(IF(Linemen2=$A89,IF(AwayTeam=AI$4,1)))</f>
        <v>0</v>
      </c>
      <c r="AJ89" s="8">
        <f t="array" ref="AJ89">COUNT(IF(Linemen1=$A89,IF(AwayTeam=AJ$4,1)))+COUNT(IF(Linemen2=$A89,IF(AwayTeam=AJ$4,1)))</f>
        <v>0</v>
      </c>
      <c r="AK89" s="8">
        <f t="array" ref="AK89">COUNT(IF(Linemen1=$A89,IF(AwayTeam=AK$4,1)))+COUNT(IF(Linemen2=$A89,IF(AwayTeam=AK$4,1)))</f>
        <v>0</v>
      </c>
      <c r="AL89" s="8">
        <f t="array" ref="AL89">COUNT(IF(Linemen1=$A89,IF(AwayTeam=AL$4,1)))+COUNT(IF(Linemen2=$A89,IF(AwayTeam=AL$4,1)))</f>
        <v>1</v>
      </c>
      <c r="AM89" s="8">
        <f t="array" ref="AM89">COUNT(IF(Linemen1=$A89,IF(AwayTeam=AM$4,1)))+COUNT(IF(Linemen2=$A89,IF(AwayTeam=AM$4,1)))</f>
        <v>0</v>
      </c>
      <c r="AN89" s="8">
        <f t="array" ref="AN89">COUNT(IF(Linemen1=$A89,IF(AwayTeam=AN$4,1)))+COUNT(IF(Linemen2=$A89,IF(AwayTeam=AN$4,1)))</f>
        <v>0</v>
      </c>
      <c r="AO89" s="8">
        <f t="array" ref="AO89">COUNT(IF(Linemen1=$A89,IF(AwayTeam=AO$4,1)))+COUNT(IF(Linemen2=$A89,IF(AwayTeam=AO$4,1)))</f>
        <v>0</v>
      </c>
      <c r="AP89" s="8">
        <f t="array" ref="AP89">COUNT(IF(Linemen1=$A89,IF(AwayTeam=AP$4,1)))+COUNT(IF(Linemen2=$A89,IF(AwayTeam=AP$4,1)))</f>
        <v>0</v>
      </c>
    </row>
    <row r="90" spans="1:42" x14ac:dyDescent="0.2">
      <c r="A90" s="8" t="str">
        <f>IF(Info!B25&lt;&gt;0,Info!B25,"")</f>
        <v>Huff, Nick</v>
      </c>
      <c r="B90" s="8">
        <f t="shared" si="1"/>
        <v>5</v>
      </c>
      <c r="C90" s="8">
        <f t="array" ref="C90">COUNT(IF(Linemen1=$A90,IF(HomeTeam=C$4,1)))+COUNT(IF(Linemen2=$A90,IF(HomeTeam=C$4,1)))</f>
        <v>0</v>
      </c>
      <c r="D90" s="8">
        <f t="array" ref="D90">COUNT(IF(Linemen1=$A90,IF(HomeTeam=D$4,1)))+COUNT(IF(Linemen2=$A90,IF(HomeTeam=D$4,1)))</f>
        <v>0</v>
      </c>
      <c r="E90" s="8">
        <f t="array" ref="E90">COUNT(IF(Linemen1=$A90,IF(HomeTeam=E$4,1)))+COUNT(IF(Linemen2=$A90,IF(HomeTeam=E$4,1)))</f>
        <v>0</v>
      </c>
      <c r="F90" s="8">
        <f t="array" ref="F90">COUNT(IF(Linemen1=$A90,IF(HomeTeam=F$4,1)))+COUNT(IF(Linemen2=$A90,IF(HomeTeam=F$4,1)))</f>
        <v>1</v>
      </c>
      <c r="G90" s="8">
        <f t="array" ref="G90">COUNT(IF(Linemen1=$A90,IF(HomeTeam=G$4,1)))+COUNT(IF(Linemen2=$A90,IF(HomeTeam=G$4,1)))</f>
        <v>0</v>
      </c>
      <c r="H90" s="8">
        <f t="array" ref="H90">COUNT(IF(Linemen1=$A90,IF(HomeTeam=H$4,1)))+COUNT(IF(Linemen2=$A90,IF(HomeTeam=H$4,1)))</f>
        <v>0</v>
      </c>
      <c r="I90" s="8">
        <f t="array" ref="I90">COUNT(IF(Linemen1=$A90,IF(HomeTeam=I$4,1)))+COUNT(IF(Linemen2=$A90,IF(HomeTeam=I$4,1)))</f>
        <v>0</v>
      </c>
      <c r="J90" s="8">
        <f t="array" ref="J90">COUNT(IF(Linemen1=$A90,IF(HomeTeam=J$4,1)))+COUNT(IF(Linemen2=$A90,IF(HomeTeam=J$4,1)))</f>
        <v>0</v>
      </c>
      <c r="K90" s="8">
        <f t="array" ref="K90">COUNT(IF(Linemen1=$A90,IF(HomeTeam=K$4,1)))+COUNT(IF(Linemen2=$A90,IF(HomeTeam=K$4,1)))</f>
        <v>0</v>
      </c>
      <c r="L90" s="8">
        <f t="array" ref="L90">COUNT(IF(Linemen1=$A90,IF(HomeTeam=L$4,1)))+COUNT(IF(Linemen2=$A90,IF(HomeTeam=L$4,1)))</f>
        <v>3</v>
      </c>
      <c r="M90" s="8">
        <f t="array" ref="M90">COUNT(IF(Linemen1=$A90,IF(HomeTeam=M$4,1)))+COUNT(IF(Linemen2=$A90,IF(HomeTeam=M$4,1)))</f>
        <v>0</v>
      </c>
      <c r="N90" s="8">
        <f t="array" ref="N90">COUNT(IF(Linemen1=$A90,IF(HomeTeam=N$4,1)))+COUNT(IF(Linemen2=$A90,IF(HomeTeam=N$4,1)))</f>
        <v>0</v>
      </c>
      <c r="O90" s="8">
        <f t="array" ref="O90">COUNT(IF(Linemen1=$A90,IF(HomeTeam=O$4,1)))+COUNT(IF(Linemen2=$A90,IF(HomeTeam=O$4,1)))</f>
        <v>0</v>
      </c>
      <c r="P90" s="8">
        <f t="array" ref="P90">COUNT(IF(Linemen1=$A90,IF(HomeTeam=P$4,1)))+COUNT(IF(Linemen2=$A90,IF(HomeTeam=P$4,1)))</f>
        <v>1</v>
      </c>
      <c r="Q90" s="8">
        <f t="array" ref="Q90">COUNT(IF(Linemen1=$A90,IF(HomeTeam=Q$4,1)))+COUNT(IF(Linemen2=$A90,IF(HomeTeam=Q$4,1)))</f>
        <v>0</v>
      </c>
      <c r="R90" s="8">
        <f t="array" ref="R90">COUNT(IF(Linemen1=$A90,IF(HomeTeam=R$4,1)))+COUNT(IF(Linemen2=$A90,IF(HomeTeam=R$4,1)))</f>
        <v>0</v>
      </c>
      <c r="S90" s="8">
        <f t="array" ref="S90">COUNT(IF(Linemen1=$A90,IF(HomeTeam=S$4,1)))+COUNT(IF(Linemen2=$A90,IF(HomeTeam=S$4,1)))</f>
        <v>0</v>
      </c>
      <c r="T90" s="8">
        <f t="array" ref="T90">COUNT(IF(Linemen1=$A90,IF(HomeTeam=T$4,1)))+COUNT(IF(Linemen2=$A90,IF(HomeTeam=T$4,1)))</f>
        <v>0</v>
      </c>
      <c r="U90" s="8">
        <f t="array" ref="U90">COUNT(IF(Linemen1=$A90,IF(HomeTeam=U$4,1)))+COUNT(IF(Linemen2=$A90,IF(HomeTeam=U$4,1)))</f>
        <v>0</v>
      </c>
      <c r="V90" s="8">
        <f t="array" ref="V90">COUNT(IF(Linemen1=$A90,IF(HomeTeam=V$4,1)))+COUNT(IF(Linemen2=$A90,IF(HomeTeam=V$4,1)))</f>
        <v>0</v>
      </c>
      <c r="W90" s="8">
        <f t="array" ref="W90">COUNT(IF(Linemen1=$A90,IF(AwayTeam=W$4,1)))+COUNT(IF(Linemen2=$A90,IF(AwayTeam=W$4,1)))</f>
        <v>0</v>
      </c>
      <c r="X90" s="8">
        <f t="array" ref="X90">COUNT(IF(Linemen1=$A90,IF(AwayTeam=X$4,1)))+COUNT(IF(Linemen2=$A90,IF(AwayTeam=X$4,1)))</f>
        <v>2</v>
      </c>
      <c r="Y90" s="8">
        <f t="array" ref="Y90">COUNT(IF(Linemen1=$A90,IF(AwayTeam=Y$4,1)))+COUNT(IF(Linemen2=$A90,IF(AwayTeam=Y$4,1)))</f>
        <v>1</v>
      </c>
      <c r="Z90" s="8">
        <f t="array" ref="Z90">COUNT(IF(Linemen1=$A90,IF(AwayTeam=Z$4,1)))+COUNT(IF(Linemen2=$A90,IF(AwayTeam=Z$4,1)))</f>
        <v>1</v>
      </c>
      <c r="AA90" s="8">
        <f t="array" ref="AA90">COUNT(IF(Linemen1=$A90,IF(AwayTeam=AA$4,1)))+COUNT(IF(Linemen2=$A90,IF(AwayTeam=AA$4,1)))</f>
        <v>0</v>
      </c>
      <c r="AB90" s="8">
        <f t="array" ref="AB90">COUNT(IF(Linemen1=$A90,IF(AwayTeam=AB$4,1)))+COUNT(IF(Linemen2=$A90,IF(AwayTeam=AB$4,1)))</f>
        <v>0</v>
      </c>
      <c r="AC90" s="8">
        <f t="array" ref="AC90">COUNT(IF(Linemen1=$A90,IF(AwayTeam=AC$4,1)))+COUNT(IF(Linemen2=$A90,IF(AwayTeam=AC$4,1)))</f>
        <v>0</v>
      </c>
      <c r="AD90" s="8">
        <f t="array" ref="AD90">COUNT(IF(Linemen1=$A90,IF(AwayTeam=AD$4,1)))+COUNT(IF(Linemen2=$A90,IF(AwayTeam=AD$4,1)))</f>
        <v>1</v>
      </c>
      <c r="AE90" s="8">
        <f t="array" ref="AE90">COUNT(IF(Linemen1=$A90,IF(AwayTeam=AE$4,1)))+COUNT(IF(Linemen2=$A90,IF(AwayTeam=AE$4,1)))</f>
        <v>0</v>
      </c>
      <c r="AF90" s="8">
        <f t="array" ref="AF90">COUNT(IF(Linemen1=$A90,IF(AwayTeam=AF$4,1)))+COUNT(IF(Linemen2=$A90,IF(AwayTeam=AF$4,1)))</f>
        <v>0</v>
      </c>
      <c r="AG90" s="8">
        <f t="array" ref="AG90">COUNT(IF(Linemen1=$A90,IF(AwayTeam=AG$4,1)))+COUNT(IF(Linemen2=$A90,IF(AwayTeam=AG$4,1)))</f>
        <v>0</v>
      </c>
      <c r="AH90" s="8">
        <f t="array" ref="AH90">COUNT(IF(Linemen1=$A90,IF(AwayTeam=AH$4,1)))+COUNT(IF(Linemen2=$A90,IF(AwayTeam=AH$4,1)))</f>
        <v>0</v>
      </c>
      <c r="AI90" s="8">
        <f t="array" ref="AI90">COUNT(IF(Linemen1=$A90,IF(AwayTeam=AI$4,1)))+COUNT(IF(Linemen2=$A90,IF(AwayTeam=AI$4,1)))</f>
        <v>0</v>
      </c>
      <c r="AJ90" s="8">
        <f t="array" ref="AJ90">COUNT(IF(Linemen1=$A90,IF(AwayTeam=AJ$4,1)))+COUNT(IF(Linemen2=$A90,IF(AwayTeam=AJ$4,1)))</f>
        <v>0</v>
      </c>
      <c r="AK90" s="8">
        <f t="array" ref="AK90">COUNT(IF(Linemen1=$A90,IF(AwayTeam=AK$4,1)))+COUNT(IF(Linemen2=$A90,IF(AwayTeam=AK$4,1)))</f>
        <v>0</v>
      </c>
      <c r="AL90" s="8">
        <f t="array" ref="AL90">COUNT(IF(Linemen1=$A90,IF(AwayTeam=AL$4,1)))+COUNT(IF(Linemen2=$A90,IF(AwayTeam=AL$4,1)))</f>
        <v>0</v>
      </c>
      <c r="AM90" s="8">
        <f t="array" ref="AM90">COUNT(IF(Linemen1=$A90,IF(AwayTeam=AM$4,1)))+COUNT(IF(Linemen2=$A90,IF(AwayTeam=AM$4,1)))</f>
        <v>0</v>
      </c>
      <c r="AN90" s="8">
        <f t="array" ref="AN90">COUNT(IF(Linemen1=$A90,IF(AwayTeam=AN$4,1)))+COUNT(IF(Linemen2=$A90,IF(AwayTeam=AN$4,1)))</f>
        <v>0</v>
      </c>
      <c r="AO90" s="8">
        <f t="array" ref="AO90">COUNT(IF(Linemen1=$A90,IF(AwayTeam=AO$4,1)))+COUNT(IF(Linemen2=$A90,IF(AwayTeam=AO$4,1)))</f>
        <v>0</v>
      </c>
      <c r="AP90" s="8">
        <f t="array" ref="AP90">COUNT(IF(Linemen1=$A90,IF(AwayTeam=AP$4,1)))+COUNT(IF(Linemen2=$A90,IF(AwayTeam=AP$4,1)))</f>
        <v>0</v>
      </c>
    </row>
    <row r="91" spans="1:42" x14ac:dyDescent="0.2">
      <c r="A91" s="8" t="str">
        <f>IF(Info!B26&lt;&gt;0,Info!B26,"")</f>
        <v>Hunt, Mitchell</v>
      </c>
      <c r="B91" s="8">
        <f t="shared" si="1"/>
        <v>20</v>
      </c>
      <c r="C91" s="8">
        <f t="array" ref="C91">COUNT(IF(Linemen1=$A91,IF(HomeTeam=C$4,1)))+COUNT(IF(Linemen2=$A91,IF(HomeTeam=C$4,1)))</f>
        <v>3</v>
      </c>
      <c r="D91" s="8">
        <f t="array" ref="D91">COUNT(IF(Linemen1=$A91,IF(HomeTeam=D$4,1)))+COUNT(IF(Linemen2=$A91,IF(HomeTeam=D$4,1)))</f>
        <v>3</v>
      </c>
      <c r="E91" s="8">
        <f t="array" ref="E91">COUNT(IF(Linemen1=$A91,IF(HomeTeam=E$4,1)))+COUNT(IF(Linemen2=$A91,IF(HomeTeam=E$4,1)))</f>
        <v>0</v>
      </c>
      <c r="F91" s="8">
        <f t="array" ref="F91">COUNT(IF(Linemen1=$A91,IF(HomeTeam=F$4,1)))+COUNT(IF(Linemen2=$A91,IF(HomeTeam=F$4,1)))</f>
        <v>4</v>
      </c>
      <c r="G91" s="8">
        <f t="array" ref="G91">COUNT(IF(Linemen1=$A91,IF(HomeTeam=G$4,1)))+COUNT(IF(Linemen2=$A91,IF(HomeTeam=G$4,1)))</f>
        <v>1</v>
      </c>
      <c r="H91" s="8">
        <f t="array" ref="H91">COUNT(IF(Linemen1=$A91,IF(HomeTeam=H$4,1)))+COUNT(IF(Linemen2=$A91,IF(HomeTeam=H$4,1)))</f>
        <v>0</v>
      </c>
      <c r="I91" s="8">
        <f t="array" ref="I91">COUNT(IF(Linemen1=$A91,IF(HomeTeam=I$4,1)))+COUNT(IF(Linemen2=$A91,IF(HomeTeam=I$4,1)))</f>
        <v>0</v>
      </c>
      <c r="J91" s="8">
        <f t="array" ref="J91">COUNT(IF(Linemen1=$A91,IF(HomeTeam=J$4,1)))+COUNT(IF(Linemen2=$A91,IF(HomeTeam=J$4,1)))</f>
        <v>3</v>
      </c>
      <c r="K91" s="8">
        <f t="array" ref="K91">COUNT(IF(Linemen1=$A91,IF(HomeTeam=K$4,1)))+COUNT(IF(Linemen2=$A91,IF(HomeTeam=K$4,1)))</f>
        <v>0</v>
      </c>
      <c r="L91" s="8">
        <f t="array" ref="L91">COUNT(IF(Linemen1=$A91,IF(HomeTeam=L$4,1)))+COUNT(IF(Linemen2=$A91,IF(HomeTeam=L$4,1)))</f>
        <v>0</v>
      </c>
      <c r="M91" s="8">
        <f t="array" ref="M91">COUNT(IF(Linemen1=$A91,IF(HomeTeam=M$4,1)))+COUNT(IF(Linemen2=$A91,IF(HomeTeam=M$4,1)))</f>
        <v>3</v>
      </c>
      <c r="N91" s="8">
        <f t="array" ref="N91">COUNT(IF(Linemen1=$A91,IF(HomeTeam=N$4,1)))+COUNT(IF(Linemen2=$A91,IF(HomeTeam=N$4,1)))</f>
        <v>0</v>
      </c>
      <c r="O91" s="8">
        <f t="array" ref="O91">COUNT(IF(Linemen1=$A91,IF(HomeTeam=O$4,1)))+COUNT(IF(Linemen2=$A91,IF(HomeTeam=O$4,1)))</f>
        <v>1</v>
      </c>
      <c r="P91" s="8">
        <f t="array" ref="P91">COUNT(IF(Linemen1=$A91,IF(HomeTeam=P$4,1)))+COUNT(IF(Linemen2=$A91,IF(HomeTeam=P$4,1)))</f>
        <v>0</v>
      </c>
      <c r="Q91" s="8">
        <f t="array" ref="Q91">COUNT(IF(Linemen1=$A91,IF(HomeTeam=Q$4,1)))+COUNT(IF(Linemen2=$A91,IF(HomeTeam=Q$4,1)))</f>
        <v>1</v>
      </c>
      <c r="R91" s="8">
        <f t="array" ref="R91">COUNT(IF(Linemen1=$A91,IF(HomeTeam=R$4,1)))+COUNT(IF(Linemen2=$A91,IF(HomeTeam=R$4,1)))</f>
        <v>1</v>
      </c>
      <c r="S91" s="8">
        <f t="array" ref="S91">COUNT(IF(Linemen1=$A91,IF(HomeTeam=S$4,1)))+COUNT(IF(Linemen2=$A91,IF(HomeTeam=S$4,1)))</f>
        <v>0</v>
      </c>
      <c r="T91" s="8">
        <f t="array" ref="T91">COUNT(IF(Linemen1=$A91,IF(HomeTeam=T$4,1)))+COUNT(IF(Linemen2=$A91,IF(HomeTeam=T$4,1)))</f>
        <v>0</v>
      </c>
      <c r="U91" s="8">
        <f t="array" ref="U91">COUNT(IF(Linemen1=$A91,IF(HomeTeam=U$4,1)))+COUNT(IF(Linemen2=$A91,IF(HomeTeam=U$4,1)))</f>
        <v>0</v>
      </c>
      <c r="V91" s="8">
        <f t="array" ref="V91">COUNT(IF(Linemen1=$A91,IF(HomeTeam=V$4,1)))+COUNT(IF(Linemen2=$A91,IF(HomeTeam=V$4,1)))</f>
        <v>0</v>
      </c>
      <c r="W91" s="8">
        <f t="array" ref="W91">COUNT(IF(Linemen1=$A91,IF(AwayTeam=W$4,1)))+COUNT(IF(Linemen2=$A91,IF(AwayTeam=W$4,1)))</f>
        <v>3</v>
      </c>
      <c r="X91" s="8">
        <f t="array" ref="X91">COUNT(IF(Linemen1=$A91,IF(AwayTeam=X$4,1)))+COUNT(IF(Linemen2=$A91,IF(AwayTeam=X$4,1)))</f>
        <v>1</v>
      </c>
      <c r="Y91" s="8">
        <f t="array" ref="Y91">COUNT(IF(Linemen1=$A91,IF(AwayTeam=Y$4,1)))+COUNT(IF(Linemen2=$A91,IF(AwayTeam=Y$4,1)))</f>
        <v>0</v>
      </c>
      <c r="Z91" s="8">
        <f t="array" ref="Z91">COUNT(IF(Linemen1=$A91,IF(AwayTeam=Z$4,1)))+COUNT(IF(Linemen2=$A91,IF(AwayTeam=Z$4,1)))</f>
        <v>7</v>
      </c>
      <c r="AA91" s="8">
        <f t="array" ref="AA91">COUNT(IF(Linemen1=$A91,IF(AwayTeam=AA$4,1)))+COUNT(IF(Linemen2=$A91,IF(AwayTeam=AA$4,1)))</f>
        <v>1</v>
      </c>
      <c r="AB91" s="8">
        <f t="array" ref="AB91">COUNT(IF(Linemen1=$A91,IF(AwayTeam=AB$4,1)))+COUNT(IF(Linemen2=$A91,IF(AwayTeam=AB$4,1)))</f>
        <v>0</v>
      </c>
      <c r="AC91" s="8">
        <f t="array" ref="AC91">COUNT(IF(Linemen1=$A91,IF(AwayTeam=AC$4,1)))+COUNT(IF(Linemen2=$A91,IF(AwayTeam=AC$4,1)))</f>
        <v>0</v>
      </c>
      <c r="AD91" s="8">
        <f t="array" ref="AD91">COUNT(IF(Linemen1=$A91,IF(AwayTeam=AD$4,1)))+COUNT(IF(Linemen2=$A91,IF(AwayTeam=AD$4,1)))</f>
        <v>1</v>
      </c>
      <c r="AE91" s="8">
        <f t="array" ref="AE91">COUNT(IF(Linemen1=$A91,IF(AwayTeam=AE$4,1)))+COUNT(IF(Linemen2=$A91,IF(AwayTeam=AE$4,1)))</f>
        <v>2</v>
      </c>
      <c r="AF91" s="8">
        <f t="array" ref="AF91">COUNT(IF(Linemen1=$A91,IF(AwayTeam=AF$4,1)))+COUNT(IF(Linemen2=$A91,IF(AwayTeam=AF$4,1)))</f>
        <v>2</v>
      </c>
      <c r="AG91" s="8">
        <f t="array" ref="AG91">COUNT(IF(Linemen1=$A91,IF(AwayTeam=AG$4,1)))+COUNT(IF(Linemen2=$A91,IF(AwayTeam=AG$4,1)))</f>
        <v>1</v>
      </c>
      <c r="AH91" s="8">
        <f t="array" ref="AH91">COUNT(IF(Linemen1=$A91,IF(AwayTeam=AH$4,1)))+COUNT(IF(Linemen2=$A91,IF(AwayTeam=AH$4,1)))</f>
        <v>0</v>
      </c>
      <c r="AI91" s="8">
        <f t="array" ref="AI91">COUNT(IF(Linemen1=$A91,IF(AwayTeam=AI$4,1)))+COUNT(IF(Linemen2=$A91,IF(AwayTeam=AI$4,1)))</f>
        <v>1</v>
      </c>
      <c r="AJ91" s="8">
        <f t="array" ref="AJ91">COUNT(IF(Linemen1=$A91,IF(AwayTeam=AJ$4,1)))+COUNT(IF(Linemen2=$A91,IF(AwayTeam=AJ$4,1)))</f>
        <v>0</v>
      </c>
      <c r="AK91" s="8">
        <f t="array" ref="AK91">COUNT(IF(Linemen1=$A91,IF(AwayTeam=AK$4,1)))+COUNT(IF(Linemen2=$A91,IF(AwayTeam=AK$4,1)))</f>
        <v>1</v>
      </c>
      <c r="AL91" s="8">
        <f t="array" ref="AL91">COUNT(IF(Linemen1=$A91,IF(AwayTeam=AL$4,1)))+COUNT(IF(Linemen2=$A91,IF(AwayTeam=AL$4,1)))</f>
        <v>0</v>
      </c>
      <c r="AM91" s="8">
        <f t="array" ref="AM91">COUNT(IF(Linemen1=$A91,IF(AwayTeam=AM$4,1)))+COUNT(IF(Linemen2=$A91,IF(AwayTeam=AM$4,1)))</f>
        <v>0</v>
      </c>
      <c r="AN91" s="8">
        <f t="array" ref="AN91">COUNT(IF(Linemen1=$A91,IF(AwayTeam=AN$4,1)))+COUNT(IF(Linemen2=$A91,IF(AwayTeam=AN$4,1)))</f>
        <v>0</v>
      </c>
      <c r="AO91" s="8">
        <f t="array" ref="AO91">COUNT(IF(Linemen1=$A91,IF(AwayTeam=AO$4,1)))+COUNT(IF(Linemen2=$A91,IF(AwayTeam=AO$4,1)))</f>
        <v>0</v>
      </c>
      <c r="AP91" s="8">
        <f t="array" ref="AP91">COUNT(IF(Linemen1=$A91,IF(AwayTeam=AP$4,1)))+COUNT(IF(Linemen2=$A91,IF(AwayTeam=AP$4,1)))</f>
        <v>0</v>
      </c>
    </row>
    <row r="92" spans="1:42" x14ac:dyDescent="0.2">
      <c r="A92" s="8" t="str">
        <f>IF(Info!B27&lt;&gt;0,Info!B27,"")</f>
        <v>Karabetsos, Alexios</v>
      </c>
      <c r="B92" s="8">
        <f t="shared" si="1"/>
        <v>29</v>
      </c>
      <c r="C92" s="8">
        <f t="array" ref="C92">COUNT(IF(Linemen1=$A92,IF(HomeTeam=C$4,1)))+COUNT(IF(Linemen2=$A92,IF(HomeTeam=C$4,1)))</f>
        <v>8</v>
      </c>
      <c r="D92" s="8">
        <f t="array" ref="D92">COUNT(IF(Linemen1=$A92,IF(HomeTeam=D$4,1)))+COUNT(IF(Linemen2=$A92,IF(HomeTeam=D$4,1)))</f>
        <v>5</v>
      </c>
      <c r="E92" s="8">
        <f t="array" ref="E92">COUNT(IF(Linemen1=$A92,IF(HomeTeam=E$4,1)))+COUNT(IF(Linemen2=$A92,IF(HomeTeam=E$4,1)))</f>
        <v>2</v>
      </c>
      <c r="F92" s="8">
        <f t="array" ref="F92">COUNT(IF(Linemen1=$A92,IF(HomeTeam=F$4,1)))+COUNT(IF(Linemen2=$A92,IF(HomeTeam=F$4,1)))</f>
        <v>4</v>
      </c>
      <c r="G92" s="8">
        <f t="array" ref="G92">COUNT(IF(Linemen1=$A92,IF(HomeTeam=G$4,1)))+COUNT(IF(Linemen2=$A92,IF(HomeTeam=G$4,1)))</f>
        <v>3</v>
      </c>
      <c r="H92" s="8">
        <f t="array" ref="H92">COUNT(IF(Linemen1=$A92,IF(HomeTeam=H$4,1)))+COUNT(IF(Linemen2=$A92,IF(HomeTeam=H$4,1)))</f>
        <v>0</v>
      </c>
      <c r="I92" s="8">
        <f t="array" ref="I92">COUNT(IF(Linemen1=$A92,IF(HomeTeam=I$4,1)))+COUNT(IF(Linemen2=$A92,IF(HomeTeam=I$4,1)))</f>
        <v>0</v>
      </c>
      <c r="J92" s="8">
        <f t="array" ref="J92">COUNT(IF(Linemen1=$A92,IF(HomeTeam=J$4,1)))+COUNT(IF(Linemen2=$A92,IF(HomeTeam=J$4,1)))</f>
        <v>1</v>
      </c>
      <c r="K92" s="8">
        <f t="array" ref="K92">COUNT(IF(Linemen1=$A92,IF(HomeTeam=K$4,1)))+COUNT(IF(Linemen2=$A92,IF(HomeTeam=K$4,1)))</f>
        <v>1</v>
      </c>
      <c r="L92" s="8">
        <f t="array" ref="L92">COUNT(IF(Linemen1=$A92,IF(HomeTeam=L$4,1)))+COUNT(IF(Linemen2=$A92,IF(HomeTeam=L$4,1)))</f>
        <v>0</v>
      </c>
      <c r="M92" s="8">
        <f t="array" ref="M92">COUNT(IF(Linemen1=$A92,IF(HomeTeam=M$4,1)))+COUNT(IF(Linemen2=$A92,IF(HomeTeam=M$4,1)))</f>
        <v>1</v>
      </c>
      <c r="N92" s="8">
        <f t="array" ref="N92">COUNT(IF(Linemen1=$A92,IF(HomeTeam=N$4,1)))+COUNT(IF(Linemen2=$A92,IF(HomeTeam=N$4,1)))</f>
        <v>1</v>
      </c>
      <c r="O92" s="8">
        <f t="array" ref="O92">COUNT(IF(Linemen1=$A92,IF(HomeTeam=O$4,1)))+COUNT(IF(Linemen2=$A92,IF(HomeTeam=O$4,1)))</f>
        <v>1</v>
      </c>
      <c r="P92" s="8">
        <f t="array" ref="P92">COUNT(IF(Linemen1=$A92,IF(HomeTeam=P$4,1)))+COUNT(IF(Linemen2=$A92,IF(HomeTeam=P$4,1)))</f>
        <v>2</v>
      </c>
      <c r="Q92" s="8">
        <f t="array" ref="Q92">COUNT(IF(Linemen1=$A92,IF(HomeTeam=Q$4,1)))+COUNT(IF(Linemen2=$A92,IF(HomeTeam=Q$4,1)))</f>
        <v>0</v>
      </c>
      <c r="R92" s="8">
        <f t="array" ref="R92">COUNT(IF(Linemen1=$A92,IF(HomeTeam=R$4,1)))+COUNT(IF(Linemen2=$A92,IF(HomeTeam=R$4,1)))</f>
        <v>0</v>
      </c>
      <c r="S92" s="8">
        <f t="array" ref="S92">COUNT(IF(Linemen1=$A92,IF(HomeTeam=S$4,1)))+COUNT(IF(Linemen2=$A92,IF(HomeTeam=S$4,1)))</f>
        <v>0</v>
      </c>
      <c r="T92" s="8">
        <f t="array" ref="T92">COUNT(IF(Linemen1=$A92,IF(HomeTeam=T$4,1)))+COUNT(IF(Linemen2=$A92,IF(HomeTeam=T$4,1)))</f>
        <v>0</v>
      </c>
      <c r="U92" s="8">
        <f t="array" ref="U92">COUNT(IF(Linemen1=$A92,IF(HomeTeam=U$4,1)))+COUNT(IF(Linemen2=$A92,IF(HomeTeam=U$4,1)))</f>
        <v>0</v>
      </c>
      <c r="V92" s="8">
        <f t="array" ref="V92">COUNT(IF(Linemen1=$A92,IF(HomeTeam=V$4,1)))+COUNT(IF(Linemen2=$A92,IF(HomeTeam=V$4,1)))</f>
        <v>0</v>
      </c>
      <c r="W92" s="8">
        <f t="array" ref="W92">COUNT(IF(Linemen1=$A92,IF(AwayTeam=W$4,1)))+COUNT(IF(Linemen2=$A92,IF(AwayTeam=W$4,1)))</f>
        <v>8</v>
      </c>
      <c r="X92" s="8">
        <f t="array" ref="X92">COUNT(IF(Linemen1=$A92,IF(AwayTeam=X$4,1)))+COUNT(IF(Linemen2=$A92,IF(AwayTeam=X$4,1)))</f>
        <v>1</v>
      </c>
      <c r="Y92" s="8">
        <f t="array" ref="Y92">COUNT(IF(Linemen1=$A92,IF(AwayTeam=Y$4,1)))+COUNT(IF(Linemen2=$A92,IF(AwayTeam=Y$4,1)))</f>
        <v>2</v>
      </c>
      <c r="Z92" s="8">
        <f t="array" ref="Z92">COUNT(IF(Linemen1=$A92,IF(AwayTeam=Z$4,1)))+COUNT(IF(Linemen2=$A92,IF(AwayTeam=Z$4,1)))</f>
        <v>3</v>
      </c>
      <c r="AA92" s="8">
        <f t="array" ref="AA92">COUNT(IF(Linemen1=$A92,IF(AwayTeam=AA$4,1)))+COUNT(IF(Linemen2=$A92,IF(AwayTeam=AA$4,1)))</f>
        <v>2</v>
      </c>
      <c r="AB92" s="8">
        <f t="array" ref="AB92">COUNT(IF(Linemen1=$A92,IF(AwayTeam=AB$4,1)))+COUNT(IF(Linemen2=$A92,IF(AwayTeam=AB$4,1)))</f>
        <v>1</v>
      </c>
      <c r="AC92" s="8">
        <f t="array" ref="AC92">COUNT(IF(Linemen1=$A92,IF(AwayTeam=AC$4,1)))+COUNT(IF(Linemen2=$A92,IF(AwayTeam=AC$4,1)))</f>
        <v>3</v>
      </c>
      <c r="AD92" s="8">
        <f t="array" ref="AD92">COUNT(IF(Linemen1=$A92,IF(AwayTeam=AD$4,1)))+COUNT(IF(Linemen2=$A92,IF(AwayTeam=AD$4,1)))</f>
        <v>0</v>
      </c>
      <c r="AE92" s="8">
        <f t="array" ref="AE92">COUNT(IF(Linemen1=$A92,IF(AwayTeam=AE$4,1)))+COUNT(IF(Linemen2=$A92,IF(AwayTeam=AE$4,1)))</f>
        <v>1</v>
      </c>
      <c r="AF92" s="8">
        <f t="array" ref="AF92">COUNT(IF(Linemen1=$A92,IF(AwayTeam=AF$4,1)))+COUNT(IF(Linemen2=$A92,IF(AwayTeam=AF$4,1)))</f>
        <v>3</v>
      </c>
      <c r="AG92" s="8">
        <f t="array" ref="AG92">COUNT(IF(Linemen1=$A92,IF(AwayTeam=AG$4,1)))+COUNT(IF(Linemen2=$A92,IF(AwayTeam=AG$4,1)))</f>
        <v>1</v>
      </c>
      <c r="AH92" s="8">
        <f t="array" ref="AH92">COUNT(IF(Linemen1=$A92,IF(AwayTeam=AH$4,1)))+COUNT(IF(Linemen2=$A92,IF(AwayTeam=AH$4,1)))</f>
        <v>0</v>
      </c>
      <c r="AI92" s="8">
        <f t="array" ref="AI92">COUNT(IF(Linemen1=$A92,IF(AwayTeam=AI$4,1)))+COUNT(IF(Linemen2=$A92,IF(AwayTeam=AI$4,1)))</f>
        <v>0</v>
      </c>
      <c r="AJ92" s="8">
        <f t="array" ref="AJ92">COUNT(IF(Linemen1=$A92,IF(AwayTeam=AJ$4,1)))+COUNT(IF(Linemen2=$A92,IF(AwayTeam=AJ$4,1)))</f>
        <v>0</v>
      </c>
      <c r="AK92" s="8">
        <f t="array" ref="AK92">COUNT(IF(Linemen1=$A92,IF(AwayTeam=AK$4,1)))+COUNT(IF(Linemen2=$A92,IF(AwayTeam=AK$4,1)))</f>
        <v>0</v>
      </c>
      <c r="AL92" s="8">
        <f t="array" ref="AL92">COUNT(IF(Linemen1=$A92,IF(AwayTeam=AL$4,1)))+COUNT(IF(Linemen2=$A92,IF(AwayTeam=AL$4,1)))</f>
        <v>4</v>
      </c>
      <c r="AM92" s="8">
        <f t="array" ref="AM92">COUNT(IF(Linemen1=$A92,IF(AwayTeam=AM$4,1)))+COUNT(IF(Linemen2=$A92,IF(AwayTeam=AM$4,1)))</f>
        <v>0</v>
      </c>
      <c r="AN92" s="8">
        <f t="array" ref="AN92">COUNT(IF(Linemen1=$A92,IF(AwayTeam=AN$4,1)))+COUNT(IF(Linemen2=$A92,IF(AwayTeam=AN$4,1)))</f>
        <v>0</v>
      </c>
      <c r="AO92" s="8">
        <f t="array" ref="AO92">COUNT(IF(Linemen1=$A92,IF(AwayTeam=AO$4,1)))+COUNT(IF(Linemen2=$A92,IF(AwayTeam=AO$4,1)))</f>
        <v>0</v>
      </c>
      <c r="AP92" s="8">
        <f t="array" ref="AP92">COUNT(IF(Linemen1=$A92,IF(AwayTeam=AP$4,1)))+COUNT(IF(Linemen2=$A92,IF(AwayTeam=AP$4,1)))</f>
        <v>0</v>
      </c>
    </row>
    <row r="93" spans="1:42" x14ac:dyDescent="0.2">
      <c r="A93" s="8" t="str">
        <f>IF(Info!B28&lt;&gt;0,Info!B28,"")</f>
        <v>Klinkhammer, Nick</v>
      </c>
      <c r="B93" s="8">
        <f t="shared" si="1"/>
        <v>6</v>
      </c>
      <c r="C93" s="8">
        <f t="array" ref="C93">COUNT(IF(Linemen1=$A93,IF(HomeTeam=C$4,1)))+COUNT(IF(Linemen2=$A93,IF(HomeTeam=C$4,1)))</f>
        <v>1</v>
      </c>
      <c r="D93" s="8">
        <f t="array" ref="D93">COUNT(IF(Linemen1=$A93,IF(HomeTeam=D$4,1)))+COUNT(IF(Linemen2=$A93,IF(HomeTeam=D$4,1)))</f>
        <v>0</v>
      </c>
      <c r="E93" s="8">
        <f t="array" ref="E93">COUNT(IF(Linemen1=$A93,IF(HomeTeam=E$4,1)))+COUNT(IF(Linemen2=$A93,IF(HomeTeam=E$4,1)))</f>
        <v>0</v>
      </c>
      <c r="F93" s="8">
        <f t="array" ref="F93">COUNT(IF(Linemen1=$A93,IF(HomeTeam=F$4,1)))+COUNT(IF(Linemen2=$A93,IF(HomeTeam=F$4,1)))</f>
        <v>1</v>
      </c>
      <c r="G93" s="8">
        <f t="array" ref="G93">COUNT(IF(Linemen1=$A93,IF(HomeTeam=G$4,1)))+COUNT(IF(Linemen2=$A93,IF(HomeTeam=G$4,1)))</f>
        <v>0</v>
      </c>
      <c r="H93" s="8">
        <f t="array" ref="H93">COUNT(IF(Linemen1=$A93,IF(HomeTeam=H$4,1)))+COUNT(IF(Linemen2=$A93,IF(HomeTeam=H$4,1)))</f>
        <v>2</v>
      </c>
      <c r="I93" s="8">
        <f t="array" ref="I93">COUNT(IF(Linemen1=$A93,IF(HomeTeam=I$4,1)))+COUNT(IF(Linemen2=$A93,IF(HomeTeam=I$4,1)))</f>
        <v>1</v>
      </c>
      <c r="J93" s="8">
        <f t="array" ref="J93">COUNT(IF(Linemen1=$A93,IF(HomeTeam=J$4,1)))+COUNT(IF(Linemen2=$A93,IF(HomeTeam=J$4,1)))</f>
        <v>0</v>
      </c>
      <c r="K93" s="8">
        <f t="array" ref="K93">COUNT(IF(Linemen1=$A93,IF(HomeTeam=K$4,1)))+COUNT(IF(Linemen2=$A93,IF(HomeTeam=K$4,1)))</f>
        <v>0</v>
      </c>
      <c r="L93" s="8">
        <f t="array" ref="L93">COUNT(IF(Linemen1=$A93,IF(HomeTeam=L$4,1)))+COUNT(IF(Linemen2=$A93,IF(HomeTeam=L$4,1)))</f>
        <v>0</v>
      </c>
      <c r="M93" s="8">
        <f t="array" ref="M93">COUNT(IF(Linemen1=$A93,IF(HomeTeam=M$4,1)))+COUNT(IF(Linemen2=$A93,IF(HomeTeam=M$4,1)))</f>
        <v>0</v>
      </c>
      <c r="N93" s="8">
        <f t="array" ref="N93">COUNT(IF(Linemen1=$A93,IF(HomeTeam=N$4,1)))+COUNT(IF(Linemen2=$A93,IF(HomeTeam=N$4,1)))</f>
        <v>0</v>
      </c>
      <c r="O93" s="8">
        <f t="array" ref="O93">COUNT(IF(Linemen1=$A93,IF(HomeTeam=O$4,1)))+COUNT(IF(Linemen2=$A93,IF(HomeTeam=O$4,1)))</f>
        <v>0</v>
      </c>
      <c r="P93" s="8">
        <f t="array" ref="P93">COUNT(IF(Linemen1=$A93,IF(HomeTeam=P$4,1)))+COUNT(IF(Linemen2=$A93,IF(HomeTeam=P$4,1)))</f>
        <v>0</v>
      </c>
      <c r="Q93" s="8">
        <f t="array" ref="Q93">COUNT(IF(Linemen1=$A93,IF(HomeTeam=Q$4,1)))+COUNT(IF(Linemen2=$A93,IF(HomeTeam=Q$4,1)))</f>
        <v>0</v>
      </c>
      <c r="R93" s="8">
        <f t="array" ref="R93">COUNT(IF(Linemen1=$A93,IF(HomeTeam=R$4,1)))+COUNT(IF(Linemen2=$A93,IF(HomeTeam=R$4,1)))</f>
        <v>1</v>
      </c>
      <c r="S93" s="8">
        <f t="array" ref="S93">COUNT(IF(Linemen1=$A93,IF(HomeTeam=S$4,1)))+COUNT(IF(Linemen2=$A93,IF(HomeTeam=S$4,1)))</f>
        <v>0</v>
      </c>
      <c r="T93" s="8">
        <f t="array" ref="T93">COUNT(IF(Linemen1=$A93,IF(HomeTeam=T$4,1)))+COUNT(IF(Linemen2=$A93,IF(HomeTeam=T$4,1)))</f>
        <v>0</v>
      </c>
      <c r="U93" s="8">
        <f t="array" ref="U93">COUNT(IF(Linemen1=$A93,IF(HomeTeam=U$4,1)))+COUNT(IF(Linemen2=$A93,IF(HomeTeam=U$4,1)))</f>
        <v>0</v>
      </c>
      <c r="V93" s="8">
        <f t="array" ref="V93">COUNT(IF(Linemen1=$A93,IF(HomeTeam=V$4,1)))+COUNT(IF(Linemen2=$A93,IF(HomeTeam=V$4,1)))</f>
        <v>0</v>
      </c>
      <c r="W93" s="8">
        <f t="array" ref="W93">COUNT(IF(Linemen1=$A93,IF(AwayTeam=W$4,1)))+COUNT(IF(Linemen2=$A93,IF(AwayTeam=W$4,1)))</f>
        <v>1</v>
      </c>
      <c r="X93" s="8">
        <f t="array" ref="X93">COUNT(IF(Linemen1=$A93,IF(AwayTeam=X$4,1)))+COUNT(IF(Linemen2=$A93,IF(AwayTeam=X$4,1)))</f>
        <v>1</v>
      </c>
      <c r="Y93" s="8">
        <f t="array" ref="Y93">COUNT(IF(Linemen1=$A93,IF(AwayTeam=Y$4,1)))+COUNT(IF(Linemen2=$A93,IF(AwayTeam=Y$4,1)))</f>
        <v>0</v>
      </c>
      <c r="Z93" s="8">
        <f t="array" ref="Z93">COUNT(IF(Linemen1=$A93,IF(AwayTeam=Z$4,1)))+COUNT(IF(Linemen2=$A93,IF(AwayTeam=Z$4,1)))</f>
        <v>3</v>
      </c>
      <c r="AA93" s="8">
        <f t="array" ref="AA93">COUNT(IF(Linemen1=$A93,IF(AwayTeam=AA$4,1)))+COUNT(IF(Linemen2=$A93,IF(AwayTeam=AA$4,1)))</f>
        <v>0</v>
      </c>
      <c r="AB93" s="8">
        <f t="array" ref="AB93">COUNT(IF(Linemen1=$A93,IF(AwayTeam=AB$4,1)))+COUNT(IF(Linemen2=$A93,IF(AwayTeam=AB$4,1)))</f>
        <v>0</v>
      </c>
      <c r="AC93" s="8">
        <f t="array" ref="AC93">COUNT(IF(Linemen1=$A93,IF(AwayTeam=AC$4,1)))+COUNT(IF(Linemen2=$A93,IF(AwayTeam=AC$4,1)))</f>
        <v>0</v>
      </c>
      <c r="AD93" s="8">
        <f t="array" ref="AD93">COUNT(IF(Linemen1=$A93,IF(AwayTeam=AD$4,1)))+COUNT(IF(Linemen2=$A93,IF(AwayTeam=AD$4,1)))</f>
        <v>0</v>
      </c>
      <c r="AE93" s="8">
        <f t="array" ref="AE93">COUNT(IF(Linemen1=$A93,IF(AwayTeam=AE$4,1)))+COUNT(IF(Linemen2=$A93,IF(AwayTeam=AE$4,1)))</f>
        <v>0</v>
      </c>
      <c r="AF93" s="8">
        <f t="array" ref="AF93">COUNT(IF(Linemen1=$A93,IF(AwayTeam=AF$4,1)))+COUNT(IF(Linemen2=$A93,IF(AwayTeam=AF$4,1)))</f>
        <v>0</v>
      </c>
      <c r="AG93" s="8">
        <f t="array" ref="AG93">COUNT(IF(Linemen1=$A93,IF(AwayTeam=AG$4,1)))+COUNT(IF(Linemen2=$A93,IF(AwayTeam=AG$4,1)))</f>
        <v>0</v>
      </c>
      <c r="AH93" s="8">
        <f t="array" ref="AH93">COUNT(IF(Linemen1=$A93,IF(AwayTeam=AH$4,1)))+COUNT(IF(Linemen2=$A93,IF(AwayTeam=AH$4,1)))</f>
        <v>1</v>
      </c>
      <c r="AI93" s="8">
        <f t="array" ref="AI93">COUNT(IF(Linemen1=$A93,IF(AwayTeam=AI$4,1)))+COUNT(IF(Linemen2=$A93,IF(AwayTeam=AI$4,1)))</f>
        <v>0</v>
      </c>
      <c r="AJ93" s="8">
        <f t="array" ref="AJ93">COUNT(IF(Linemen1=$A93,IF(AwayTeam=AJ$4,1)))+COUNT(IF(Linemen2=$A93,IF(AwayTeam=AJ$4,1)))</f>
        <v>0</v>
      </c>
      <c r="AK93" s="8">
        <f t="array" ref="AK93">COUNT(IF(Linemen1=$A93,IF(AwayTeam=AK$4,1)))+COUNT(IF(Linemen2=$A93,IF(AwayTeam=AK$4,1)))</f>
        <v>0</v>
      </c>
      <c r="AL93" s="8">
        <f t="array" ref="AL93">COUNT(IF(Linemen1=$A93,IF(AwayTeam=AL$4,1)))+COUNT(IF(Linemen2=$A93,IF(AwayTeam=AL$4,1)))</f>
        <v>0</v>
      </c>
      <c r="AM93" s="8">
        <f t="array" ref="AM93">COUNT(IF(Linemen1=$A93,IF(AwayTeam=AM$4,1)))+COUNT(IF(Linemen2=$A93,IF(AwayTeam=AM$4,1)))</f>
        <v>0</v>
      </c>
      <c r="AN93" s="8">
        <f t="array" ref="AN93">COUNT(IF(Linemen1=$A93,IF(AwayTeam=AN$4,1)))+COUNT(IF(Linemen2=$A93,IF(AwayTeam=AN$4,1)))</f>
        <v>0</v>
      </c>
      <c r="AO93" s="8">
        <f t="array" ref="AO93">COUNT(IF(Linemen1=$A93,IF(AwayTeam=AO$4,1)))+COUNT(IF(Linemen2=$A93,IF(AwayTeam=AO$4,1)))</f>
        <v>0</v>
      </c>
      <c r="AP93" s="8">
        <f t="array" ref="AP93">COUNT(IF(Linemen1=$A93,IF(AwayTeam=AP$4,1)))+COUNT(IF(Linemen2=$A93,IF(AwayTeam=AP$4,1)))</f>
        <v>0</v>
      </c>
    </row>
    <row r="94" spans="1:42" x14ac:dyDescent="0.2">
      <c r="A94" s="8" t="str">
        <f>IF(Info!B29&lt;&gt;0,Info!B29,"")</f>
        <v>Lewis, Brendan</v>
      </c>
      <c r="B94" s="8">
        <f t="shared" si="1"/>
        <v>1</v>
      </c>
      <c r="C94" s="8">
        <f t="array" ref="C94">COUNT(IF(Linemen1=$A94,IF(HomeTeam=C$4,1)))+COUNT(IF(Linemen2=$A94,IF(HomeTeam=C$4,1)))</f>
        <v>0</v>
      </c>
      <c r="D94" s="8">
        <f t="array" ref="D94">COUNT(IF(Linemen1=$A94,IF(HomeTeam=D$4,1)))+COUNT(IF(Linemen2=$A94,IF(HomeTeam=D$4,1)))</f>
        <v>0</v>
      </c>
      <c r="E94" s="8">
        <f t="array" ref="E94">COUNT(IF(Linemen1=$A94,IF(HomeTeam=E$4,1)))+COUNT(IF(Linemen2=$A94,IF(HomeTeam=E$4,1)))</f>
        <v>0</v>
      </c>
      <c r="F94" s="8">
        <f t="array" ref="F94">COUNT(IF(Linemen1=$A94,IF(HomeTeam=F$4,1)))+COUNT(IF(Linemen2=$A94,IF(HomeTeam=F$4,1)))</f>
        <v>0</v>
      </c>
      <c r="G94" s="8">
        <f t="array" ref="G94">COUNT(IF(Linemen1=$A94,IF(HomeTeam=G$4,1)))+COUNT(IF(Linemen2=$A94,IF(HomeTeam=G$4,1)))</f>
        <v>0</v>
      </c>
      <c r="H94" s="8">
        <f t="array" ref="H94">COUNT(IF(Linemen1=$A94,IF(HomeTeam=H$4,1)))+COUNT(IF(Linemen2=$A94,IF(HomeTeam=H$4,1)))</f>
        <v>0</v>
      </c>
      <c r="I94" s="8">
        <f t="array" ref="I94">COUNT(IF(Linemen1=$A94,IF(HomeTeam=I$4,1)))+COUNT(IF(Linemen2=$A94,IF(HomeTeam=I$4,1)))</f>
        <v>0</v>
      </c>
      <c r="J94" s="8">
        <f t="array" ref="J94">COUNT(IF(Linemen1=$A94,IF(HomeTeam=J$4,1)))+COUNT(IF(Linemen2=$A94,IF(HomeTeam=J$4,1)))</f>
        <v>0</v>
      </c>
      <c r="K94" s="8">
        <f t="array" ref="K94">COUNT(IF(Linemen1=$A94,IF(HomeTeam=K$4,1)))+COUNT(IF(Linemen2=$A94,IF(HomeTeam=K$4,1)))</f>
        <v>0</v>
      </c>
      <c r="L94" s="8">
        <f t="array" ref="L94">COUNT(IF(Linemen1=$A94,IF(HomeTeam=L$4,1)))+COUNT(IF(Linemen2=$A94,IF(HomeTeam=L$4,1)))</f>
        <v>0</v>
      </c>
      <c r="M94" s="8">
        <f t="array" ref="M94">COUNT(IF(Linemen1=$A94,IF(HomeTeam=M$4,1)))+COUNT(IF(Linemen2=$A94,IF(HomeTeam=M$4,1)))</f>
        <v>0</v>
      </c>
      <c r="N94" s="8">
        <f t="array" ref="N94">COUNT(IF(Linemen1=$A94,IF(HomeTeam=N$4,1)))+COUNT(IF(Linemen2=$A94,IF(HomeTeam=N$4,1)))</f>
        <v>0</v>
      </c>
      <c r="O94" s="8">
        <f t="array" ref="O94">COUNT(IF(Linemen1=$A94,IF(HomeTeam=O$4,1)))+COUNT(IF(Linemen2=$A94,IF(HomeTeam=O$4,1)))</f>
        <v>0</v>
      </c>
      <c r="P94" s="8">
        <f t="array" ref="P94">COUNT(IF(Linemen1=$A94,IF(HomeTeam=P$4,1)))+COUNT(IF(Linemen2=$A94,IF(HomeTeam=P$4,1)))</f>
        <v>0</v>
      </c>
      <c r="Q94" s="8">
        <f t="array" ref="Q94">COUNT(IF(Linemen1=$A94,IF(HomeTeam=Q$4,1)))+COUNT(IF(Linemen2=$A94,IF(HomeTeam=Q$4,1)))</f>
        <v>0</v>
      </c>
      <c r="R94" s="8">
        <f t="array" ref="R94">COUNT(IF(Linemen1=$A94,IF(HomeTeam=R$4,1)))+COUNT(IF(Linemen2=$A94,IF(HomeTeam=R$4,1)))</f>
        <v>0</v>
      </c>
      <c r="S94" s="8">
        <f t="array" ref="S94">COUNT(IF(Linemen1=$A94,IF(HomeTeam=S$4,1)))+COUNT(IF(Linemen2=$A94,IF(HomeTeam=S$4,1)))</f>
        <v>1</v>
      </c>
      <c r="T94" s="8">
        <f t="array" ref="T94">COUNT(IF(Linemen1=$A94,IF(HomeTeam=T$4,1)))+COUNT(IF(Linemen2=$A94,IF(HomeTeam=T$4,1)))</f>
        <v>0</v>
      </c>
      <c r="U94" s="8">
        <f t="array" ref="U94">COUNT(IF(Linemen1=$A94,IF(HomeTeam=U$4,1)))+COUNT(IF(Linemen2=$A94,IF(HomeTeam=U$4,1)))</f>
        <v>0</v>
      </c>
      <c r="V94" s="8">
        <f t="array" ref="V94">COUNT(IF(Linemen1=$A94,IF(HomeTeam=V$4,1)))+COUNT(IF(Linemen2=$A94,IF(HomeTeam=V$4,1)))</f>
        <v>0</v>
      </c>
      <c r="W94" s="8">
        <f t="array" ref="W94">COUNT(IF(Linemen1=$A94,IF(AwayTeam=W$4,1)))+COUNT(IF(Linemen2=$A94,IF(AwayTeam=W$4,1)))</f>
        <v>1</v>
      </c>
      <c r="X94" s="8">
        <f t="array" ref="X94">COUNT(IF(Linemen1=$A94,IF(AwayTeam=X$4,1)))+COUNT(IF(Linemen2=$A94,IF(AwayTeam=X$4,1)))</f>
        <v>0</v>
      </c>
      <c r="Y94" s="8">
        <f t="array" ref="Y94">COUNT(IF(Linemen1=$A94,IF(AwayTeam=Y$4,1)))+COUNT(IF(Linemen2=$A94,IF(AwayTeam=Y$4,1)))</f>
        <v>0</v>
      </c>
      <c r="Z94" s="8">
        <f t="array" ref="Z94">COUNT(IF(Linemen1=$A94,IF(AwayTeam=Z$4,1)))+COUNT(IF(Linemen2=$A94,IF(AwayTeam=Z$4,1)))</f>
        <v>0</v>
      </c>
      <c r="AA94" s="8">
        <f t="array" ref="AA94">COUNT(IF(Linemen1=$A94,IF(AwayTeam=AA$4,1)))+COUNT(IF(Linemen2=$A94,IF(AwayTeam=AA$4,1)))</f>
        <v>0</v>
      </c>
      <c r="AB94" s="8">
        <f t="array" ref="AB94">COUNT(IF(Linemen1=$A94,IF(AwayTeam=AB$4,1)))+COUNT(IF(Linemen2=$A94,IF(AwayTeam=AB$4,1)))</f>
        <v>0</v>
      </c>
      <c r="AC94" s="8">
        <f t="array" ref="AC94">COUNT(IF(Linemen1=$A94,IF(AwayTeam=AC$4,1)))+COUNT(IF(Linemen2=$A94,IF(AwayTeam=AC$4,1)))</f>
        <v>0</v>
      </c>
      <c r="AD94" s="8">
        <f t="array" ref="AD94">COUNT(IF(Linemen1=$A94,IF(AwayTeam=AD$4,1)))+COUNT(IF(Linemen2=$A94,IF(AwayTeam=AD$4,1)))</f>
        <v>0</v>
      </c>
      <c r="AE94" s="8">
        <f t="array" ref="AE94">COUNT(IF(Linemen1=$A94,IF(AwayTeam=AE$4,1)))+COUNT(IF(Linemen2=$A94,IF(AwayTeam=AE$4,1)))</f>
        <v>0</v>
      </c>
      <c r="AF94" s="8">
        <f t="array" ref="AF94">COUNT(IF(Linemen1=$A94,IF(AwayTeam=AF$4,1)))+COUNT(IF(Linemen2=$A94,IF(AwayTeam=AF$4,1)))</f>
        <v>0</v>
      </c>
      <c r="AG94" s="8">
        <f t="array" ref="AG94">COUNT(IF(Linemen1=$A94,IF(AwayTeam=AG$4,1)))+COUNT(IF(Linemen2=$A94,IF(AwayTeam=AG$4,1)))</f>
        <v>0</v>
      </c>
      <c r="AH94" s="8">
        <f t="array" ref="AH94">COUNT(IF(Linemen1=$A94,IF(AwayTeam=AH$4,1)))+COUNT(IF(Linemen2=$A94,IF(AwayTeam=AH$4,1)))</f>
        <v>0</v>
      </c>
      <c r="AI94" s="8">
        <f t="array" ref="AI94">COUNT(IF(Linemen1=$A94,IF(AwayTeam=AI$4,1)))+COUNT(IF(Linemen2=$A94,IF(AwayTeam=AI$4,1)))</f>
        <v>0</v>
      </c>
      <c r="AJ94" s="8">
        <f t="array" ref="AJ94">COUNT(IF(Linemen1=$A94,IF(AwayTeam=AJ$4,1)))+COUNT(IF(Linemen2=$A94,IF(AwayTeam=AJ$4,1)))</f>
        <v>0</v>
      </c>
      <c r="AK94" s="8">
        <f t="array" ref="AK94">COUNT(IF(Linemen1=$A94,IF(AwayTeam=AK$4,1)))+COUNT(IF(Linemen2=$A94,IF(AwayTeam=AK$4,1)))</f>
        <v>0</v>
      </c>
      <c r="AL94" s="8">
        <f t="array" ref="AL94">COUNT(IF(Linemen1=$A94,IF(AwayTeam=AL$4,1)))+COUNT(IF(Linemen2=$A94,IF(AwayTeam=AL$4,1)))</f>
        <v>0</v>
      </c>
      <c r="AM94" s="8">
        <f t="array" ref="AM94">COUNT(IF(Linemen1=$A94,IF(AwayTeam=AM$4,1)))+COUNT(IF(Linemen2=$A94,IF(AwayTeam=AM$4,1)))</f>
        <v>0</v>
      </c>
      <c r="AN94" s="8">
        <f t="array" ref="AN94">COUNT(IF(Linemen1=$A94,IF(AwayTeam=AN$4,1)))+COUNT(IF(Linemen2=$A94,IF(AwayTeam=AN$4,1)))</f>
        <v>0</v>
      </c>
      <c r="AO94" s="8">
        <f t="array" ref="AO94">COUNT(IF(Linemen1=$A94,IF(AwayTeam=AO$4,1)))+COUNT(IF(Linemen2=$A94,IF(AwayTeam=AO$4,1)))</f>
        <v>0</v>
      </c>
      <c r="AP94" s="8">
        <f t="array" ref="AP94">COUNT(IF(Linemen1=$A94,IF(AwayTeam=AP$4,1)))+COUNT(IF(Linemen2=$A94,IF(AwayTeam=AP$4,1)))</f>
        <v>0</v>
      </c>
    </row>
    <row r="95" spans="1:42" x14ac:dyDescent="0.2">
      <c r="A95" s="8" t="str">
        <f>IF(Info!B30&lt;&gt;0,Info!B30,"")</f>
        <v>Mack, Dwight</v>
      </c>
      <c r="B95" s="8">
        <f t="shared" si="1"/>
        <v>2</v>
      </c>
      <c r="C95" s="8">
        <f t="array" ref="C95">COUNT(IF(Linemen1=$A95,IF(HomeTeam=C$4,1)))+COUNT(IF(Linemen2=$A95,IF(HomeTeam=C$4,1)))</f>
        <v>0</v>
      </c>
      <c r="D95" s="8">
        <f t="array" ref="D95">COUNT(IF(Linemen1=$A95,IF(HomeTeam=D$4,1)))+COUNT(IF(Linemen2=$A95,IF(HomeTeam=D$4,1)))</f>
        <v>0</v>
      </c>
      <c r="E95" s="8">
        <f t="array" ref="E95">COUNT(IF(Linemen1=$A95,IF(HomeTeam=E$4,1)))+COUNT(IF(Linemen2=$A95,IF(HomeTeam=E$4,1)))</f>
        <v>0</v>
      </c>
      <c r="F95" s="8">
        <f t="array" ref="F95">COUNT(IF(Linemen1=$A95,IF(HomeTeam=F$4,1)))+COUNT(IF(Linemen2=$A95,IF(HomeTeam=F$4,1)))</f>
        <v>0</v>
      </c>
      <c r="G95" s="8">
        <f t="array" ref="G95">COUNT(IF(Linemen1=$A95,IF(HomeTeam=G$4,1)))+COUNT(IF(Linemen2=$A95,IF(HomeTeam=G$4,1)))</f>
        <v>0</v>
      </c>
      <c r="H95" s="8">
        <f t="array" ref="H95">COUNT(IF(Linemen1=$A95,IF(HomeTeam=H$4,1)))+COUNT(IF(Linemen2=$A95,IF(HomeTeam=H$4,1)))</f>
        <v>2</v>
      </c>
      <c r="I95" s="8">
        <f t="array" ref="I95">COUNT(IF(Linemen1=$A95,IF(HomeTeam=I$4,1)))+COUNT(IF(Linemen2=$A95,IF(HomeTeam=I$4,1)))</f>
        <v>0</v>
      </c>
      <c r="J95" s="8">
        <f t="array" ref="J95">COUNT(IF(Linemen1=$A95,IF(HomeTeam=J$4,1)))+COUNT(IF(Linemen2=$A95,IF(HomeTeam=J$4,1)))</f>
        <v>0</v>
      </c>
      <c r="K95" s="8">
        <f t="array" ref="K95">COUNT(IF(Linemen1=$A95,IF(HomeTeam=K$4,1)))+COUNT(IF(Linemen2=$A95,IF(HomeTeam=K$4,1)))</f>
        <v>0</v>
      </c>
      <c r="L95" s="8">
        <f t="array" ref="L95">COUNT(IF(Linemen1=$A95,IF(HomeTeam=L$4,1)))+COUNT(IF(Linemen2=$A95,IF(HomeTeam=L$4,1)))</f>
        <v>0</v>
      </c>
      <c r="M95" s="8">
        <f t="array" ref="M95">COUNT(IF(Linemen1=$A95,IF(HomeTeam=M$4,1)))+COUNT(IF(Linemen2=$A95,IF(HomeTeam=M$4,1)))</f>
        <v>0</v>
      </c>
      <c r="N95" s="8">
        <f t="array" ref="N95">COUNT(IF(Linemen1=$A95,IF(HomeTeam=N$4,1)))+COUNT(IF(Linemen2=$A95,IF(HomeTeam=N$4,1)))</f>
        <v>0</v>
      </c>
      <c r="O95" s="8">
        <f t="array" ref="O95">COUNT(IF(Linemen1=$A95,IF(HomeTeam=O$4,1)))+COUNT(IF(Linemen2=$A95,IF(HomeTeam=O$4,1)))</f>
        <v>0</v>
      </c>
      <c r="P95" s="8">
        <f t="array" ref="P95">COUNT(IF(Linemen1=$A95,IF(HomeTeam=P$4,1)))+COUNT(IF(Linemen2=$A95,IF(HomeTeam=P$4,1)))</f>
        <v>0</v>
      </c>
      <c r="Q95" s="8">
        <f t="array" ref="Q95">COUNT(IF(Linemen1=$A95,IF(HomeTeam=Q$4,1)))+COUNT(IF(Linemen2=$A95,IF(HomeTeam=Q$4,1)))</f>
        <v>0</v>
      </c>
      <c r="R95" s="8">
        <f t="array" ref="R95">COUNT(IF(Linemen1=$A95,IF(HomeTeam=R$4,1)))+COUNT(IF(Linemen2=$A95,IF(HomeTeam=R$4,1)))</f>
        <v>0</v>
      </c>
      <c r="S95" s="8">
        <f t="array" ref="S95">COUNT(IF(Linemen1=$A95,IF(HomeTeam=S$4,1)))+COUNT(IF(Linemen2=$A95,IF(HomeTeam=S$4,1)))</f>
        <v>0</v>
      </c>
      <c r="T95" s="8">
        <f t="array" ref="T95">COUNT(IF(Linemen1=$A95,IF(HomeTeam=T$4,1)))+COUNT(IF(Linemen2=$A95,IF(HomeTeam=T$4,1)))</f>
        <v>0</v>
      </c>
      <c r="U95" s="8">
        <f t="array" ref="U95">COUNT(IF(Linemen1=$A95,IF(HomeTeam=U$4,1)))+COUNT(IF(Linemen2=$A95,IF(HomeTeam=U$4,1)))</f>
        <v>0</v>
      </c>
      <c r="V95" s="8">
        <f t="array" ref="V95">COUNT(IF(Linemen1=$A95,IF(HomeTeam=V$4,1)))+COUNT(IF(Linemen2=$A95,IF(HomeTeam=V$4,1)))</f>
        <v>0</v>
      </c>
      <c r="W95" s="8">
        <f t="array" ref="W95">COUNT(IF(Linemen1=$A95,IF(AwayTeam=W$4,1)))+COUNT(IF(Linemen2=$A95,IF(AwayTeam=W$4,1)))</f>
        <v>0</v>
      </c>
      <c r="X95" s="8">
        <f t="array" ref="X95">COUNT(IF(Linemen1=$A95,IF(AwayTeam=X$4,1)))+COUNT(IF(Linemen2=$A95,IF(AwayTeam=X$4,1)))</f>
        <v>0</v>
      </c>
      <c r="Y95" s="8">
        <f t="array" ref="Y95">COUNT(IF(Linemen1=$A95,IF(AwayTeam=Y$4,1)))+COUNT(IF(Linemen2=$A95,IF(AwayTeam=Y$4,1)))</f>
        <v>0</v>
      </c>
      <c r="Z95" s="8">
        <f t="array" ref="Z95">COUNT(IF(Linemen1=$A95,IF(AwayTeam=Z$4,1)))+COUNT(IF(Linemen2=$A95,IF(AwayTeam=Z$4,1)))</f>
        <v>2</v>
      </c>
      <c r="AA95" s="8">
        <f t="array" ref="AA95">COUNT(IF(Linemen1=$A95,IF(AwayTeam=AA$4,1)))+COUNT(IF(Linemen2=$A95,IF(AwayTeam=AA$4,1)))</f>
        <v>0</v>
      </c>
      <c r="AB95" s="8">
        <f t="array" ref="AB95">COUNT(IF(Linemen1=$A95,IF(AwayTeam=AB$4,1)))+COUNT(IF(Linemen2=$A95,IF(AwayTeam=AB$4,1)))</f>
        <v>0</v>
      </c>
      <c r="AC95" s="8">
        <f t="array" ref="AC95">COUNT(IF(Linemen1=$A95,IF(AwayTeam=AC$4,1)))+COUNT(IF(Linemen2=$A95,IF(AwayTeam=AC$4,1)))</f>
        <v>0</v>
      </c>
      <c r="AD95" s="8">
        <f t="array" ref="AD95">COUNT(IF(Linemen1=$A95,IF(AwayTeam=AD$4,1)))+COUNT(IF(Linemen2=$A95,IF(AwayTeam=AD$4,1)))</f>
        <v>0</v>
      </c>
      <c r="AE95" s="8">
        <f t="array" ref="AE95">COUNT(IF(Linemen1=$A95,IF(AwayTeam=AE$4,1)))+COUNT(IF(Linemen2=$A95,IF(AwayTeam=AE$4,1)))</f>
        <v>0</v>
      </c>
      <c r="AF95" s="8">
        <f t="array" ref="AF95">COUNT(IF(Linemen1=$A95,IF(AwayTeam=AF$4,1)))+COUNT(IF(Linemen2=$A95,IF(AwayTeam=AF$4,1)))</f>
        <v>0</v>
      </c>
      <c r="AG95" s="8">
        <f t="array" ref="AG95">COUNT(IF(Linemen1=$A95,IF(AwayTeam=AG$4,1)))+COUNT(IF(Linemen2=$A95,IF(AwayTeam=AG$4,1)))</f>
        <v>0</v>
      </c>
      <c r="AH95" s="8">
        <f t="array" ref="AH95">COUNT(IF(Linemen1=$A95,IF(AwayTeam=AH$4,1)))+COUNT(IF(Linemen2=$A95,IF(AwayTeam=AH$4,1)))</f>
        <v>0</v>
      </c>
      <c r="AI95" s="8">
        <f t="array" ref="AI95">COUNT(IF(Linemen1=$A95,IF(AwayTeam=AI$4,1)))+COUNT(IF(Linemen2=$A95,IF(AwayTeam=AI$4,1)))</f>
        <v>0</v>
      </c>
      <c r="AJ95" s="8">
        <f t="array" ref="AJ95">COUNT(IF(Linemen1=$A95,IF(AwayTeam=AJ$4,1)))+COUNT(IF(Linemen2=$A95,IF(AwayTeam=AJ$4,1)))</f>
        <v>0</v>
      </c>
      <c r="AK95" s="8">
        <f t="array" ref="AK95">COUNT(IF(Linemen1=$A95,IF(AwayTeam=AK$4,1)))+COUNT(IF(Linemen2=$A95,IF(AwayTeam=AK$4,1)))</f>
        <v>0</v>
      </c>
      <c r="AL95" s="8">
        <f t="array" ref="AL95">COUNT(IF(Linemen1=$A95,IF(AwayTeam=AL$4,1)))+COUNT(IF(Linemen2=$A95,IF(AwayTeam=AL$4,1)))</f>
        <v>0</v>
      </c>
      <c r="AM95" s="8">
        <f t="array" ref="AM95">COUNT(IF(Linemen1=$A95,IF(AwayTeam=AM$4,1)))+COUNT(IF(Linemen2=$A95,IF(AwayTeam=AM$4,1)))</f>
        <v>0</v>
      </c>
      <c r="AN95" s="8">
        <f t="array" ref="AN95">COUNT(IF(Linemen1=$A95,IF(AwayTeam=AN$4,1)))+COUNT(IF(Linemen2=$A95,IF(AwayTeam=AN$4,1)))</f>
        <v>0</v>
      </c>
      <c r="AO95" s="8">
        <f t="array" ref="AO95">COUNT(IF(Linemen1=$A95,IF(AwayTeam=AO$4,1)))+COUNT(IF(Linemen2=$A95,IF(AwayTeam=AO$4,1)))</f>
        <v>0</v>
      </c>
      <c r="AP95" s="8">
        <f t="array" ref="AP95">COUNT(IF(Linemen1=$A95,IF(AwayTeam=AP$4,1)))+COUNT(IF(Linemen2=$A95,IF(AwayTeam=AP$4,1)))</f>
        <v>0</v>
      </c>
    </row>
    <row r="96" spans="1:42" x14ac:dyDescent="0.2">
      <c r="A96" s="8" t="str">
        <f>IF(Info!B31&lt;&gt;0,Info!B31,"")</f>
        <v>McCambridge, Cameron</v>
      </c>
      <c r="B96" s="8">
        <f t="shared" si="1"/>
        <v>17</v>
      </c>
      <c r="C96" s="8">
        <f t="array" ref="C96">COUNT(IF(Linemen1=$A96,IF(HomeTeam=C$4,1)))+COUNT(IF(Linemen2=$A96,IF(HomeTeam=C$4,1)))</f>
        <v>3</v>
      </c>
      <c r="D96" s="8">
        <f t="array" ref="D96">COUNT(IF(Linemen1=$A96,IF(HomeTeam=D$4,1)))+COUNT(IF(Linemen2=$A96,IF(HomeTeam=D$4,1)))</f>
        <v>4</v>
      </c>
      <c r="E96" s="8">
        <f t="array" ref="E96">COUNT(IF(Linemen1=$A96,IF(HomeTeam=E$4,1)))+COUNT(IF(Linemen2=$A96,IF(HomeTeam=E$4,1)))</f>
        <v>1</v>
      </c>
      <c r="F96" s="8">
        <f t="array" ref="F96">COUNT(IF(Linemen1=$A96,IF(HomeTeam=F$4,1)))+COUNT(IF(Linemen2=$A96,IF(HomeTeam=F$4,1)))</f>
        <v>1</v>
      </c>
      <c r="G96" s="8">
        <f t="array" ref="G96">COUNT(IF(Linemen1=$A96,IF(HomeTeam=G$4,1)))+COUNT(IF(Linemen2=$A96,IF(HomeTeam=G$4,1)))</f>
        <v>1</v>
      </c>
      <c r="H96" s="8">
        <f t="array" ref="H96">COUNT(IF(Linemen1=$A96,IF(HomeTeam=H$4,1)))+COUNT(IF(Linemen2=$A96,IF(HomeTeam=H$4,1)))</f>
        <v>1</v>
      </c>
      <c r="I96" s="8">
        <f t="array" ref="I96">COUNT(IF(Linemen1=$A96,IF(HomeTeam=I$4,1)))+COUNT(IF(Linemen2=$A96,IF(HomeTeam=I$4,1)))</f>
        <v>1</v>
      </c>
      <c r="J96" s="8">
        <f t="array" ref="J96">COUNT(IF(Linemen1=$A96,IF(HomeTeam=J$4,1)))+COUNT(IF(Linemen2=$A96,IF(HomeTeam=J$4,1)))</f>
        <v>1</v>
      </c>
      <c r="K96" s="8">
        <f t="array" ref="K96">COUNT(IF(Linemen1=$A96,IF(HomeTeam=K$4,1)))+COUNT(IF(Linemen2=$A96,IF(HomeTeam=K$4,1)))</f>
        <v>1</v>
      </c>
      <c r="L96" s="8">
        <f t="array" ref="L96">COUNT(IF(Linemen1=$A96,IF(HomeTeam=L$4,1)))+COUNT(IF(Linemen2=$A96,IF(HomeTeam=L$4,1)))</f>
        <v>0</v>
      </c>
      <c r="M96" s="8">
        <f t="array" ref="M96">COUNT(IF(Linemen1=$A96,IF(HomeTeam=M$4,1)))+COUNT(IF(Linemen2=$A96,IF(HomeTeam=M$4,1)))</f>
        <v>0</v>
      </c>
      <c r="N96" s="8">
        <f t="array" ref="N96">COUNT(IF(Linemen1=$A96,IF(HomeTeam=N$4,1)))+COUNT(IF(Linemen2=$A96,IF(HomeTeam=N$4,1)))</f>
        <v>0</v>
      </c>
      <c r="O96" s="8">
        <f t="array" ref="O96">COUNT(IF(Linemen1=$A96,IF(HomeTeam=O$4,1)))+COUNT(IF(Linemen2=$A96,IF(HomeTeam=O$4,1)))</f>
        <v>0</v>
      </c>
      <c r="P96" s="8">
        <f t="array" ref="P96">COUNT(IF(Linemen1=$A96,IF(HomeTeam=P$4,1)))+COUNT(IF(Linemen2=$A96,IF(HomeTeam=P$4,1)))</f>
        <v>0</v>
      </c>
      <c r="Q96" s="8">
        <f t="array" ref="Q96">COUNT(IF(Linemen1=$A96,IF(HomeTeam=Q$4,1)))+COUNT(IF(Linemen2=$A96,IF(HomeTeam=Q$4,1)))</f>
        <v>1</v>
      </c>
      <c r="R96" s="8">
        <f t="array" ref="R96">COUNT(IF(Linemen1=$A96,IF(HomeTeam=R$4,1)))+COUNT(IF(Linemen2=$A96,IF(HomeTeam=R$4,1)))</f>
        <v>1</v>
      </c>
      <c r="S96" s="8">
        <f t="array" ref="S96">COUNT(IF(Linemen1=$A96,IF(HomeTeam=S$4,1)))+COUNT(IF(Linemen2=$A96,IF(HomeTeam=S$4,1)))</f>
        <v>1</v>
      </c>
      <c r="T96" s="8">
        <f t="array" ref="T96">COUNT(IF(Linemen1=$A96,IF(HomeTeam=T$4,1)))+COUNT(IF(Linemen2=$A96,IF(HomeTeam=T$4,1)))</f>
        <v>0</v>
      </c>
      <c r="U96" s="8">
        <f t="array" ref="U96">COUNT(IF(Linemen1=$A96,IF(HomeTeam=U$4,1)))+COUNT(IF(Linemen2=$A96,IF(HomeTeam=U$4,1)))</f>
        <v>0</v>
      </c>
      <c r="V96" s="8">
        <f t="array" ref="V96">COUNT(IF(Linemen1=$A96,IF(HomeTeam=V$4,1)))+COUNT(IF(Linemen2=$A96,IF(HomeTeam=V$4,1)))</f>
        <v>0</v>
      </c>
      <c r="W96" s="8">
        <f t="array" ref="W96">COUNT(IF(Linemen1=$A96,IF(AwayTeam=W$4,1)))+COUNT(IF(Linemen2=$A96,IF(AwayTeam=W$4,1)))</f>
        <v>3</v>
      </c>
      <c r="X96" s="8">
        <f t="array" ref="X96">COUNT(IF(Linemen1=$A96,IF(AwayTeam=X$4,1)))+COUNT(IF(Linemen2=$A96,IF(AwayTeam=X$4,1)))</f>
        <v>3</v>
      </c>
      <c r="Y96" s="8">
        <f t="array" ref="Y96">COUNT(IF(Linemen1=$A96,IF(AwayTeam=Y$4,1)))+COUNT(IF(Linemen2=$A96,IF(AwayTeam=Y$4,1)))</f>
        <v>0</v>
      </c>
      <c r="Z96" s="8">
        <f t="array" ref="Z96">COUNT(IF(Linemen1=$A96,IF(AwayTeam=Z$4,1)))+COUNT(IF(Linemen2=$A96,IF(AwayTeam=Z$4,1)))</f>
        <v>2</v>
      </c>
      <c r="AA96" s="8">
        <f t="array" ref="AA96">COUNT(IF(Linemen1=$A96,IF(AwayTeam=AA$4,1)))+COUNT(IF(Linemen2=$A96,IF(AwayTeam=AA$4,1)))</f>
        <v>1</v>
      </c>
      <c r="AB96" s="8">
        <f t="array" ref="AB96">COUNT(IF(Linemen1=$A96,IF(AwayTeam=AB$4,1)))+COUNT(IF(Linemen2=$A96,IF(AwayTeam=AB$4,1)))</f>
        <v>0</v>
      </c>
      <c r="AC96" s="8">
        <f t="array" ref="AC96">COUNT(IF(Linemen1=$A96,IF(AwayTeam=AC$4,1)))+COUNT(IF(Linemen2=$A96,IF(AwayTeam=AC$4,1)))</f>
        <v>1</v>
      </c>
      <c r="AD96" s="8">
        <f t="array" ref="AD96">COUNT(IF(Linemen1=$A96,IF(AwayTeam=AD$4,1)))+COUNT(IF(Linemen2=$A96,IF(AwayTeam=AD$4,1)))</f>
        <v>0</v>
      </c>
      <c r="AE96" s="8">
        <f t="array" ref="AE96">COUNT(IF(Linemen1=$A96,IF(AwayTeam=AE$4,1)))+COUNT(IF(Linemen2=$A96,IF(AwayTeam=AE$4,1)))</f>
        <v>2</v>
      </c>
      <c r="AF96" s="8">
        <f t="array" ref="AF96">COUNT(IF(Linemen1=$A96,IF(AwayTeam=AF$4,1)))+COUNT(IF(Linemen2=$A96,IF(AwayTeam=AF$4,1)))</f>
        <v>2</v>
      </c>
      <c r="AG96" s="8">
        <f t="array" ref="AG96">COUNT(IF(Linemen1=$A96,IF(AwayTeam=AG$4,1)))+COUNT(IF(Linemen2=$A96,IF(AwayTeam=AG$4,1)))</f>
        <v>0</v>
      </c>
      <c r="AH96" s="8">
        <f t="array" ref="AH96">COUNT(IF(Linemen1=$A96,IF(AwayTeam=AH$4,1)))+COUNT(IF(Linemen2=$A96,IF(AwayTeam=AH$4,1)))</f>
        <v>1</v>
      </c>
      <c r="AI96" s="8">
        <f t="array" ref="AI96">COUNT(IF(Linemen1=$A96,IF(AwayTeam=AI$4,1)))+COUNT(IF(Linemen2=$A96,IF(AwayTeam=AI$4,1)))</f>
        <v>0</v>
      </c>
      <c r="AJ96" s="8">
        <f t="array" ref="AJ96">COUNT(IF(Linemen1=$A96,IF(AwayTeam=AJ$4,1)))+COUNT(IF(Linemen2=$A96,IF(AwayTeam=AJ$4,1)))</f>
        <v>1</v>
      </c>
      <c r="AK96" s="8">
        <f t="array" ref="AK96">COUNT(IF(Linemen1=$A96,IF(AwayTeam=AK$4,1)))+COUNT(IF(Linemen2=$A96,IF(AwayTeam=AK$4,1)))</f>
        <v>0</v>
      </c>
      <c r="AL96" s="8">
        <f t="array" ref="AL96">COUNT(IF(Linemen1=$A96,IF(AwayTeam=AL$4,1)))+COUNT(IF(Linemen2=$A96,IF(AwayTeam=AL$4,1)))</f>
        <v>0</v>
      </c>
      <c r="AM96" s="8">
        <f t="array" ref="AM96">COUNT(IF(Linemen1=$A96,IF(AwayTeam=AM$4,1)))+COUNT(IF(Linemen2=$A96,IF(AwayTeam=AM$4,1)))</f>
        <v>1</v>
      </c>
      <c r="AN96" s="8">
        <f t="array" ref="AN96">COUNT(IF(Linemen1=$A96,IF(AwayTeam=AN$4,1)))+COUNT(IF(Linemen2=$A96,IF(AwayTeam=AN$4,1)))</f>
        <v>0</v>
      </c>
      <c r="AO96" s="8">
        <f t="array" ref="AO96">COUNT(IF(Linemen1=$A96,IF(AwayTeam=AO$4,1)))+COUNT(IF(Linemen2=$A96,IF(AwayTeam=AO$4,1)))</f>
        <v>0</v>
      </c>
      <c r="AP96" s="8">
        <f t="array" ref="AP96">COUNT(IF(Linemen1=$A96,IF(AwayTeam=AP$4,1)))+COUNT(IF(Linemen2=$A96,IF(AwayTeam=AP$4,1)))</f>
        <v>0</v>
      </c>
    </row>
    <row r="97" spans="1:42" x14ac:dyDescent="0.2">
      <c r="A97" s="8" t="str">
        <f>IF(Info!B32&lt;&gt;0,Info!B32,"")</f>
        <v>McCrary, Aaron</v>
      </c>
      <c r="B97" s="8">
        <f t="shared" si="1"/>
        <v>4</v>
      </c>
      <c r="C97" s="8">
        <f t="array" ref="C97">COUNT(IF(Linemen1=$A97,IF(HomeTeam=C$4,1)))+COUNT(IF(Linemen2=$A97,IF(HomeTeam=C$4,1)))</f>
        <v>3</v>
      </c>
      <c r="D97" s="8">
        <f t="array" ref="D97">COUNT(IF(Linemen1=$A97,IF(HomeTeam=D$4,1)))+COUNT(IF(Linemen2=$A97,IF(HomeTeam=D$4,1)))</f>
        <v>0</v>
      </c>
      <c r="E97" s="8">
        <f t="array" ref="E97">COUNT(IF(Linemen1=$A97,IF(HomeTeam=E$4,1)))+COUNT(IF(Linemen2=$A97,IF(HomeTeam=E$4,1)))</f>
        <v>0</v>
      </c>
      <c r="F97" s="8">
        <f t="array" ref="F97">COUNT(IF(Linemen1=$A97,IF(HomeTeam=F$4,1)))+COUNT(IF(Linemen2=$A97,IF(HomeTeam=F$4,1)))</f>
        <v>0</v>
      </c>
      <c r="G97" s="8">
        <f t="array" ref="G97">COUNT(IF(Linemen1=$A97,IF(HomeTeam=G$4,1)))+COUNT(IF(Linemen2=$A97,IF(HomeTeam=G$4,1)))</f>
        <v>0</v>
      </c>
      <c r="H97" s="8">
        <f t="array" ref="H97">COUNT(IF(Linemen1=$A97,IF(HomeTeam=H$4,1)))+COUNT(IF(Linemen2=$A97,IF(HomeTeam=H$4,1)))</f>
        <v>0</v>
      </c>
      <c r="I97" s="8">
        <f t="array" ref="I97">COUNT(IF(Linemen1=$A97,IF(HomeTeam=I$4,1)))+COUNT(IF(Linemen2=$A97,IF(HomeTeam=I$4,1)))</f>
        <v>0</v>
      </c>
      <c r="J97" s="8">
        <f t="array" ref="J97">COUNT(IF(Linemen1=$A97,IF(HomeTeam=J$4,1)))+COUNT(IF(Linemen2=$A97,IF(HomeTeam=J$4,1)))</f>
        <v>0</v>
      </c>
      <c r="K97" s="8">
        <f t="array" ref="K97">COUNT(IF(Linemen1=$A97,IF(HomeTeam=K$4,1)))+COUNT(IF(Linemen2=$A97,IF(HomeTeam=K$4,1)))</f>
        <v>1</v>
      </c>
      <c r="L97" s="8">
        <f t="array" ref="L97">COUNT(IF(Linemen1=$A97,IF(HomeTeam=L$4,1)))+COUNT(IF(Linemen2=$A97,IF(HomeTeam=L$4,1)))</f>
        <v>0</v>
      </c>
      <c r="M97" s="8">
        <f t="array" ref="M97">COUNT(IF(Linemen1=$A97,IF(HomeTeam=M$4,1)))+COUNT(IF(Linemen2=$A97,IF(HomeTeam=M$4,1)))</f>
        <v>0</v>
      </c>
      <c r="N97" s="8">
        <f t="array" ref="N97">COUNT(IF(Linemen1=$A97,IF(HomeTeam=N$4,1)))+COUNT(IF(Linemen2=$A97,IF(HomeTeam=N$4,1)))</f>
        <v>0</v>
      </c>
      <c r="O97" s="8">
        <f t="array" ref="O97">COUNT(IF(Linemen1=$A97,IF(HomeTeam=O$4,1)))+COUNT(IF(Linemen2=$A97,IF(HomeTeam=O$4,1)))</f>
        <v>0</v>
      </c>
      <c r="P97" s="8">
        <f t="array" ref="P97">COUNT(IF(Linemen1=$A97,IF(HomeTeam=P$4,1)))+COUNT(IF(Linemen2=$A97,IF(HomeTeam=P$4,1)))</f>
        <v>0</v>
      </c>
      <c r="Q97" s="8">
        <f t="array" ref="Q97">COUNT(IF(Linemen1=$A97,IF(HomeTeam=Q$4,1)))+COUNT(IF(Linemen2=$A97,IF(HomeTeam=Q$4,1)))</f>
        <v>0</v>
      </c>
      <c r="R97" s="8">
        <f t="array" ref="R97">COUNT(IF(Linemen1=$A97,IF(HomeTeam=R$4,1)))+COUNT(IF(Linemen2=$A97,IF(HomeTeam=R$4,1)))</f>
        <v>0</v>
      </c>
      <c r="S97" s="8">
        <f t="array" ref="S97">COUNT(IF(Linemen1=$A97,IF(HomeTeam=S$4,1)))+COUNT(IF(Linemen2=$A97,IF(HomeTeam=S$4,1)))</f>
        <v>0</v>
      </c>
      <c r="T97" s="8">
        <f t="array" ref="T97">COUNT(IF(Linemen1=$A97,IF(HomeTeam=T$4,1)))+COUNT(IF(Linemen2=$A97,IF(HomeTeam=T$4,1)))</f>
        <v>0</v>
      </c>
      <c r="U97" s="8">
        <f t="array" ref="U97">COUNT(IF(Linemen1=$A97,IF(HomeTeam=U$4,1)))+COUNT(IF(Linemen2=$A97,IF(HomeTeam=U$4,1)))</f>
        <v>0</v>
      </c>
      <c r="V97" s="8">
        <f t="array" ref="V97">COUNT(IF(Linemen1=$A97,IF(HomeTeam=V$4,1)))+COUNT(IF(Linemen2=$A97,IF(HomeTeam=V$4,1)))</f>
        <v>0</v>
      </c>
      <c r="W97" s="8">
        <f t="array" ref="W97">COUNT(IF(Linemen1=$A97,IF(AwayTeam=W$4,1)))+COUNT(IF(Linemen2=$A97,IF(AwayTeam=W$4,1)))</f>
        <v>0</v>
      </c>
      <c r="X97" s="8">
        <f t="array" ref="X97">COUNT(IF(Linemen1=$A97,IF(AwayTeam=X$4,1)))+COUNT(IF(Linemen2=$A97,IF(AwayTeam=X$4,1)))</f>
        <v>1</v>
      </c>
      <c r="Y97" s="8">
        <f t="array" ref="Y97">COUNT(IF(Linemen1=$A97,IF(AwayTeam=Y$4,1)))+COUNT(IF(Linemen2=$A97,IF(AwayTeam=Y$4,1)))</f>
        <v>0</v>
      </c>
      <c r="Z97" s="8">
        <f t="array" ref="Z97">COUNT(IF(Linemen1=$A97,IF(AwayTeam=Z$4,1)))+COUNT(IF(Linemen2=$A97,IF(AwayTeam=Z$4,1)))</f>
        <v>0</v>
      </c>
      <c r="AA97" s="8">
        <f t="array" ref="AA97">COUNT(IF(Linemen1=$A97,IF(AwayTeam=AA$4,1)))+COUNT(IF(Linemen2=$A97,IF(AwayTeam=AA$4,1)))</f>
        <v>0</v>
      </c>
      <c r="AB97" s="8">
        <f t="array" ref="AB97">COUNT(IF(Linemen1=$A97,IF(AwayTeam=AB$4,1)))+COUNT(IF(Linemen2=$A97,IF(AwayTeam=AB$4,1)))</f>
        <v>0</v>
      </c>
      <c r="AC97" s="8">
        <f t="array" ref="AC97">COUNT(IF(Linemen1=$A97,IF(AwayTeam=AC$4,1)))+COUNT(IF(Linemen2=$A97,IF(AwayTeam=AC$4,1)))</f>
        <v>1</v>
      </c>
      <c r="AD97" s="8">
        <f t="array" ref="AD97">COUNT(IF(Linemen1=$A97,IF(AwayTeam=AD$4,1)))+COUNT(IF(Linemen2=$A97,IF(AwayTeam=AD$4,1)))</f>
        <v>0</v>
      </c>
      <c r="AE97" s="8">
        <f t="array" ref="AE97">COUNT(IF(Linemen1=$A97,IF(AwayTeam=AE$4,1)))+COUNT(IF(Linemen2=$A97,IF(AwayTeam=AE$4,1)))</f>
        <v>1</v>
      </c>
      <c r="AF97" s="8">
        <f t="array" ref="AF97">COUNT(IF(Linemen1=$A97,IF(AwayTeam=AF$4,1)))+COUNT(IF(Linemen2=$A97,IF(AwayTeam=AF$4,1)))</f>
        <v>0</v>
      </c>
      <c r="AG97" s="8">
        <f t="array" ref="AG97">COUNT(IF(Linemen1=$A97,IF(AwayTeam=AG$4,1)))+COUNT(IF(Linemen2=$A97,IF(AwayTeam=AG$4,1)))</f>
        <v>0</v>
      </c>
      <c r="AH97" s="8">
        <f t="array" ref="AH97">COUNT(IF(Linemen1=$A97,IF(AwayTeam=AH$4,1)))+COUNT(IF(Linemen2=$A97,IF(AwayTeam=AH$4,1)))</f>
        <v>0</v>
      </c>
      <c r="AI97" s="8">
        <f t="array" ref="AI97">COUNT(IF(Linemen1=$A97,IF(AwayTeam=AI$4,1)))+COUNT(IF(Linemen2=$A97,IF(AwayTeam=AI$4,1)))</f>
        <v>0</v>
      </c>
      <c r="AJ97" s="8">
        <f t="array" ref="AJ97">COUNT(IF(Linemen1=$A97,IF(AwayTeam=AJ$4,1)))+COUNT(IF(Linemen2=$A97,IF(AwayTeam=AJ$4,1)))</f>
        <v>0</v>
      </c>
      <c r="AK97" s="8">
        <f t="array" ref="AK97">COUNT(IF(Linemen1=$A97,IF(AwayTeam=AK$4,1)))+COUNT(IF(Linemen2=$A97,IF(AwayTeam=AK$4,1)))</f>
        <v>0</v>
      </c>
      <c r="AL97" s="8">
        <f t="array" ref="AL97">COUNT(IF(Linemen1=$A97,IF(AwayTeam=AL$4,1)))+COUNT(IF(Linemen2=$A97,IF(AwayTeam=AL$4,1)))</f>
        <v>1</v>
      </c>
      <c r="AM97" s="8">
        <f t="array" ref="AM97">COUNT(IF(Linemen1=$A97,IF(AwayTeam=AM$4,1)))+COUNT(IF(Linemen2=$A97,IF(AwayTeam=AM$4,1)))</f>
        <v>0</v>
      </c>
      <c r="AN97" s="8">
        <f t="array" ref="AN97">COUNT(IF(Linemen1=$A97,IF(AwayTeam=AN$4,1)))+COUNT(IF(Linemen2=$A97,IF(AwayTeam=AN$4,1)))</f>
        <v>0</v>
      </c>
      <c r="AO97" s="8">
        <f t="array" ref="AO97">COUNT(IF(Linemen1=$A97,IF(AwayTeam=AO$4,1)))+COUNT(IF(Linemen2=$A97,IF(AwayTeam=AO$4,1)))</f>
        <v>0</v>
      </c>
      <c r="AP97" s="8">
        <f t="array" ref="AP97">COUNT(IF(Linemen1=$A97,IF(AwayTeam=AP$4,1)))+COUNT(IF(Linemen2=$A97,IF(AwayTeam=AP$4,1)))</f>
        <v>0</v>
      </c>
    </row>
    <row r="98" spans="1:42" x14ac:dyDescent="0.2">
      <c r="A98" s="8" t="str">
        <f>IF(Info!B33&lt;&gt;0,Info!B33,"")</f>
        <v>McDonald, Eric</v>
      </c>
      <c r="B98" s="8">
        <f t="shared" si="1"/>
        <v>25</v>
      </c>
      <c r="C98" s="8">
        <f t="array" ref="C98">COUNT(IF(Linemen1=$A98,IF(HomeTeam=C$4,1)))+COUNT(IF(Linemen2=$A98,IF(HomeTeam=C$4,1)))</f>
        <v>3</v>
      </c>
      <c r="D98" s="8">
        <f t="array" ref="D98">COUNT(IF(Linemen1=$A98,IF(HomeTeam=D$4,1)))+COUNT(IF(Linemen2=$A98,IF(HomeTeam=D$4,1)))</f>
        <v>8</v>
      </c>
      <c r="E98" s="8">
        <f t="array" ref="E98">COUNT(IF(Linemen1=$A98,IF(HomeTeam=E$4,1)))+COUNT(IF(Linemen2=$A98,IF(HomeTeam=E$4,1)))</f>
        <v>1</v>
      </c>
      <c r="F98" s="8">
        <f t="array" ref="F98">COUNT(IF(Linemen1=$A98,IF(HomeTeam=F$4,1)))+COUNT(IF(Linemen2=$A98,IF(HomeTeam=F$4,1)))</f>
        <v>1</v>
      </c>
      <c r="G98" s="8">
        <f t="array" ref="G98">COUNT(IF(Linemen1=$A98,IF(HomeTeam=G$4,1)))+COUNT(IF(Linemen2=$A98,IF(HomeTeam=G$4,1)))</f>
        <v>1</v>
      </c>
      <c r="H98" s="8">
        <f t="array" ref="H98">COUNT(IF(Linemen1=$A98,IF(HomeTeam=H$4,1)))+COUNT(IF(Linemen2=$A98,IF(HomeTeam=H$4,1)))</f>
        <v>1</v>
      </c>
      <c r="I98" s="8">
        <f t="array" ref="I98">COUNT(IF(Linemen1=$A98,IF(HomeTeam=I$4,1)))+COUNT(IF(Linemen2=$A98,IF(HomeTeam=I$4,1)))</f>
        <v>4</v>
      </c>
      <c r="J98" s="8">
        <f t="array" ref="J98">COUNT(IF(Linemen1=$A98,IF(HomeTeam=J$4,1)))+COUNT(IF(Linemen2=$A98,IF(HomeTeam=J$4,1)))</f>
        <v>0</v>
      </c>
      <c r="K98" s="8">
        <f t="array" ref="K98">COUNT(IF(Linemen1=$A98,IF(HomeTeam=K$4,1)))+COUNT(IF(Linemen2=$A98,IF(HomeTeam=K$4,1)))</f>
        <v>2</v>
      </c>
      <c r="L98" s="8">
        <f t="array" ref="L98">COUNT(IF(Linemen1=$A98,IF(HomeTeam=L$4,1)))+COUNT(IF(Linemen2=$A98,IF(HomeTeam=L$4,1)))</f>
        <v>3</v>
      </c>
      <c r="M98" s="8">
        <f t="array" ref="M98">COUNT(IF(Linemen1=$A98,IF(HomeTeam=M$4,1)))+COUNT(IF(Linemen2=$A98,IF(HomeTeam=M$4,1)))</f>
        <v>0</v>
      </c>
      <c r="N98" s="8">
        <f t="array" ref="N98">COUNT(IF(Linemen1=$A98,IF(HomeTeam=N$4,1)))+COUNT(IF(Linemen2=$A98,IF(HomeTeam=N$4,1)))</f>
        <v>0</v>
      </c>
      <c r="O98" s="8">
        <f t="array" ref="O98">COUNT(IF(Linemen1=$A98,IF(HomeTeam=O$4,1)))+COUNT(IF(Linemen2=$A98,IF(HomeTeam=O$4,1)))</f>
        <v>1</v>
      </c>
      <c r="P98" s="8">
        <f t="array" ref="P98">COUNT(IF(Linemen1=$A98,IF(HomeTeam=P$4,1)))+COUNT(IF(Linemen2=$A98,IF(HomeTeam=P$4,1)))</f>
        <v>0</v>
      </c>
      <c r="Q98" s="8">
        <f t="array" ref="Q98">COUNT(IF(Linemen1=$A98,IF(HomeTeam=Q$4,1)))+COUNT(IF(Linemen2=$A98,IF(HomeTeam=Q$4,1)))</f>
        <v>0</v>
      </c>
      <c r="R98" s="8">
        <f t="array" ref="R98">COUNT(IF(Linemen1=$A98,IF(HomeTeam=R$4,1)))+COUNT(IF(Linemen2=$A98,IF(HomeTeam=R$4,1)))</f>
        <v>0</v>
      </c>
      <c r="S98" s="8">
        <f t="array" ref="S98">COUNT(IF(Linemen1=$A98,IF(HomeTeam=S$4,1)))+COUNT(IF(Linemen2=$A98,IF(HomeTeam=S$4,1)))</f>
        <v>0</v>
      </c>
      <c r="T98" s="8">
        <f t="array" ref="T98">COUNT(IF(Linemen1=$A98,IF(HomeTeam=T$4,1)))+COUNT(IF(Linemen2=$A98,IF(HomeTeam=T$4,1)))</f>
        <v>0</v>
      </c>
      <c r="U98" s="8">
        <f t="array" ref="U98">COUNT(IF(Linemen1=$A98,IF(HomeTeam=U$4,1)))+COUNT(IF(Linemen2=$A98,IF(HomeTeam=U$4,1)))</f>
        <v>0</v>
      </c>
      <c r="V98" s="8">
        <f t="array" ref="V98">COUNT(IF(Linemen1=$A98,IF(HomeTeam=V$4,1)))+COUNT(IF(Linemen2=$A98,IF(HomeTeam=V$4,1)))</f>
        <v>0</v>
      </c>
      <c r="W98" s="8">
        <f t="array" ref="W98">COUNT(IF(Linemen1=$A98,IF(AwayTeam=W$4,1)))+COUNT(IF(Linemen2=$A98,IF(AwayTeam=W$4,1)))</f>
        <v>5</v>
      </c>
      <c r="X98" s="8">
        <f t="array" ref="X98">COUNT(IF(Linemen1=$A98,IF(AwayTeam=X$4,1)))+COUNT(IF(Linemen2=$A98,IF(AwayTeam=X$4,1)))</f>
        <v>4</v>
      </c>
      <c r="Y98" s="8">
        <f t="array" ref="Y98">COUNT(IF(Linemen1=$A98,IF(AwayTeam=Y$4,1)))+COUNT(IF(Linemen2=$A98,IF(AwayTeam=Y$4,1)))</f>
        <v>1</v>
      </c>
      <c r="Z98" s="8">
        <f t="array" ref="Z98">COUNT(IF(Linemen1=$A98,IF(AwayTeam=Z$4,1)))+COUNT(IF(Linemen2=$A98,IF(AwayTeam=Z$4,1)))</f>
        <v>5</v>
      </c>
      <c r="AA98" s="8">
        <f t="array" ref="AA98">COUNT(IF(Linemen1=$A98,IF(AwayTeam=AA$4,1)))+COUNT(IF(Linemen2=$A98,IF(AwayTeam=AA$4,1)))</f>
        <v>1</v>
      </c>
      <c r="AB98" s="8">
        <f t="array" ref="AB98">COUNT(IF(Linemen1=$A98,IF(AwayTeam=AB$4,1)))+COUNT(IF(Linemen2=$A98,IF(AwayTeam=AB$4,1)))</f>
        <v>0</v>
      </c>
      <c r="AC98" s="8">
        <f t="array" ref="AC98">COUNT(IF(Linemen1=$A98,IF(AwayTeam=AC$4,1)))+COUNT(IF(Linemen2=$A98,IF(AwayTeam=AC$4,1)))</f>
        <v>1</v>
      </c>
      <c r="AD98" s="8">
        <f t="array" ref="AD98">COUNT(IF(Linemen1=$A98,IF(AwayTeam=AD$4,1)))+COUNT(IF(Linemen2=$A98,IF(AwayTeam=AD$4,1)))</f>
        <v>0</v>
      </c>
      <c r="AE98" s="8">
        <f t="array" ref="AE98">COUNT(IF(Linemen1=$A98,IF(AwayTeam=AE$4,1)))+COUNT(IF(Linemen2=$A98,IF(AwayTeam=AE$4,1)))</f>
        <v>1</v>
      </c>
      <c r="AF98" s="8">
        <f t="array" ref="AF98">COUNT(IF(Linemen1=$A98,IF(AwayTeam=AF$4,1)))+COUNT(IF(Linemen2=$A98,IF(AwayTeam=AF$4,1)))</f>
        <v>1</v>
      </c>
      <c r="AG98" s="8">
        <f t="array" ref="AG98">COUNT(IF(Linemen1=$A98,IF(AwayTeam=AG$4,1)))+COUNT(IF(Linemen2=$A98,IF(AwayTeam=AG$4,1)))</f>
        <v>0</v>
      </c>
      <c r="AH98" s="8">
        <f t="array" ref="AH98">COUNT(IF(Linemen1=$A98,IF(AwayTeam=AH$4,1)))+COUNT(IF(Linemen2=$A98,IF(AwayTeam=AH$4,1)))</f>
        <v>1</v>
      </c>
      <c r="AI98" s="8">
        <f t="array" ref="AI98">COUNT(IF(Linemen1=$A98,IF(AwayTeam=AI$4,1)))+COUNT(IF(Linemen2=$A98,IF(AwayTeam=AI$4,1)))</f>
        <v>0</v>
      </c>
      <c r="AJ98" s="8">
        <f t="array" ref="AJ98">COUNT(IF(Linemen1=$A98,IF(AwayTeam=AJ$4,1)))+COUNT(IF(Linemen2=$A98,IF(AwayTeam=AJ$4,1)))</f>
        <v>3</v>
      </c>
      <c r="AK98" s="8">
        <f t="array" ref="AK98">COUNT(IF(Linemen1=$A98,IF(AwayTeam=AK$4,1)))+COUNT(IF(Linemen2=$A98,IF(AwayTeam=AK$4,1)))</f>
        <v>1</v>
      </c>
      <c r="AL98" s="8">
        <f t="array" ref="AL98">COUNT(IF(Linemen1=$A98,IF(AwayTeam=AL$4,1)))+COUNT(IF(Linemen2=$A98,IF(AwayTeam=AL$4,1)))</f>
        <v>1</v>
      </c>
      <c r="AM98" s="8">
        <f t="array" ref="AM98">COUNT(IF(Linemen1=$A98,IF(AwayTeam=AM$4,1)))+COUNT(IF(Linemen2=$A98,IF(AwayTeam=AM$4,1)))</f>
        <v>0</v>
      </c>
      <c r="AN98" s="8">
        <f t="array" ref="AN98">COUNT(IF(Linemen1=$A98,IF(AwayTeam=AN$4,1)))+COUNT(IF(Linemen2=$A98,IF(AwayTeam=AN$4,1)))</f>
        <v>0</v>
      </c>
      <c r="AO98" s="8">
        <f t="array" ref="AO98">COUNT(IF(Linemen1=$A98,IF(AwayTeam=AO$4,1)))+COUNT(IF(Linemen2=$A98,IF(AwayTeam=AO$4,1)))</f>
        <v>0</v>
      </c>
      <c r="AP98" s="8">
        <f t="array" ref="AP98">COUNT(IF(Linemen1=$A98,IF(AwayTeam=AP$4,1)))+COUNT(IF(Linemen2=$A98,IF(AwayTeam=AP$4,1)))</f>
        <v>0</v>
      </c>
    </row>
    <row r="99" spans="1:42" x14ac:dyDescent="0.2">
      <c r="A99" s="8" t="str">
        <f>IF(Info!B34&lt;&gt;0,Info!B34,"")</f>
        <v>McNamara, Kilian</v>
      </c>
      <c r="B99" s="8">
        <f t="shared" si="1"/>
        <v>18</v>
      </c>
      <c r="C99" s="8">
        <f t="array" ref="C99">COUNT(IF(Linemen1=$A99,IF(HomeTeam=C$4,1)))+COUNT(IF(Linemen2=$A99,IF(HomeTeam=C$4,1)))</f>
        <v>3</v>
      </c>
      <c r="D99" s="8">
        <f t="array" ref="D99">COUNT(IF(Linemen1=$A99,IF(HomeTeam=D$4,1)))+COUNT(IF(Linemen2=$A99,IF(HomeTeam=D$4,1)))</f>
        <v>1</v>
      </c>
      <c r="E99" s="8">
        <f t="array" ref="E99">COUNT(IF(Linemen1=$A99,IF(HomeTeam=E$4,1)))+COUNT(IF(Linemen2=$A99,IF(HomeTeam=E$4,1)))</f>
        <v>1</v>
      </c>
      <c r="F99" s="8">
        <f t="array" ref="F99">COUNT(IF(Linemen1=$A99,IF(HomeTeam=F$4,1)))+COUNT(IF(Linemen2=$A99,IF(HomeTeam=F$4,1)))</f>
        <v>6</v>
      </c>
      <c r="G99" s="8">
        <f t="array" ref="G99">COUNT(IF(Linemen1=$A99,IF(HomeTeam=G$4,1)))+COUNT(IF(Linemen2=$A99,IF(HomeTeam=G$4,1)))</f>
        <v>1</v>
      </c>
      <c r="H99" s="8">
        <f t="array" ref="H99">COUNT(IF(Linemen1=$A99,IF(HomeTeam=H$4,1)))+COUNT(IF(Linemen2=$A99,IF(HomeTeam=H$4,1)))</f>
        <v>0</v>
      </c>
      <c r="I99" s="8">
        <f t="array" ref="I99">COUNT(IF(Linemen1=$A99,IF(HomeTeam=I$4,1)))+COUNT(IF(Linemen2=$A99,IF(HomeTeam=I$4,1)))</f>
        <v>0</v>
      </c>
      <c r="J99" s="8">
        <f t="array" ref="J99">COUNT(IF(Linemen1=$A99,IF(HomeTeam=J$4,1)))+COUNT(IF(Linemen2=$A99,IF(HomeTeam=J$4,1)))</f>
        <v>1</v>
      </c>
      <c r="K99" s="8">
        <f t="array" ref="K99">COUNT(IF(Linemen1=$A99,IF(HomeTeam=K$4,1)))+COUNT(IF(Linemen2=$A99,IF(HomeTeam=K$4,1)))</f>
        <v>0</v>
      </c>
      <c r="L99" s="8">
        <f t="array" ref="L99">COUNT(IF(Linemen1=$A99,IF(HomeTeam=L$4,1)))+COUNT(IF(Linemen2=$A99,IF(HomeTeam=L$4,1)))</f>
        <v>0</v>
      </c>
      <c r="M99" s="8">
        <f t="array" ref="M99">COUNT(IF(Linemen1=$A99,IF(HomeTeam=M$4,1)))+COUNT(IF(Linemen2=$A99,IF(HomeTeam=M$4,1)))</f>
        <v>0</v>
      </c>
      <c r="N99" s="8">
        <f t="array" ref="N99">COUNT(IF(Linemen1=$A99,IF(HomeTeam=N$4,1)))+COUNT(IF(Linemen2=$A99,IF(HomeTeam=N$4,1)))</f>
        <v>2</v>
      </c>
      <c r="O99" s="8">
        <f t="array" ref="O99">COUNT(IF(Linemen1=$A99,IF(HomeTeam=O$4,1)))+COUNT(IF(Linemen2=$A99,IF(HomeTeam=O$4,1)))</f>
        <v>1</v>
      </c>
      <c r="P99" s="8">
        <f t="array" ref="P99">COUNT(IF(Linemen1=$A99,IF(HomeTeam=P$4,1)))+COUNT(IF(Linemen2=$A99,IF(HomeTeam=P$4,1)))</f>
        <v>0</v>
      </c>
      <c r="Q99" s="8">
        <f t="array" ref="Q99">COUNT(IF(Linemen1=$A99,IF(HomeTeam=Q$4,1)))+COUNT(IF(Linemen2=$A99,IF(HomeTeam=Q$4,1)))</f>
        <v>2</v>
      </c>
      <c r="R99" s="8">
        <f t="array" ref="R99">COUNT(IF(Linemen1=$A99,IF(HomeTeam=R$4,1)))+COUNT(IF(Linemen2=$A99,IF(HomeTeam=R$4,1)))</f>
        <v>0</v>
      </c>
      <c r="S99" s="8">
        <f t="array" ref="S99">COUNT(IF(Linemen1=$A99,IF(HomeTeam=S$4,1)))+COUNT(IF(Linemen2=$A99,IF(HomeTeam=S$4,1)))</f>
        <v>0</v>
      </c>
      <c r="T99" s="8">
        <f t="array" ref="T99">COUNT(IF(Linemen1=$A99,IF(HomeTeam=T$4,1)))+COUNT(IF(Linemen2=$A99,IF(HomeTeam=T$4,1)))</f>
        <v>0</v>
      </c>
      <c r="U99" s="8">
        <f t="array" ref="U99">COUNT(IF(Linemen1=$A99,IF(HomeTeam=U$4,1)))+COUNT(IF(Linemen2=$A99,IF(HomeTeam=U$4,1)))</f>
        <v>0</v>
      </c>
      <c r="V99" s="8">
        <f t="array" ref="V99">COUNT(IF(Linemen1=$A99,IF(HomeTeam=V$4,1)))+COUNT(IF(Linemen2=$A99,IF(HomeTeam=V$4,1)))</f>
        <v>0</v>
      </c>
      <c r="W99" s="8">
        <f t="array" ref="W99">COUNT(IF(Linemen1=$A99,IF(AwayTeam=W$4,1)))+COUNT(IF(Linemen2=$A99,IF(AwayTeam=W$4,1)))</f>
        <v>2</v>
      </c>
      <c r="X99" s="8">
        <f t="array" ref="X99">COUNT(IF(Linemen1=$A99,IF(AwayTeam=X$4,1)))+COUNT(IF(Linemen2=$A99,IF(AwayTeam=X$4,1)))</f>
        <v>0</v>
      </c>
      <c r="Y99" s="8">
        <f t="array" ref="Y99">COUNT(IF(Linemen1=$A99,IF(AwayTeam=Y$4,1)))+COUNT(IF(Linemen2=$A99,IF(AwayTeam=Y$4,1)))</f>
        <v>2</v>
      </c>
      <c r="Z99" s="8">
        <f t="array" ref="Z99">COUNT(IF(Linemen1=$A99,IF(AwayTeam=Z$4,1)))+COUNT(IF(Linemen2=$A99,IF(AwayTeam=Z$4,1)))</f>
        <v>4</v>
      </c>
      <c r="AA99" s="8">
        <f t="array" ref="AA99">COUNT(IF(Linemen1=$A99,IF(AwayTeam=AA$4,1)))+COUNT(IF(Linemen2=$A99,IF(AwayTeam=AA$4,1)))</f>
        <v>1</v>
      </c>
      <c r="AB99" s="8">
        <f t="array" ref="AB99">COUNT(IF(Linemen1=$A99,IF(AwayTeam=AB$4,1)))+COUNT(IF(Linemen2=$A99,IF(AwayTeam=AB$4,1)))</f>
        <v>0</v>
      </c>
      <c r="AC99" s="8">
        <f t="array" ref="AC99">COUNT(IF(Linemen1=$A99,IF(AwayTeam=AC$4,1)))+COUNT(IF(Linemen2=$A99,IF(AwayTeam=AC$4,1)))</f>
        <v>0</v>
      </c>
      <c r="AD99" s="8">
        <f t="array" ref="AD99">COUNT(IF(Linemen1=$A99,IF(AwayTeam=AD$4,1)))+COUNT(IF(Linemen2=$A99,IF(AwayTeam=AD$4,1)))</f>
        <v>1</v>
      </c>
      <c r="AE99" s="8">
        <f t="array" ref="AE99">COUNT(IF(Linemen1=$A99,IF(AwayTeam=AE$4,1)))+COUNT(IF(Linemen2=$A99,IF(AwayTeam=AE$4,1)))</f>
        <v>0</v>
      </c>
      <c r="AF99" s="8">
        <f t="array" ref="AF99">COUNT(IF(Linemen1=$A99,IF(AwayTeam=AF$4,1)))+COUNT(IF(Linemen2=$A99,IF(AwayTeam=AF$4,1)))</f>
        <v>0</v>
      </c>
      <c r="AG99" s="8">
        <f t="array" ref="AG99">COUNT(IF(Linemen1=$A99,IF(AwayTeam=AG$4,1)))+COUNT(IF(Linemen2=$A99,IF(AwayTeam=AG$4,1)))</f>
        <v>2</v>
      </c>
      <c r="AH99" s="8">
        <f t="array" ref="AH99">COUNT(IF(Linemen1=$A99,IF(AwayTeam=AH$4,1)))+COUNT(IF(Linemen2=$A99,IF(AwayTeam=AH$4,1)))</f>
        <v>1</v>
      </c>
      <c r="AI99" s="8">
        <f t="array" ref="AI99">COUNT(IF(Linemen1=$A99,IF(AwayTeam=AI$4,1)))+COUNT(IF(Linemen2=$A99,IF(AwayTeam=AI$4,1)))</f>
        <v>0</v>
      </c>
      <c r="AJ99" s="8">
        <f t="array" ref="AJ99">COUNT(IF(Linemen1=$A99,IF(AwayTeam=AJ$4,1)))+COUNT(IF(Linemen2=$A99,IF(AwayTeam=AJ$4,1)))</f>
        <v>1</v>
      </c>
      <c r="AK99" s="8">
        <f t="array" ref="AK99">COUNT(IF(Linemen1=$A99,IF(AwayTeam=AK$4,1)))+COUNT(IF(Linemen2=$A99,IF(AwayTeam=AK$4,1)))</f>
        <v>1</v>
      </c>
      <c r="AL99" s="8">
        <f t="array" ref="AL99">COUNT(IF(Linemen1=$A99,IF(AwayTeam=AL$4,1)))+COUNT(IF(Linemen2=$A99,IF(AwayTeam=AL$4,1)))</f>
        <v>2</v>
      </c>
      <c r="AM99" s="8">
        <f t="array" ref="AM99">COUNT(IF(Linemen1=$A99,IF(AwayTeam=AM$4,1)))+COUNT(IF(Linemen2=$A99,IF(AwayTeam=AM$4,1)))</f>
        <v>1</v>
      </c>
      <c r="AN99" s="8">
        <f t="array" ref="AN99">COUNT(IF(Linemen1=$A99,IF(AwayTeam=AN$4,1)))+COUNT(IF(Linemen2=$A99,IF(AwayTeam=AN$4,1)))</f>
        <v>0</v>
      </c>
      <c r="AO99" s="8">
        <f t="array" ref="AO99">COUNT(IF(Linemen1=$A99,IF(AwayTeam=AO$4,1)))+COUNT(IF(Linemen2=$A99,IF(AwayTeam=AO$4,1)))</f>
        <v>0</v>
      </c>
      <c r="AP99" s="8">
        <f t="array" ref="AP99">COUNT(IF(Linemen1=$A99,IF(AwayTeam=AP$4,1)))+COUNT(IF(Linemen2=$A99,IF(AwayTeam=AP$4,1)))</f>
        <v>0</v>
      </c>
    </row>
    <row r="100" spans="1:42" x14ac:dyDescent="0.2">
      <c r="A100" s="8" t="str">
        <f>IF(Info!B35&lt;&gt;0,Info!B35,"")</f>
        <v>Muzik, Jake</v>
      </c>
      <c r="B100" s="8">
        <f t="shared" si="1"/>
        <v>1</v>
      </c>
      <c r="C100" s="8">
        <f t="array" ref="C100">COUNT(IF(Linemen1=$A100,IF(HomeTeam=C$4,1)))+COUNT(IF(Linemen2=$A100,IF(HomeTeam=C$4,1)))</f>
        <v>0</v>
      </c>
      <c r="D100" s="8">
        <f t="array" ref="D100">COUNT(IF(Linemen1=$A100,IF(HomeTeam=D$4,1)))+COUNT(IF(Linemen2=$A100,IF(HomeTeam=D$4,1)))</f>
        <v>0</v>
      </c>
      <c r="E100" s="8">
        <f t="array" ref="E100">COUNT(IF(Linemen1=$A100,IF(HomeTeam=E$4,1)))+COUNT(IF(Linemen2=$A100,IF(HomeTeam=E$4,1)))</f>
        <v>0</v>
      </c>
      <c r="F100" s="8">
        <f t="array" ref="F100">COUNT(IF(Linemen1=$A100,IF(HomeTeam=F$4,1)))+COUNT(IF(Linemen2=$A100,IF(HomeTeam=F$4,1)))</f>
        <v>0</v>
      </c>
      <c r="G100" s="8">
        <f t="array" ref="G100">COUNT(IF(Linemen1=$A100,IF(HomeTeam=G$4,1)))+COUNT(IF(Linemen2=$A100,IF(HomeTeam=G$4,1)))</f>
        <v>0</v>
      </c>
      <c r="H100" s="8">
        <f t="array" ref="H100">COUNT(IF(Linemen1=$A100,IF(HomeTeam=H$4,1)))+COUNT(IF(Linemen2=$A100,IF(HomeTeam=H$4,1)))</f>
        <v>0</v>
      </c>
      <c r="I100" s="8">
        <f t="array" ref="I100">COUNT(IF(Linemen1=$A100,IF(HomeTeam=I$4,1)))+COUNT(IF(Linemen2=$A100,IF(HomeTeam=I$4,1)))</f>
        <v>0</v>
      </c>
      <c r="J100" s="8">
        <f t="array" ref="J100">COUNT(IF(Linemen1=$A100,IF(HomeTeam=J$4,1)))+COUNT(IF(Linemen2=$A100,IF(HomeTeam=J$4,1)))</f>
        <v>0</v>
      </c>
      <c r="K100" s="8">
        <f t="array" ref="K100">COUNT(IF(Linemen1=$A100,IF(HomeTeam=K$4,1)))+COUNT(IF(Linemen2=$A100,IF(HomeTeam=K$4,1)))</f>
        <v>0</v>
      </c>
      <c r="L100" s="8">
        <f t="array" ref="L100">COUNT(IF(Linemen1=$A100,IF(HomeTeam=L$4,1)))+COUNT(IF(Linemen2=$A100,IF(HomeTeam=L$4,1)))</f>
        <v>0</v>
      </c>
      <c r="M100" s="8">
        <f t="array" ref="M100">COUNT(IF(Linemen1=$A100,IF(HomeTeam=M$4,1)))+COUNT(IF(Linemen2=$A100,IF(HomeTeam=M$4,1)))</f>
        <v>0</v>
      </c>
      <c r="N100" s="8">
        <f t="array" ref="N100">COUNT(IF(Linemen1=$A100,IF(HomeTeam=N$4,1)))+COUNT(IF(Linemen2=$A100,IF(HomeTeam=N$4,1)))</f>
        <v>0</v>
      </c>
      <c r="O100" s="8">
        <f t="array" ref="O100">COUNT(IF(Linemen1=$A100,IF(HomeTeam=O$4,1)))+COUNT(IF(Linemen2=$A100,IF(HomeTeam=O$4,1)))</f>
        <v>0</v>
      </c>
      <c r="P100" s="8">
        <f t="array" ref="P100">COUNT(IF(Linemen1=$A100,IF(HomeTeam=P$4,1)))+COUNT(IF(Linemen2=$A100,IF(HomeTeam=P$4,1)))</f>
        <v>0</v>
      </c>
      <c r="Q100" s="8">
        <f t="array" ref="Q100">COUNT(IF(Linemen1=$A100,IF(HomeTeam=Q$4,1)))+COUNT(IF(Linemen2=$A100,IF(HomeTeam=Q$4,1)))</f>
        <v>0</v>
      </c>
      <c r="R100" s="8">
        <f t="array" ref="R100">COUNT(IF(Linemen1=$A100,IF(HomeTeam=R$4,1)))+COUNT(IF(Linemen2=$A100,IF(HomeTeam=R$4,1)))</f>
        <v>0</v>
      </c>
      <c r="S100" s="8">
        <f t="array" ref="S100">COUNT(IF(Linemen1=$A100,IF(HomeTeam=S$4,1)))+COUNT(IF(Linemen2=$A100,IF(HomeTeam=S$4,1)))</f>
        <v>1</v>
      </c>
      <c r="T100" s="8">
        <f t="array" ref="T100">COUNT(IF(Linemen1=$A100,IF(HomeTeam=T$4,1)))+COUNT(IF(Linemen2=$A100,IF(HomeTeam=T$4,1)))</f>
        <v>0</v>
      </c>
      <c r="U100" s="8">
        <f t="array" ref="U100">COUNT(IF(Linemen1=$A100,IF(HomeTeam=U$4,1)))+COUNT(IF(Linemen2=$A100,IF(HomeTeam=U$4,1)))</f>
        <v>0</v>
      </c>
      <c r="V100" s="8">
        <f t="array" ref="V100">COUNT(IF(Linemen1=$A100,IF(HomeTeam=V$4,1)))+COUNT(IF(Linemen2=$A100,IF(HomeTeam=V$4,1)))</f>
        <v>0</v>
      </c>
      <c r="W100" s="8">
        <f t="array" ref="W100">COUNT(IF(Linemen1=$A100,IF(AwayTeam=W$4,1)))+COUNT(IF(Linemen2=$A100,IF(AwayTeam=W$4,1)))</f>
        <v>1</v>
      </c>
      <c r="X100" s="8">
        <f t="array" ref="X100">COUNT(IF(Linemen1=$A100,IF(AwayTeam=X$4,1)))+COUNT(IF(Linemen2=$A100,IF(AwayTeam=X$4,1)))</f>
        <v>0</v>
      </c>
      <c r="Y100" s="8">
        <f t="array" ref="Y100">COUNT(IF(Linemen1=$A100,IF(AwayTeam=Y$4,1)))+COUNT(IF(Linemen2=$A100,IF(AwayTeam=Y$4,1)))</f>
        <v>0</v>
      </c>
      <c r="Z100" s="8">
        <f t="array" ref="Z100">COUNT(IF(Linemen1=$A100,IF(AwayTeam=Z$4,1)))+COUNT(IF(Linemen2=$A100,IF(AwayTeam=Z$4,1)))</f>
        <v>0</v>
      </c>
      <c r="AA100" s="8">
        <f t="array" ref="AA100">COUNT(IF(Linemen1=$A100,IF(AwayTeam=AA$4,1)))+COUNT(IF(Linemen2=$A100,IF(AwayTeam=AA$4,1)))</f>
        <v>0</v>
      </c>
      <c r="AB100" s="8">
        <f t="array" ref="AB100">COUNT(IF(Linemen1=$A100,IF(AwayTeam=AB$4,1)))+COUNT(IF(Linemen2=$A100,IF(AwayTeam=AB$4,1)))</f>
        <v>0</v>
      </c>
      <c r="AC100" s="8">
        <f t="array" ref="AC100">COUNT(IF(Linemen1=$A100,IF(AwayTeam=AC$4,1)))+COUNT(IF(Linemen2=$A100,IF(AwayTeam=AC$4,1)))</f>
        <v>0</v>
      </c>
      <c r="AD100" s="8">
        <f t="array" ref="AD100">COUNT(IF(Linemen1=$A100,IF(AwayTeam=AD$4,1)))+COUNT(IF(Linemen2=$A100,IF(AwayTeam=AD$4,1)))</f>
        <v>0</v>
      </c>
      <c r="AE100" s="8">
        <f t="array" ref="AE100">COUNT(IF(Linemen1=$A100,IF(AwayTeam=AE$4,1)))+COUNT(IF(Linemen2=$A100,IF(AwayTeam=AE$4,1)))</f>
        <v>0</v>
      </c>
      <c r="AF100" s="8">
        <f t="array" ref="AF100">COUNT(IF(Linemen1=$A100,IF(AwayTeam=AF$4,1)))+COUNT(IF(Linemen2=$A100,IF(AwayTeam=AF$4,1)))</f>
        <v>0</v>
      </c>
      <c r="AG100" s="8">
        <f t="array" ref="AG100">COUNT(IF(Linemen1=$A100,IF(AwayTeam=AG$4,1)))+COUNT(IF(Linemen2=$A100,IF(AwayTeam=AG$4,1)))</f>
        <v>0</v>
      </c>
      <c r="AH100" s="8">
        <f t="array" ref="AH100">COUNT(IF(Linemen1=$A100,IF(AwayTeam=AH$4,1)))+COUNT(IF(Linemen2=$A100,IF(AwayTeam=AH$4,1)))</f>
        <v>0</v>
      </c>
      <c r="AI100" s="8">
        <f t="array" ref="AI100">COUNT(IF(Linemen1=$A100,IF(AwayTeam=AI$4,1)))+COUNT(IF(Linemen2=$A100,IF(AwayTeam=AI$4,1)))</f>
        <v>0</v>
      </c>
      <c r="AJ100" s="8">
        <f t="array" ref="AJ100">COUNT(IF(Linemen1=$A100,IF(AwayTeam=AJ$4,1)))+COUNT(IF(Linemen2=$A100,IF(AwayTeam=AJ$4,1)))</f>
        <v>0</v>
      </c>
      <c r="AK100" s="8">
        <f t="array" ref="AK100">COUNT(IF(Linemen1=$A100,IF(AwayTeam=AK$4,1)))+COUNT(IF(Linemen2=$A100,IF(AwayTeam=AK$4,1)))</f>
        <v>0</v>
      </c>
      <c r="AL100" s="8">
        <f t="array" ref="AL100">COUNT(IF(Linemen1=$A100,IF(AwayTeam=AL$4,1)))+COUNT(IF(Linemen2=$A100,IF(AwayTeam=AL$4,1)))</f>
        <v>0</v>
      </c>
      <c r="AM100" s="8">
        <f t="array" ref="AM100">COUNT(IF(Linemen1=$A100,IF(AwayTeam=AM$4,1)))+COUNT(IF(Linemen2=$A100,IF(AwayTeam=AM$4,1)))</f>
        <v>0</v>
      </c>
      <c r="AN100" s="8">
        <f t="array" ref="AN100">COUNT(IF(Linemen1=$A100,IF(AwayTeam=AN$4,1)))+COUNT(IF(Linemen2=$A100,IF(AwayTeam=AN$4,1)))</f>
        <v>0</v>
      </c>
      <c r="AO100" s="8">
        <f t="array" ref="AO100">COUNT(IF(Linemen1=$A100,IF(AwayTeam=AO$4,1)))+COUNT(IF(Linemen2=$A100,IF(AwayTeam=AO$4,1)))</f>
        <v>0</v>
      </c>
      <c r="AP100" s="8">
        <f t="array" ref="AP100">COUNT(IF(Linemen1=$A100,IF(AwayTeam=AP$4,1)))+COUNT(IF(Linemen2=$A100,IF(AwayTeam=AP$4,1)))</f>
        <v>0</v>
      </c>
    </row>
    <row r="101" spans="1:42" x14ac:dyDescent="0.2">
      <c r="A101" s="8" t="str">
        <f>IF(Info!B36&lt;&gt;0,Info!B36,"")</f>
        <v>Naylor, Daniel</v>
      </c>
      <c r="B101" s="8">
        <f t="shared" si="1"/>
        <v>1</v>
      </c>
      <c r="C101" s="8">
        <f t="array" ref="C101">COUNT(IF(Linemen1=$A101,IF(HomeTeam=C$4,1)))+COUNT(IF(Linemen2=$A101,IF(HomeTeam=C$4,1)))</f>
        <v>0</v>
      </c>
      <c r="D101" s="8">
        <f t="array" ref="D101">COUNT(IF(Linemen1=$A101,IF(HomeTeam=D$4,1)))+COUNT(IF(Linemen2=$A101,IF(HomeTeam=D$4,1)))</f>
        <v>0</v>
      </c>
      <c r="E101" s="8">
        <f t="array" ref="E101">COUNT(IF(Linemen1=$A101,IF(HomeTeam=E$4,1)))+COUNT(IF(Linemen2=$A101,IF(HomeTeam=E$4,1)))</f>
        <v>0</v>
      </c>
      <c r="F101" s="8">
        <f t="array" ref="F101">COUNT(IF(Linemen1=$A101,IF(HomeTeam=F$4,1)))+COUNT(IF(Linemen2=$A101,IF(HomeTeam=F$4,1)))</f>
        <v>0</v>
      </c>
      <c r="G101" s="8">
        <f t="array" ref="G101">COUNT(IF(Linemen1=$A101,IF(HomeTeam=G$4,1)))+COUNT(IF(Linemen2=$A101,IF(HomeTeam=G$4,1)))</f>
        <v>0</v>
      </c>
      <c r="H101" s="8">
        <f t="array" ref="H101">COUNT(IF(Linemen1=$A101,IF(HomeTeam=H$4,1)))+COUNT(IF(Linemen2=$A101,IF(HomeTeam=H$4,1)))</f>
        <v>1</v>
      </c>
      <c r="I101" s="8">
        <f t="array" ref="I101">COUNT(IF(Linemen1=$A101,IF(HomeTeam=I$4,1)))+COUNT(IF(Linemen2=$A101,IF(HomeTeam=I$4,1)))</f>
        <v>0</v>
      </c>
      <c r="J101" s="8">
        <f t="array" ref="J101">COUNT(IF(Linemen1=$A101,IF(HomeTeam=J$4,1)))+COUNT(IF(Linemen2=$A101,IF(HomeTeam=J$4,1)))</f>
        <v>0</v>
      </c>
      <c r="K101" s="8">
        <f t="array" ref="K101">COUNT(IF(Linemen1=$A101,IF(HomeTeam=K$4,1)))+COUNT(IF(Linemen2=$A101,IF(HomeTeam=K$4,1)))</f>
        <v>0</v>
      </c>
      <c r="L101" s="8">
        <f t="array" ref="L101">COUNT(IF(Linemen1=$A101,IF(HomeTeam=L$4,1)))+COUNT(IF(Linemen2=$A101,IF(HomeTeam=L$4,1)))</f>
        <v>0</v>
      </c>
      <c r="M101" s="8">
        <f t="array" ref="M101">COUNT(IF(Linemen1=$A101,IF(HomeTeam=M$4,1)))+COUNT(IF(Linemen2=$A101,IF(HomeTeam=M$4,1)))</f>
        <v>0</v>
      </c>
      <c r="N101" s="8">
        <f t="array" ref="N101">COUNT(IF(Linemen1=$A101,IF(HomeTeam=N$4,1)))+COUNT(IF(Linemen2=$A101,IF(HomeTeam=N$4,1)))</f>
        <v>0</v>
      </c>
      <c r="O101" s="8">
        <f t="array" ref="O101">COUNT(IF(Linemen1=$A101,IF(HomeTeam=O$4,1)))+COUNT(IF(Linemen2=$A101,IF(HomeTeam=O$4,1)))</f>
        <v>0</v>
      </c>
      <c r="P101" s="8">
        <f t="array" ref="P101">COUNT(IF(Linemen1=$A101,IF(HomeTeam=P$4,1)))+COUNT(IF(Linemen2=$A101,IF(HomeTeam=P$4,1)))</f>
        <v>0</v>
      </c>
      <c r="Q101" s="8">
        <f t="array" ref="Q101">COUNT(IF(Linemen1=$A101,IF(HomeTeam=Q$4,1)))+COUNT(IF(Linemen2=$A101,IF(HomeTeam=Q$4,1)))</f>
        <v>0</v>
      </c>
      <c r="R101" s="8">
        <f t="array" ref="R101">COUNT(IF(Linemen1=$A101,IF(HomeTeam=R$4,1)))+COUNT(IF(Linemen2=$A101,IF(HomeTeam=R$4,1)))</f>
        <v>0</v>
      </c>
      <c r="S101" s="8">
        <f t="array" ref="S101">COUNT(IF(Linemen1=$A101,IF(HomeTeam=S$4,1)))+COUNT(IF(Linemen2=$A101,IF(HomeTeam=S$4,1)))</f>
        <v>0</v>
      </c>
      <c r="T101" s="8">
        <f t="array" ref="T101">COUNT(IF(Linemen1=$A101,IF(HomeTeam=T$4,1)))+COUNT(IF(Linemen2=$A101,IF(HomeTeam=T$4,1)))</f>
        <v>0</v>
      </c>
      <c r="U101" s="8">
        <f t="array" ref="U101">COUNT(IF(Linemen1=$A101,IF(HomeTeam=U$4,1)))+COUNT(IF(Linemen2=$A101,IF(HomeTeam=U$4,1)))</f>
        <v>0</v>
      </c>
      <c r="V101" s="8">
        <f t="array" ref="V101">COUNT(IF(Linemen1=$A101,IF(HomeTeam=V$4,1)))+COUNT(IF(Linemen2=$A101,IF(HomeTeam=V$4,1)))</f>
        <v>0</v>
      </c>
      <c r="W101" s="8">
        <f t="array" ref="W101">COUNT(IF(Linemen1=$A101,IF(AwayTeam=W$4,1)))+COUNT(IF(Linemen2=$A101,IF(AwayTeam=W$4,1)))</f>
        <v>0</v>
      </c>
      <c r="X101" s="8">
        <f t="array" ref="X101">COUNT(IF(Linemen1=$A101,IF(AwayTeam=X$4,1)))+COUNT(IF(Linemen2=$A101,IF(AwayTeam=X$4,1)))</f>
        <v>1</v>
      </c>
      <c r="Y101" s="8">
        <f t="array" ref="Y101">COUNT(IF(Linemen1=$A101,IF(AwayTeam=Y$4,1)))+COUNT(IF(Linemen2=$A101,IF(AwayTeam=Y$4,1)))</f>
        <v>0</v>
      </c>
      <c r="Z101" s="8">
        <f t="array" ref="Z101">COUNT(IF(Linemen1=$A101,IF(AwayTeam=Z$4,1)))+COUNT(IF(Linemen2=$A101,IF(AwayTeam=Z$4,1)))</f>
        <v>0</v>
      </c>
      <c r="AA101" s="8">
        <f t="array" ref="AA101">COUNT(IF(Linemen1=$A101,IF(AwayTeam=AA$4,1)))+COUNT(IF(Linemen2=$A101,IF(AwayTeam=AA$4,1)))</f>
        <v>0</v>
      </c>
      <c r="AB101" s="8">
        <f t="array" ref="AB101">COUNT(IF(Linemen1=$A101,IF(AwayTeam=AB$4,1)))+COUNT(IF(Linemen2=$A101,IF(AwayTeam=AB$4,1)))</f>
        <v>0</v>
      </c>
      <c r="AC101" s="8">
        <f t="array" ref="AC101">COUNT(IF(Linemen1=$A101,IF(AwayTeam=AC$4,1)))+COUNT(IF(Linemen2=$A101,IF(AwayTeam=AC$4,1)))</f>
        <v>0</v>
      </c>
      <c r="AD101" s="8">
        <f t="array" ref="AD101">COUNT(IF(Linemen1=$A101,IF(AwayTeam=AD$4,1)))+COUNT(IF(Linemen2=$A101,IF(AwayTeam=AD$4,1)))</f>
        <v>0</v>
      </c>
      <c r="AE101" s="8">
        <f t="array" ref="AE101">COUNT(IF(Linemen1=$A101,IF(AwayTeam=AE$4,1)))+COUNT(IF(Linemen2=$A101,IF(AwayTeam=AE$4,1)))</f>
        <v>0</v>
      </c>
      <c r="AF101" s="8">
        <f t="array" ref="AF101">COUNT(IF(Linemen1=$A101,IF(AwayTeam=AF$4,1)))+COUNT(IF(Linemen2=$A101,IF(AwayTeam=AF$4,1)))</f>
        <v>0</v>
      </c>
      <c r="AG101" s="8">
        <f t="array" ref="AG101">COUNT(IF(Linemen1=$A101,IF(AwayTeam=AG$4,1)))+COUNT(IF(Linemen2=$A101,IF(AwayTeam=AG$4,1)))</f>
        <v>0</v>
      </c>
      <c r="AH101" s="8">
        <f t="array" ref="AH101">COUNT(IF(Linemen1=$A101,IF(AwayTeam=AH$4,1)))+COUNT(IF(Linemen2=$A101,IF(AwayTeam=AH$4,1)))</f>
        <v>0</v>
      </c>
      <c r="AI101" s="8">
        <f t="array" ref="AI101">COUNT(IF(Linemen1=$A101,IF(AwayTeam=AI$4,1)))+COUNT(IF(Linemen2=$A101,IF(AwayTeam=AI$4,1)))</f>
        <v>0</v>
      </c>
      <c r="AJ101" s="8">
        <f t="array" ref="AJ101">COUNT(IF(Linemen1=$A101,IF(AwayTeam=AJ$4,1)))+COUNT(IF(Linemen2=$A101,IF(AwayTeam=AJ$4,1)))</f>
        <v>0</v>
      </c>
      <c r="AK101" s="8">
        <f t="array" ref="AK101">COUNT(IF(Linemen1=$A101,IF(AwayTeam=AK$4,1)))+COUNT(IF(Linemen2=$A101,IF(AwayTeam=AK$4,1)))</f>
        <v>0</v>
      </c>
      <c r="AL101" s="8">
        <f t="array" ref="AL101">COUNT(IF(Linemen1=$A101,IF(AwayTeam=AL$4,1)))+COUNT(IF(Linemen2=$A101,IF(AwayTeam=AL$4,1)))</f>
        <v>0</v>
      </c>
      <c r="AM101" s="8">
        <f t="array" ref="AM101">COUNT(IF(Linemen1=$A101,IF(AwayTeam=AM$4,1)))+COUNT(IF(Linemen2=$A101,IF(AwayTeam=AM$4,1)))</f>
        <v>0</v>
      </c>
      <c r="AN101" s="8">
        <f t="array" ref="AN101">COUNT(IF(Linemen1=$A101,IF(AwayTeam=AN$4,1)))+COUNT(IF(Linemen2=$A101,IF(AwayTeam=AN$4,1)))</f>
        <v>0</v>
      </c>
      <c r="AO101" s="8">
        <f t="array" ref="AO101">COUNT(IF(Linemen1=$A101,IF(AwayTeam=AO$4,1)))+COUNT(IF(Linemen2=$A101,IF(AwayTeam=AO$4,1)))</f>
        <v>0</v>
      </c>
      <c r="AP101" s="8">
        <f t="array" ref="AP101">COUNT(IF(Linemen1=$A101,IF(AwayTeam=AP$4,1)))+COUNT(IF(Linemen2=$A101,IF(AwayTeam=AP$4,1)))</f>
        <v>0</v>
      </c>
    </row>
    <row r="102" spans="1:42" x14ac:dyDescent="0.2">
      <c r="A102" s="8" t="str">
        <f>IF(Info!B37&lt;&gt;0,Info!B37,"")</f>
        <v>Offerman, Greg</v>
      </c>
      <c r="B102" s="8">
        <f t="shared" si="1"/>
        <v>3</v>
      </c>
      <c r="C102" s="8">
        <f t="array" ref="C102">COUNT(IF(Linemen1=$A102,IF(HomeTeam=C$4,1)))+COUNT(IF(Linemen2=$A102,IF(HomeTeam=C$4,1)))</f>
        <v>1</v>
      </c>
      <c r="D102" s="8">
        <f t="array" ref="D102">COUNT(IF(Linemen1=$A102,IF(HomeTeam=D$4,1)))+COUNT(IF(Linemen2=$A102,IF(HomeTeam=D$4,1)))</f>
        <v>0</v>
      </c>
      <c r="E102" s="8">
        <f t="array" ref="E102">COUNT(IF(Linemen1=$A102,IF(HomeTeam=E$4,1)))+COUNT(IF(Linemen2=$A102,IF(HomeTeam=E$4,1)))</f>
        <v>0</v>
      </c>
      <c r="F102" s="8">
        <f t="array" ref="F102">COUNT(IF(Linemen1=$A102,IF(HomeTeam=F$4,1)))+COUNT(IF(Linemen2=$A102,IF(HomeTeam=F$4,1)))</f>
        <v>0</v>
      </c>
      <c r="G102" s="8">
        <f t="array" ref="G102">COUNT(IF(Linemen1=$A102,IF(HomeTeam=G$4,1)))+COUNT(IF(Linemen2=$A102,IF(HomeTeam=G$4,1)))</f>
        <v>1</v>
      </c>
      <c r="H102" s="8">
        <f t="array" ref="H102">COUNT(IF(Linemen1=$A102,IF(HomeTeam=H$4,1)))+COUNT(IF(Linemen2=$A102,IF(HomeTeam=H$4,1)))</f>
        <v>0</v>
      </c>
      <c r="I102" s="8">
        <f t="array" ref="I102">COUNT(IF(Linemen1=$A102,IF(HomeTeam=I$4,1)))+COUNT(IF(Linemen2=$A102,IF(HomeTeam=I$4,1)))</f>
        <v>0</v>
      </c>
      <c r="J102" s="8">
        <f t="array" ref="J102">COUNT(IF(Linemen1=$A102,IF(HomeTeam=J$4,1)))+COUNT(IF(Linemen2=$A102,IF(HomeTeam=J$4,1)))</f>
        <v>0</v>
      </c>
      <c r="K102" s="8">
        <f t="array" ref="K102">COUNT(IF(Linemen1=$A102,IF(HomeTeam=K$4,1)))+COUNT(IF(Linemen2=$A102,IF(HomeTeam=K$4,1)))</f>
        <v>1</v>
      </c>
      <c r="L102" s="8">
        <f t="array" ref="L102">COUNT(IF(Linemen1=$A102,IF(HomeTeam=L$4,1)))+COUNT(IF(Linemen2=$A102,IF(HomeTeam=L$4,1)))</f>
        <v>0</v>
      </c>
      <c r="M102" s="8">
        <f t="array" ref="M102">COUNT(IF(Linemen1=$A102,IF(HomeTeam=M$4,1)))+COUNT(IF(Linemen2=$A102,IF(HomeTeam=M$4,1)))</f>
        <v>0</v>
      </c>
      <c r="N102" s="8">
        <f t="array" ref="N102">COUNT(IF(Linemen1=$A102,IF(HomeTeam=N$4,1)))+COUNT(IF(Linemen2=$A102,IF(HomeTeam=N$4,1)))</f>
        <v>0</v>
      </c>
      <c r="O102" s="8">
        <f t="array" ref="O102">COUNT(IF(Linemen1=$A102,IF(HomeTeam=O$4,1)))+COUNT(IF(Linemen2=$A102,IF(HomeTeam=O$4,1)))</f>
        <v>0</v>
      </c>
      <c r="P102" s="8">
        <f t="array" ref="P102">COUNT(IF(Linemen1=$A102,IF(HomeTeam=P$4,1)))+COUNT(IF(Linemen2=$A102,IF(HomeTeam=P$4,1)))</f>
        <v>0</v>
      </c>
      <c r="Q102" s="8">
        <f t="array" ref="Q102">COUNT(IF(Linemen1=$A102,IF(HomeTeam=Q$4,1)))+COUNT(IF(Linemen2=$A102,IF(HomeTeam=Q$4,1)))</f>
        <v>0</v>
      </c>
      <c r="R102" s="8">
        <f t="array" ref="R102">COUNT(IF(Linemen1=$A102,IF(HomeTeam=R$4,1)))+COUNT(IF(Linemen2=$A102,IF(HomeTeam=R$4,1)))</f>
        <v>0</v>
      </c>
      <c r="S102" s="8">
        <f t="array" ref="S102">COUNT(IF(Linemen1=$A102,IF(HomeTeam=S$4,1)))+COUNT(IF(Linemen2=$A102,IF(HomeTeam=S$4,1)))</f>
        <v>0</v>
      </c>
      <c r="T102" s="8">
        <f t="array" ref="T102">COUNT(IF(Linemen1=$A102,IF(HomeTeam=T$4,1)))+COUNT(IF(Linemen2=$A102,IF(HomeTeam=T$4,1)))</f>
        <v>0</v>
      </c>
      <c r="U102" s="8">
        <f t="array" ref="U102">COUNT(IF(Linemen1=$A102,IF(HomeTeam=U$4,1)))+COUNT(IF(Linemen2=$A102,IF(HomeTeam=U$4,1)))</f>
        <v>0</v>
      </c>
      <c r="V102" s="8">
        <f t="array" ref="V102">COUNT(IF(Linemen1=$A102,IF(HomeTeam=V$4,1)))+COUNT(IF(Linemen2=$A102,IF(HomeTeam=V$4,1)))</f>
        <v>0</v>
      </c>
      <c r="W102" s="8">
        <f t="array" ref="W102">COUNT(IF(Linemen1=$A102,IF(AwayTeam=W$4,1)))+COUNT(IF(Linemen2=$A102,IF(AwayTeam=W$4,1)))</f>
        <v>2</v>
      </c>
      <c r="X102" s="8">
        <f t="array" ref="X102">COUNT(IF(Linemen1=$A102,IF(AwayTeam=X$4,1)))+COUNT(IF(Linemen2=$A102,IF(AwayTeam=X$4,1)))</f>
        <v>0</v>
      </c>
      <c r="Y102" s="8">
        <f t="array" ref="Y102">COUNT(IF(Linemen1=$A102,IF(AwayTeam=Y$4,1)))+COUNT(IF(Linemen2=$A102,IF(AwayTeam=Y$4,1)))</f>
        <v>0</v>
      </c>
      <c r="Z102" s="8">
        <f t="array" ref="Z102">COUNT(IF(Linemen1=$A102,IF(AwayTeam=Z$4,1)))+COUNT(IF(Linemen2=$A102,IF(AwayTeam=Z$4,1)))</f>
        <v>0</v>
      </c>
      <c r="AA102" s="8">
        <f t="array" ref="AA102">COUNT(IF(Linemen1=$A102,IF(AwayTeam=AA$4,1)))+COUNT(IF(Linemen2=$A102,IF(AwayTeam=AA$4,1)))</f>
        <v>1</v>
      </c>
      <c r="AB102" s="8">
        <f t="array" ref="AB102">COUNT(IF(Linemen1=$A102,IF(AwayTeam=AB$4,1)))+COUNT(IF(Linemen2=$A102,IF(AwayTeam=AB$4,1)))</f>
        <v>0</v>
      </c>
      <c r="AC102" s="8">
        <f t="array" ref="AC102">COUNT(IF(Linemen1=$A102,IF(AwayTeam=AC$4,1)))+COUNT(IF(Linemen2=$A102,IF(AwayTeam=AC$4,1)))</f>
        <v>0</v>
      </c>
      <c r="AD102" s="8">
        <f t="array" ref="AD102">COUNT(IF(Linemen1=$A102,IF(AwayTeam=AD$4,1)))+COUNT(IF(Linemen2=$A102,IF(AwayTeam=AD$4,1)))</f>
        <v>0</v>
      </c>
      <c r="AE102" s="8">
        <f t="array" ref="AE102">COUNT(IF(Linemen1=$A102,IF(AwayTeam=AE$4,1)))+COUNT(IF(Linemen2=$A102,IF(AwayTeam=AE$4,1)))</f>
        <v>0</v>
      </c>
      <c r="AF102" s="8">
        <f t="array" ref="AF102">COUNT(IF(Linemen1=$A102,IF(AwayTeam=AF$4,1)))+COUNT(IF(Linemen2=$A102,IF(AwayTeam=AF$4,1)))</f>
        <v>0</v>
      </c>
      <c r="AG102" s="8">
        <f t="array" ref="AG102">COUNT(IF(Linemen1=$A102,IF(AwayTeam=AG$4,1)))+COUNT(IF(Linemen2=$A102,IF(AwayTeam=AG$4,1)))</f>
        <v>0</v>
      </c>
      <c r="AH102" s="8">
        <f t="array" ref="AH102">COUNT(IF(Linemen1=$A102,IF(AwayTeam=AH$4,1)))+COUNT(IF(Linemen2=$A102,IF(AwayTeam=AH$4,1)))</f>
        <v>0</v>
      </c>
      <c r="AI102" s="8">
        <f t="array" ref="AI102">COUNT(IF(Linemen1=$A102,IF(AwayTeam=AI$4,1)))+COUNT(IF(Linemen2=$A102,IF(AwayTeam=AI$4,1)))</f>
        <v>0</v>
      </c>
      <c r="AJ102" s="8">
        <f t="array" ref="AJ102">COUNT(IF(Linemen1=$A102,IF(AwayTeam=AJ$4,1)))+COUNT(IF(Linemen2=$A102,IF(AwayTeam=AJ$4,1)))</f>
        <v>0</v>
      </c>
      <c r="AK102" s="8">
        <f t="array" ref="AK102">COUNT(IF(Linemen1=$A102,IF(AwayTeam=AK$4,1)))+COUNT(IF(Linemen2=$A102,IF(AwayTeam=AK$4,1)))</f>
        <v>0</v>
      </c>
      <c r="AL102" s="8">
        <f t="array" ref="AL102">COUNT(IF(Linemen1=$A102,IF(AwayTeam=AL$4,1)))+COUNT(IF(Linemen2=$A102,IF(AwayTeam=AL$4,1)))</f>
        <v>0</v>
      </c>
      <c r="AM102" s="8">
        <f t="array" ref="AM102">COUNT(IF(Linemen1=$A102,IF(AwayTeam=AM$4,1)))+COUNT(IF(Linemen2=$A102,IF(AwayTeam=AM$4,1)))</f>
        <v>0</v>
      </c>
      <c r="AN102" s="8">
        <f t="array" ref="AN102">COUNT(IF(Linemen1=$A102,IF(AwayTeam=AN$4,1)))+COUNT(IF(Linemen2=$A102,IF(AwayTeam=AN$4,1)))</f>
        <v>0</v>
      </c>
      <c r="AO102" s="8">
        <f t="array" ref="AO102">COUNT(IF(Linemen1=$A102,IF(AwayTeam=AO$4,1)))+COUNT(IF(Linemen2=$A102,IF(AwayTeam=AO$4,1)))</f>
        <v>0</v>
      </c>
      <c r="AP102" s="8">
        <f t="array" ref="AP102">COUNT(IF(Linemen1=$A102,IF(AwayTeam=AP$4,1)))+COUNT(IF(Linemen2=$A102,IF(AwayTeam=AP$4,1)))</f>
        <v>0</v>
      </c>
    </row>
    <row r="103" spans="1:42" x14ac:dyDescent="0.2">
      <c r="A103" s="8" t="str">
        <f>IF(Info!B38&lt;&gt;0,Info!B38,"")</f>
        <v>Pacocha, Jeff</v>
      </c>
      <c r="B103" s="8">
        <f t="shared" si="1"/>
        <v>14</v>
      </c>
      <c r="C103" s="8">
        <f t="array" ref="C103">COUNT(IF(Linemen1=$A103,IF(HomeTeam=C$4,1)))+COUNT(IF(Linemen2=$A103,IF(HomeTeam=C$4,1)))</f>
        <v>1</v>
      </c>
      <c r="D103" s="8">
        <f t="array" ref="D103">COUNT(IF(Linemen1=$A103,IF(HomeTeam=D$4,1)))+COUNT(IF(Linemen2=$A103,IF(HomeTeam=D$4,1)))</f>
        <v>4</v>
      </c>
      <c r="E103" s="8">
        <f t="array" ref="E103">COUNT(IF(Linemen1=$A103,IF(HomeTeam=E$4,1)))+COUNT(IF(Linemen2=$A103,IF(HomeTeam=E$4,1)))</f>
        <v>3</v>
      </c>
      <c r="F103" s="8">
        <f t="array" ref="F103">COUNT(IF(Linemen1=$A103,IF(HomeTeam=F$4,1)))+COUNT(IF(Linemen2=$A103,IF(HomeTeam=F$4,1)))</f>
        <v>0</v>
      </c>
      <c r="G103" s="8">
        <f t="array" ref="G103">COUNT(IF(Linemen1=$A103,IF(HomeTeam=G$4,1)))+COUNT(IF(Linemen2=$A103,IF(HomeTeam=G$4,1)))</f>
        <v>1</v>
      </c>
      <c r="H103" s="8">
        <f t="array" ref="H103">COUNT(IF(Linemen1=$A103,IF(HomeTeam=H$4,1)))+COUNT(IF(Linemen2=$A103,IF(HomeTeam=H$4,1)))</f>
        <v>0</v>
      </c>
      <c r="I103" s="8">
        <f t="array" ref="I103">COUNT(IF(Linemen1=$A103,IF(HomeTeam=I$4,1)))+COUNT(IF(Linemen2=$A103,IF(HomeTeam=I$4,1)))</f>
        <v>2</v>
      </c>
      <c r="J103" s="8">
        <f t="array" ref="J103">COUNT(IF(Linemen1=$A103,IF(HomeTeam=J$4,1)))+COUNT(IF(Linemen2=$A103,IF(HomeTeam=J$4,1)))</f>
        <v>0</v>
      </c>
      <c r="K103" s="8">
        <f t="array" ref="K103">COUNT(IF(Linemen1=$A103,IF(HomeTeam=K$4,1)))+COUNT(IF(Linemen2=$A103,IF(HomeTeam=K$4,1)))</f>
        <v>2</v>
      </c>
      <c r="L103" s="8">
        <f t="array" ref="L103">COUNT(IF(Linemen1=$A103,IF(HomeTeam=L$4,1)))+COUNT(IF(Linemen2=$A103,IF(HomeTeam=L$4,1)))</f>
        <v>1</v>
      </c>
      <c r="M103" s="8">
        <f t="array" ref="M103">COUNT(IF(Linemen1=$A103,IF(HomeTeam=M$4,1)))+COUNT(IF(Linemen2=$A103,IF(HomeTeam=M$4,1)))</f>
        <v>0</v>
      </c>
      <c r="N103" s="8">
        <f t="array" ref="N103">COUNT(IF(Linemen1=$A103,IF(HomeTeam=N$4,1)))+COUNT(IF(Linemen2=$A103,IF(HomeTeam=N$4,1)))</f>
        <v>0</v>
      </c>
      <c r="O103" s="8">
        <f t="array" ref="O103">COUNT(IF(Linemen1=$A103,IF(HomeTeam=O$4,1)))+COUNT(IF(Linemen2=$A103,IF(HomeTeam=O$4,1)))</f>
        <v>0</v>
      </c>
      <c r="P103" s="8">
        <f t="array" ref="P103">COUNT(IF(Linemen1=$A103,IF(HomeTeam=P$4,1)))+COUNT(IF(Linemen2=$A103,IF(HomeTeam=P$4,1)))</f>
        <v>0</v>
      </c>
      <c r="Q103" s="8">
        <f t="array" ref="Q103">COUNT(IF(Linemen1=$A103,IF(HomeTeam=Q$4,1)))+COUNT(IF(Linemen2=$A103,IF(HomeTeam=Q$4,1)))</f>
        <v>0</v>
      </c>
      <c r="R103" s="8">
        <f t="array" ref="R103">COUNT(IF(Linemen1=$A103,IF(HomeTeam=R$4,1)))+COUNT(IF(Linemen2=$A103,IF(HomeTeam=R$4,1)))</f>
        <v>0</v>
      </c>
      <c r="S103" s="8">
        <f t="array" ref="S103">COUNT(IF(Linemen1=$A103,IF(HomeTeam=S$4,1)))+COUNT(IF(Linemen2=$A103,IF(HomeTeam=S$4,1)))</f>
        <v>0</v>
      </c>
      <c r="T103" s="8">
        <f t="array" ref="T103">COUNT(IF(Linemen1=$A103,IF(HomeTeam=T$4,1)))+COUNT(IF(Linemen2=$A103,IF(HomeTeam=T$4,1)))</f>
        <v>0</v>
      </c>
      <c r="U103" s="8">
        <f t="array" ref="U103">COUNT(IF(Linemen1=$A103,IF(HomeTeam=U$4,1)))+COUNT(IF(Linemen2=$A103,IF(HomeTeam=U$4,1)))</f>
        <v>0</v>
      </c>
      <c r="V103" s="8">
        <f t="array" ref="V103">COUNT(IF(Linemen1=$A103,IF(HomeTeam=V$4,1)))+COUNT(IF(Linemen2=$A103,IF(HomeTeam=V$4,1)))</f>
        <v>0</v>
      </c>
      <c r="W103" s="8">
        <f t="array" ref="W103">COUNT(IF(Linemen1=$A103,IF(AwayTeam=W$4,1)))+COUNT(IF(Linemen2=$A103,IF(AwayTeam=W$4,1)))</f>
        <v>2</v>
      </c>
      <c r="X103" s="8">
        <f t="array" ref="X103">COUNT(IF(Linemen1=$A103,IF(AwayTeam=X$4,1)))+COUNT(IF(Linemen2=$A103,IF(AwayTeam=X$4,1)))</f>
        <v>5</v>
      </c>
      <c r="Y103" s="8">
        <f t="array" ref="Y103">COUNT(IF(Linemen1=$A103,IF(AwayTeam=Y$4,1)))+COUNT(IF(Linemen2=$A103,IF(AwayTeam=Y$4,1)))</f>
        <v>1</v>
      </c>
      <c r="Z103" s="8">
        <f t="array" ref="Z103">COUNT(IF(Linemen1=$A103,IF(AwayTeam=Z$4,1)))+COUNT(IF(Linemen2=$A103,IF(AwayTeam=Z$4,1)))</f>
        <v>2</v>
      </c>
      <c r="AA103" s="8">
        <f t="array" ref="AA103">COUNT(IF(Linemen1=$A103,IF(AwayTeam=AA$4,1)))+COUNT(IF(Linemen2=$A103,IF(AwayTeam=AA$4,1)))</f>
        <v>0</v>
      </c>
      <c r="AB103" s="8">
        <f t="array" ref="AB103">COUNT(IF(Linemen1=$A103,IF(AwayTeam=AB$4,1)))+COUNT(IF(Linemen2=$A103,IF(AwayTeam=AB$4,1)))</f>
        <v>1</v>
      </c>
      <c r="AC103" s="8">
        <f t="array" ref="AC103">COUNT(IF(Linemen1=$A103,IF(AwayTeam=AC$4,1)))+COUNT(IF(Linemen2=$A103,IF(AwayTeam=AC$4,1)))</f>
        <v>1</v>
      </c>
      <c r="AD103" s="8">
        <f t="array" ref="AD103">COUNT(IF(Linemen1=$A103,IF(AwayTeam=AD$4,1)))+COUNT(IF(Linemen2=$A103,IF(AwayTeam=AD$4,1)))</f>
        <v>0</v>
      </c>
      <c r="AE103" s="8">
        <f t="array" ref="AE103">COUNT(IF(Linemen1=$A103,IF(AwayTeam=AE$4,1)))+COUNT(IF(Linemen2=$A103,IF(AwayTeam=AE$4,1)))</f>
        <v>0</v>
      </c>
      <c r="AF103" s="8">
        <f t="array" ref="AF103">COUNT(IF(Linemen1=$A103,IF(AwayTeam=AF$4,1)))+COUNT(IF(Linemen2=$A103,IF(AwayTeam=AF$4,1)))</f>
        <v>0</v>
      </c>
      <c r="AG103" s="8">
        <f t="array" ref="AG103">COUNT(IF(Linemen1=$A103,IF(AwayTeam=AG$4,1)))+COUNT(IF(Linemen2=$A103,IF(AwayTeam=AG$4,1)))</f>
        <v>0</v>
      </c>
      <c r="AH103" s="8">
        <f t="array" ref="AH103">COUNT(IF(Linemen1=$A103,IF(AwayTeam=AH$4,1)))+COUNT(IF(Linemen2=$A103,IF(AwayTeam=AH$4,1)))</f>
        <v>2</v>
      </c>
      <c r="AI103" s="8">
        <f t="array" ref="AI103">COUNT(IF(Linemen1=$A103,IF(AwayTeam=AI$4,1)))+COUNT(IF(Linemen2=$A103,IF(AwayTeam=AI$4,1)))</f>
        <v>0</v>
      </c>
      <c r="AJ103" s="8">
        <f t="array" ref="AJ103">COUNT(IF(Linemen1=$A103,IF(AwayTeam=AJ$4,1)))+COUNT(IF(Linemen2=$A103,IF(AwayTeam=AJ$4,1)))</f>
        <v>0</v>
      </c>
      <c r="AK103" s="8">
        <f t="array" ref="AK103">COUNT(IF(Linemen1=$A103,IF(AwayTeam=AK$4,1)))+COUNT(IF(Linemen2=$A103,IF(AwayTeam=AK$4,1)))</f>
        <v>0</v>
      </c>
      <c r="AL103" s="8">
        <f t="array" ref="AL103">COUNT(IF(Linemen1=$A103,IF(AwayTeam=AL$4,1)))+COUNT(IF(Linemen2=$A103,IF(AwayTeam=AL$4,1)))</f>
        <v>0</v>
      </c>
      <c r="AM103" s="8">
        <f t="array" ref="AM103">COUNT(IF(Linemen1=$A103,IF(AwayTeam=AM$4,1)))+COUNT(IF(Linemen2=$A103,IF(AwayTeam=AM$4,1)))</f>
        <v>0</v>
      </c>
      <c r="AN103" s="8">
        <f t="array" ref="AN103">COUNT(IF(Linemen1=$A103,IF(AwayTeam=AN$4,1)))+COUNT(IF(Linemen2=$A103,IF(AwayTeam=AN$4,1)))</f>
        <v>0</v>
      </c>
      <c r="AO103" s="8">
        <f t="array" ref="AO103">COUNT(IF(Linemen1=$A103,IF(AwayTeam=AO$4,1)))+COUNT(IF(Linemen2=$A103,IF(AwayTeam=AO$4,1)))</f>
        <v>0</v>
      </c>
      <c r="AP103" s="8">
        <f t="array" ref="AP103">COUNT(IF(Linemen1=$A103,IF(AwayTeam=AP$4,1)))+COUNT(IF(Linemen2=$A103,IF(AwayTeam=AP$4,1)))</f>
        <v>0</v>
      </c>
    </row>
    <row r="104" spans="1:42" x14ac:dyDescent="0.2">
      <c r="A104" s="8" t="str">
        <f>IF(Info!B39&lt;&gt;0,Info!B39,"")</f>
        <v>Rankin, Sam</v>
      </c>
      <c r="B104" s="8">
        <f t="shared" si="1"/>
        <v>21</v>
      </c>
      <c r="C104" s="8">
        <f t="array" ref="C104">COUNT(IF(Linemen1=$A104,IF(HomeTeam=C$4,1)))+COUNT(IF(Linemen2=$A104,IF(HomeTeam=C$4,1)))</f>
        <v>8</v>
      </c>
      <c r="D104" s="8">
        <f t="array" ref="D104">COUNT(IF(Linemen1=$A104,IF(HomeTeam=D$4,1)))+COUNT(IF(Linemen2=$A104,IF(HomeTeam=D$4,1)))</f>
        <v>3</v>
      </c>
      <c r="E104" s="8">
        <f t="array" ref="E104">COUNT(IF(Linemen1=$A104,IF(HomeTeam=E$4,1)))+COUNT(IF(Linemen2=$A104,IF(HomeTeam=E$4,1)))</f>
        <v>0</v>
      </c>
      <c r="F104" s="8">
        <f t="array" ref="F104">COUNT(IF(Linemen1=$A104,IF(HomeTeam=F$4,1)))+COUNT(IF(Linemen2=$A104,IF(HomeTeam=F$4,1)))</f>
        <v>1</v>
      </c>
      <c r="G104" s="8">
        <f t="array" ref="G104">COUNT(IF(Linemen1=$A104,IF(HomeTeam=G$4,1)))+COUNT(IF(Linemen2=$A104,IF(HomeTeam=G$4,1)))</f>
        <v>0</v>
      </c>
      <c r="H104" s="8">
        <f t="array" ref="H104">COUNT(IF(Linemen1=$A104,IF(HomeTeam=H$4,1)))+COUNT(IF(Linemen2=$A104,IF(HomeTeam=H$4,1)))</f>
        <v>0</v>
      </c>
      <c r="I104" s="8">
        <f t="array" ref="I104">COUNT(IF(Linemen1=$A104,IF(HomeTeam=I$4,1)))+COUNT(IF(Linemen2=$A104,IF(HomeTeam=I$4,1)))</f>
        <v>0</v>
      </c>
      <c r="J104" s="8">
        <f t="array" ref="J104">COUNT(IF(Linemen1=$A104,IF(HomeTeam=J$4,1)))+COUNT(IF(Linemen2=$A104,IF(HomeTeam=J$4,1)))</f>
        <v>4</v>
      </c>
      <c r="K104" s="8">
        <f t="array" ref="K104">COUNT(IF(Linemen1=$A104,IF(HomeTeam=K$4,1)))+COUNT(IF(Linemen2=$A104,IF(HomeTeam=K$4,1)))</f>
        <v>0</v>
      </c>
      <c r="L104" s="8">
        <f t="array" ref="L104">COUNT(IF(Linemen1=$A104,IF(HomeTeam=L$4,1)))+COUNT(IF(Linemen2=$A104,IF(HomeTeam=L$4,1)))</f>
        <v>1</v>
      </c>
      <c r="M104" s="8">
        <f t="array" ref="M104">COUNT(IF(Linemen1=$A104,IF(HomeTeam=M$4,1)))+COUNT(IF(Linemen2=$A104,IF(HomeTeam=M$4,1)))</f>
        <v>0</v>
      </c>
      <c r="N104" s="8">
        <f t="array" ref="N104">COUNT(IF(Linemen1=$A104,IF(HomeTeam=N$4,1)))+COUNT(IF(Linemen2=$A104,IF(HomeTeam=N$4,1)))</f>
        <v>0</v>
      </c>
      <c r="O104" s="8">
        <f t="array" ref="O104">COUNT(IF(Linemen1=$A104,IF(HomeTeam=O$4,1)))+COUNT(IF(Linemen2=$A104,IF(HomeTeam=O$4,1)))</f>
        <v>1</v>
      </c>
      <c r="P104" s="8">
        <f t="array" ref="P104">COUNT(IF(Linemen1=$A104,IF(HomeTeam=P$4,1)))+COUNT(IF(Linemen2=$A104,IF(HomeTeam=P$4,1)))</f>
        <v>0</v>
      </c>
      <c r="Q104" s="8">
        <f t="array" ref="Q104">COUNT(IF(Linemen1=$A104,IF(HomeTeam=Q$4,1)))+COUNT(IF(Linemen2=$A104,IF(HomeTeam=Q$4,1)))</f>
        <v>3</v>
      </c>
      <c r="R104" s="8">
        <f t="array" ref="R104">COUNT(IF(Linemen1=$A104,IF(HomeTeam=R$4,1)))+COUNT(IF(Linemen2=$A104,IF(HomeTeam=R$4,1)))</f>
        <v>0</v>
      </c>
      <c r="S104" s="8">
        <f t="array" ref="S104">COUNT(IF(Linemen1=$A104,IF(HomeTeam=S$4,1)))+COUNT(IF(Linemen2=$A104,IF(HomeTeam=S$4,1)))</f>
        <v>0</v>
      </c>
      <c r="T104" s="8">
        <f t="array" ref="T104">COUNT(IF(Linemen1=$A104,IF(HomeTeam=T$4,1)))+COUNT(IF(Linemen2=$A104,IF(HomeTeam=T$4,1)))</f>
        <v>0</v>
      </c>
      <c r="U104" s="8">
        <f t="array" ref="U104">COUNT(IF(Linemen1=$A104,IF(HomeTeam=U$4,1)))+COUNT(IF(Linemen2=$A104,IF(HomeTeam=U$4,1)))</f>
        <v>0</v>
      </c>
      <c r="V104" s="8">
        <f t="array" ref="V104">COUNT(IF(Linemen1=$A104,IF(HomeTeam=V$4,1)))+COUNT(IF(Linemen2=$A104,IF(HomeTeam=V$4,1)))</f>
        <v>0</v>
      </c>
      <c r="W104" s="8">
        <f t="array" ref="W104">COUNT(IF(Linemen1=$A104,IF(AwayTeam=W$4,1)))+COUNT(IF(Linemen2=$A104,IF(AwayTeam=W$4,1)))</f>
        <v>1</v>
      </c>
      <c r="X104" s="8">
        <f t="array" ref="X104">COUNT(IF(Linemen1=$A104,IF(AwayTeam=X$4,1)))+COUNT(IF(Linemen2=$A104,IF(AwayTeam=X$4,1)))</f>
        <v>3</v>
      </c>
      <c r="Y104" s="8">
        <f t="array" ref="Y104">COUNT(IF(Linemen1=$A104,IF(AwayTeam=Y$4,1)))+COUNT(IF(Linemen2=$A104,IF(AwayTeam=Y$4,1)))</f>
        <v>1</v>
      </c>
      <c r="Z104" s="8">
        <f t="array" ref="Z104">COUNT(IF(Linemen1=$A104,IF(AwayTeam=Z$4,1)))+COUNT(IF(Linemen2=$A104,IF(AwayTeam=Z$4,1)))</f>
        <v>2</v>
      </c>
      <c r="AA104" s="8">
        <f t="array" ref="AA104">COUNT(IF(Linemen1=$A104,IF(AwayTeam=AA$4,1)))+COUNT(IF(Linemen2=$A104,IF(AwayTeam=AA$4,1)))</f>
        <v>1</v>
      </c>
      <c r="AB104" s="8">
        <f t="array" ref="AB104">COUNT(IF(Linemen1=$A104,IF(AwayTeam=AB$4,1)))+COUNT(IF(Linemen2=$A104,IF(AwayTeam=AB$4,1)))</f>
        <v>1</v>
      </c>
      <c r="AC104" s="8">
        <f t="array" ref="AC104">COUNT(IF(Linemen1=$A104,IF(AwayTeam=AC$4,1)))+COUNT(IF(Linemen2=$A104,IF(AwayTeam=AC$4,1)))</f>
        <v>1</v>
      </c>
      <c r="AD104" s="8">
        <f t="array" ref="AD104">COUNT(IF(Linemen1=$A104,IF(AwayTeam=AD$4,1)))+COUNT(IF(Linemen2=$A104,IF(AwayTeam=AD$4,1)))</f>
        <v>0</v>
      </c>
      <c r="AE104" s="8">
        <f t="array" ref="AE104">COUNT(IF(Linemen1=$A104,IF(AwayTeam=AE$4,1)))+COUNT(IF(Linemen2=$A104,IF(AwayTeam=AE$4,1)))</f>
        <v>1</v>
      </c>
      <c r="AF104" s="8">
        <f t="array" ref="AF104">COUNT(IF(Linemen1=$A104,IF(AwayTeam=AF$4,1)))+COUNT(IF(Linemen2=$A104,IF(AwayTeam=AF$4,1)))</f>
        <v>0</v>
      </c>
      <c r="AG104" s="8">
        <f t="array" ref="AG104">COUNT(IF(Linemen1=$A104,IF(AwayTeam=AG$4,1)))+COUNT(IF(Linemen2=$A104,IF(AwayTeam=AG$4,1)))</f>
        <v>3</v>
      </c>
      <c r="AH104" s="8">
        <f t="array" ref="AH104">COUNT(IF(Linemen1=$A104,IF(AwayTeam=AH$4,1)))+COUNT(IF(Linemen2=$A104,IF(AwayTeam=AH$4,1)))</f>
        <v>0</v>
      </c>
      <c r="AI104" s="8">
        <f t="array" ref="AI104">COUNT(IF(Linemen1=$A104,IF(AwayTeam=AI$4,1)))+COUNT(IF(Linemen2=$A104,IF(AwayTeam=AI$4,1)))</f>
        <v>1</v>
      </c>
      <c r="AJ104" s="8">
        <f t="array" ref="AJ104">COUNT(IF(Linemen1=$A104,IF(AwayTeam=AJ$4,1)))+COUNT(IF(Linemen2=$A104,IF(AwayTeam=AJ$4,1)))</f>
        <v>1</v>
      </c>
      <c r="AK104" s="8">
        <f t="array" ref="AK104">COUNT(IF(Linemen1=$A104,IF(AwayTeam=AK$4,1)))+COUNT(IF(Linemen2=$A104,IF(AwayTeam=AK$4,1)))</f>
        <v>0</v>
      </c>
      <c r="AL104" s="8">
        <f t="array" ref="AL104">COUNT(IF(Linemen1=$A104,IF(AwayTeam=AL$4,1)))+COUNT(IF(Linemen2=$A104,IF(AwayTeam=AL$4,1)))</f>
        <v>0</v>
      </c>
      <c r="AM104" s="8">
        <f t="array" ref="AM104">COUNT(IF(Linemen1=$A104,IF(AwayTeam=AM$4,1)))+COUNT(IF(Linemen2=$A104,IF(AwayTeam=AM$4,1)))</f>
        <v>5</v>
      </c>
      <c r="AN104" s="8">
        <f t="array" ref="AN104">COUNT(IF(Linemen1=$A104,IF(AwayTeam=AN$4,1)))+COUNT(IF(Linemen2=$A104,IF(AwayTeam=AN$4,1)))</f>
        <v>0</v>
      </c>
      <c r="AO104" s="8">
        <f t="array" ref="AO104">COUNT(IF(Linemen1=$A104,IF(AwayTeam=AO$4,1)))+COUNT(IF(Linemen2=$A104,IF(AwayTeam=AO$4,1)))</f>
        <v>0</v>
      </c>
      <c r="AP104" s="8">
        <f t="array" ref="AP104">COUNT(IF(Linemen1=$A104,IF(AwayTeam=AP$4,1)))+COUNT(IF(Linemen2=$A104,IF(AwayTeam=AP$4,1)))</f>
        <v>0</v>
      </c>
    </row>
    <row r="105" spans="1:42" x14ac:dyDescent="0.2">
      <c r="A105" s="8" t="str">
        <f>IF(Info!B40&lt;&gt;0,Info!B40,"")</f>
        <v>Reid, Jared</v>
      </c>
      <c r="B105" s="8">
        <f t="shared" si="1"/>
        <v>3</v>
      </c>
      <c r="C105" s="8">
        <f t="array" ref="C105">COUNT(IF(Linemen1=$A105,IF(HomeTeam=C$4,1)))+COUNT(IF(Linemen2=$A105,IF(HomeTeam=C$4,1)))</f>
        <v>0</v>
      </c>
      <c r="D105" s="8">
        <f t="array" ref="D105">COUNT(IF(Linemen1=$A105,IF(HomeTeam=D$4,1)))+COUNT(IF(Linemen2=$A105,IF(HomeTeam=D$4,1)))</f>
        <v>1</v>
      </c>
      <c r="E105" s="8">
        <f t="array" ref="E105">COUNT(IF(Linemen1=$A105,IF(HomeTeam=E$4,1)))+COUNT(IF(Linemen2=$A105,IF(HomeTeam=E$4,1)))</f>
        <v>0</v>
      </c>
      <c r="F105" s="8">
        <f t="array" ref="F105">COUNT(IF(Linemen1=$A105,IF(HomeTeam=F$4,1)))+COUNT(IF(Linemen2=$A105,IF(HomeTeam=F$4,1)))</f>
        <v>0</v>
      </c>
      <c r="G105" s="8">
        <f t="array" ref="G105">COUNT(IF(Linemen1=$A105,IF(HomeTeam=G$4,1)))+COUNT(IF(Linemen2=$A105,IF(HomeTeam=G$4,1)))</f>
        <v>0</v>
      </c>
      <c r="H105" s="8">
        <f t="array" ref="H105">COUNT(IF(Linemen1=$A105,IF(HomeTeam=H$4,1)))+COUNT(IF(Linemen2=$A105,IF(HomeTeam=H$4,1)))</f>
        <v>0</v>
      </c>
      <c r="I105" s="8">
        <f t="array" ref="I105">COUNT(IF(Linemen1=$A105,IF(HomeTeam=I$4,1)))+COUNT(IF(Linemen2=$A105,IF(HomeTeam=I$4,1)))</f>
        <v>0</v>
      </c>
      <c r="J105" s="8">
        <f t="array" ref="J105">COUNT(IF(Linemen1=$A105,IF(HomeTeam=J$4,1)))+COUNT(IF(Linemen2=$A105,IF(HomeTeam=J$4,1)))</f>
        <v>0</v>
      </c>
      <c r="K105" s="8">
        <f t="array" ref="K105">COUNT(IF(Linemen1=$A105,IF(HomeTeam=K$4,1)))+COUNT(IF(Linemen2=$A105,IF(HomeTeam=K$4,1)))</f>
        <v>0</v>
      </c>
      <c r="L105" s="8">
        <f t="array" ref="L105">COUNT(IF(Linemen1=$A105,IF(HomeTeam=L$4,1)))+COUNT(IF(Linemen2=$A105,IF(HomeTeam=L$4,1)))</f>
        <v>0</v>
      </c>
      <c r="M105" s="8">
        <f t="array" ref="M105">COUNT(IF(Linemen1=$A105,IF(HomeTeam=M$4,1)))+COUNT(IF(Linemen2=$A105,IF(HomeTeam=M$4,1)))</f>
        <v>0</v>
      </c>
      <c r="N105" s="8">
        <f t="array" ref="N105">COUNT(IF(Linemen1=$A105,IF(HomeTeam=N$4,1)))+COUNT(IF(Linemen2=$A105,IF(HomeTeam=N$4,1)))</f>
        <v>0</v>
      </c>
      <c r="O105" s="8">
        <f t="array" ref="O105">COUNT(IF(Linemen1=$A105,IF(HomeTeam=O$4,1)))+COUNT(IF(Linemen2=$A105,IF(HomeTeam=O$4,1)))</f>
        <v>0</v>
      </c>
      <c r="P105" s="8">
        <f t="array" ref="P105">COUNT(IF(Linemen1=$A105,IF(HomeTeam=P$4,1)))+COUNT(IF(Linemen2=$A105,IF(HomeTeam=P$4,1)))</f>
        <v>0</v>
      </c>
      <c r="Q105" s="8">
        <f t="array" ref="Q105">COUNT(IF(Linemen1=$A105,IF(HomeTeam=Q$4,1)))+COUNT(IF(Linemen2=$A105,IF(HomeTeam=Q$4,1)))</f>
        <v>0</v>
      </c>
      <c r="R105" s="8">
        <f t="array" ref="R105">COUNT(IF(Linemen1=$A105,IF(HomeTeam=R$4,1)))+COUNT(IF(Linemen2=$A105,IF(HomeTeam=R$4,1)))</f>
        <v>0</v>
      </c>
      <c r="S105" s="8">
        <f t="array" ref="S105">COUNT(IF(Linemen1=$A105,IF(HomeTeam=S$4,1)))+COUNT(IF(Linemen2=$A105,IF(HomeTeam=S$4,1)))</f>
        <v>2</v>
      </c>
      <c r="T105" s="8">
        <f t="array" ref="T105">COUNT(IF(Linemen1=$A105,IF(HomeTeam=T$4,1)))+COUNT(IF(Linemen2=$A105,IF(HomeTeam=T$4,1)))</f>
        <v>0</v>
      </c>
      <c r="U105" s="8">
        <f t="array" ref="U105">COUNT(IF(Linemen1=$A105,IF(HomeTeam=U$4,1)))+COUNT(IF(Linemen2=$A105,IF(HomeTeam=U$4,1)))</f>
        <v>0</v>
      </c>
      <c r="V105" s="8">
        <f t="array" ref="V105">COUNT(IF(Linemen1=$A105,IF(HomeTeam=V$4,1)))+COUNT(IF(Linemen2=$A105,IF(HomeTeam=V$4,1)))</f>
        <v>0</v>
      </c>
      <c r="W105" s="8">
        <f t="array" ref="W105">COUNT(IF(Linemen1=$A105,IF(AwayTeam=W$4,1)))+COUNT(IF(Linemen2=$A105,IF(AwayTeam=W$4,1)))</f>
        <v>2</v>
      </c>
      <c r="X105" s="8">
        <f t="array" ref="X105">COUNT(IF(Linemen1=$A105,IF(AwayTeam=X$4,1)))+COUNT(IF(Linemen2=$A105,IF(AwayTeam=X$4,1)))</f>
        <v>0</v>
      </c>
      <c r="Y105" s="8">
        <f t="array" ref="Y105">COUNT(IF(Linemen1=$A105,IF(AwayTeam=Y$4,1)))+COUNT(IF(Linemen2=$A105,IF(AwayTeam=Y$4,1)))</f>
        <v>1</v>
      </c>
      <c r="Z105" s="8">
        <f t="array" ref="Z105">COUNT(IF(Linemen1=$A105,IF(AwayTeam=Z$4,1)))+COUNT(IF(Linemen2=$A105,IF(AwayTeam=Z$4,1)))</f>
        <v>0</v>
      </c>
      <c r="AA105" s="8">
        <f t="array" ref="AA105">COUNT(IF(Linemen1=$A105,IF(AwayTeam=AA$4,1)))+COUNT(IF(Linemen2=$A105,IF(AwayTeam=AA$4,1)))</f>
        <v>0</v>
      </c>
      <c r="AB105" s="8">
        <f t="array" ref="AB105">COUNT(IF(Linemen1=$A105,IF(AwayTeam=AB$4,1)))+COUNT(IF(Linemen2=$A105,IF(AwayTeam=AB$4,1)))</f>
        <v>0</v>
      </c>
      <c r="AC105" s="8">
        <f t="array" ref="AC105">COUNT(IF(Linemen1=$A105,IF(AwayTeam=AC$4,1)))+COUNT(IF(Linemen2=$A105,IF(AwayTeam=AC$4,1)))</f>
        <v>0</v>
      </c>
      <c r="AD105" s="8">
        <f t="array" ref="AD105">COUNT(IF(Linemen1=$A105,IF(AwayTeam=AD$4,1)))+COUNT(IF(Linemen2=$A105,IF(AwayTeam=AD$4,1)))</f>
        <v>0</v>
      </c>
      <c r="AE105" s="8">
        <f t="array" ref="AE105">COUNT(IF(Linemen1=$A105,IF(AwayTeam=AE$4,1)))+COUNT(IF(Linemen2=$A105,IF(AwayTeam=AE$4,1)))</f>
        <v>0</v>
      </c>
      <c r="AF105" s="8">
        <f t="array" ref="AF105">COUNT(IF(Linemen1=$A105,IF(AwayTeam=AF$4,1)))+COUNT(IF(Linemen2=$A105,IF(AwayTeam=AF$4,1)))</f>
        <v>0</v>
      </c>
      <c r="AG105" s="8">
        <f t="array" ref="AG105">COUNT(IF(Linemen1=$A105,IF(AwayTeam=AG$4,1)))+COUNT(IF(Linemen2=$A105,IF(AwayTeam=AG$4,1)))</f>
        <v>0</v>
      </c>
      <c r="AH105" s="8">
        <f t="array" ref="AH105">COUNT(IF(Linemen1=$A105,IF(AwayTeam=AH$4,1)))+COUNT(IF(Linemen2=$A105,IF(AwayTeam=AH$4,1)))</f>
        <v>0</v>
      </c>
      <c r="AI105" s="8">
        <f t="array" ref="AI105">COUNT(IF(Linemen1=$A105,IF(AwayTeam=AI$4,1)))+COUNT(IF(Linemen2=$A105,IF(AwayTeam=AI$4,1)))</f>
        <v>0</v>
      </c>
      <c r="AJ105" s="8">
        <f t="array" ref="AJ105">COUNT(IF(Linemen1=$A105,IF(AwayTeam=AJ$4,1)))+COUNT(IF(Linemen2=$A105,IF(AwayTeam=AJ$4,1)))</f>
        <v>0</v>
      </c>
      <c r="AK105" s="8">
        <f t="array" ref="AK105">COUNT(IF(Linemen1=$A105,IF(AwayTeam=AK$4,1)))+COUNT(IF(Linemen2=$A105,IF(AwayTeam=AK$4,1)))</f>
        <v>0</v>
      </c>
      <c r="AL105" s="8">
        <f t="array" ref="AL105">COUNT(IF(Linemen1=$A105,IF(AwayTeam=AL$4,1)))+COUNT(IF(Linemen2=$A105,IF(AwayTeam=AL$4,1)))</f>
        <v>0</v>
      </c>
      <c r="AM105" s="8">
        <f t="array" ref="AM105">COUNT(IF(Linemen1=$A105,IF(AwayTeam=AM$4,1)))+COUNT(IF(Linemen2=$A105,IF(AwayTeam=AM$4,1)))</f>
        <v>0</v>
      </c>
      <c r="AN105" s="8">
        <f t="array" ref="AN105">COUNT(IF(Linemen1=$A105,IF(AwayTeam=AN$4,1)))+COUNT(IF(Linemen2=$A105,IF(AwayTeam=AN$4,1)))</f>
        <v>0</v>
      </c>
      <c r="AO105" s="8">
        <f t="array" ref="AO105">COUNT(IF(Linemen1=$A105,IF(AwayTeam=AO$4,1)))+COUNT(IF(Linemen2=$A105,IF(AwayTeam=AO$4,1)))</f>
        <v>0</v>
      </c>
      <c r="AP105" s="8">
        <f t="array" ref="AP105">COUNT(IF(Linemen1=$A105,IF(AwayTeam=AP$4,1)))+COUNT(IF(Linemen2=$A105,IF(AwayTeam=AP$4,1)))</f>
        <v>0</v>
      </c>
    </row>
    <row r="106" spans="1:42" x14ac:dyDescent="0.2">
      <c r="A106" s="8" t="str">
        <f>IF(Info!B41&lt;&gt;0,Info!B41,"")</f>
        <v>Richardson, Patrick</v>
      </c>
      <c r="B106" s="8">
        <f t="shared" si="1"/>
        <v>2</v>
      </c>
      <c r="C106" s="8">
        <f t="array" ref="C106">COUNT(IF(Linemen1=$A106,IF(HomeTeam=C$4,1)))+COUNT(IF(Linemen2=$A106,IF(HomeTeam=C$4,1)))</f>
        <v>0</v>
      </c>
      <c r="D106" s="8">
        <f t="array" ref="D106">COUNT(IF(Linemen1=$A106,IF(HomeTeam=D$4,1)))+COUNT(IF(Linemen2=$A106,IF(HomeTeam=D$4,1)))</f>
        <v>0</v>
      </c>
      <c r="E106" s="8">
        <f t="array" ref="E106">COUNT(IF(Linemen1=$A106,IF(HomeTeam=E$4,1)))+COUNT(IF(Linemen2=$A106,IF(HomeTeam=E$4,1)))</f>
        <v>0</v>
      </c>
      <c r="F106" s="8">
        <f t="array" ref="F106">COUNT(IF(Linemen1=$A106,IF(HomeTeam=F$4,1)))+COUNT(IF(Linemen2=$A106,IF(HomeTeam=F$4,1)))</f>
        <v>0</v>
      </c>
      <c r="G106" s="8">
        <f t="array" ref="G106">COUNT(IF(Linemen1=$A106,IF(HomeTeam=G$4,1)))+COUNT(IF(Linemen2=$A106,IF(HomeTeam=G$4,1)))</f>
        <v>0</v>
      </c>
      <c r="H106" s="8">
        <f t="array" ref="H106">COUNT(IF(Linemen1=$A106,IF(HomeTeam=H$4,1)))+COUNT(IF(Linemen2=$A106,IF(HomeTeam=H$4,1)))</f>
        <v>0</v>
      </c>
      <c r="I106" s="8">
        <f t="array" ref="I106">COUNT(IF(Linemen1=$A106,IF(HomeTeam=I$4,1)))+COUNT(IF(Linemen2=$A106,IF(HomeTeam=I$4,1)))</f>
        <v>0</v>
      </c>
      <c r="J106" s="8">
        <f t="array" ref="J106">COUNT(IF(Linemen1=$A106,IF(HomeTeam=J$4,1)))+COUNT(IF(Linemen2=$A106,IF(HomeTeam=J$4,1)))</f>
        <v>0</v>
      </c>
      <c r="K106" s="8">
        <f t="array" ref="K106">COUNT(IF(Linemen1=$A106,IF(HomeTeam=K$4,1)))+COUNT(IF(Linemen2=$A106,IF(HomeTeam=K$4,1)))</f>
        <v>0</v>
      </c>
      <c r="L106" s="8">
        <f t="array" ref="L106">COUNT(IF(Linemen1=$A106,IF(HomeTeam=L$4,1)))+COUNT(IF(Linemen2=$A106,IF(HomeTeam=L$4,1)))</f>
        <v>1</v>
      </c>
      <c r="M106" s="8">
        <f t="array" ref="M106">COUNT(IF(Linemen1=$A106,IF(HomeTeam=M$4,1)))+COUNT(IF(Linemen2=$A106,IF(HomeTeam=M$4,1)))</f>
        <v>0</v>
      </c>
      <c r="N106" s="8">
        <f t="array" ref="N106">COUNT(IF(Linemen1=$A106,IF(HomeTeam=N$4,1)))+COUNT(IF(Linemen2=$A106,IF(HomeTeam=N$4,1)))</f>
        <v>0</v>
      </c>
      <c r="O106" s="8">
        <f t="array" ref="O106">COUNT(IF(Linemen1=$A106,IF(HomeTeam=O$4,1)))+COUNT(IF(Linemen2=$A106,IF(HomeTeam=O$4,1)))</f>
        <v>0</v>
      </c>
      <c r="P106" s="8">
        <f t="array" ref="P106">COUNT(IF(Linemen1=$A106,IF(HomeTeam=P$4,1)))+COUNT(IF(Linemen2=$A106,IF(HomeTeam=P$4,1)))</f>
        <v>0</v>
      </c>
      <c r="Q106" s="8">
        <f t="array" ref="Q106">COUNT(IF(Linemen1=$A106,IF(HomeTeam=Q$4,1)))+COUNT(IF(Linemen2=$A106,IF(HomeTeam=Q$4,1)))</f>
        <v>0</v>
      </c>
      <c r="R106" s="8">
        <f t="array" ref="R106">COUNT(IF(Linemen1=$A106,IF(HomeTeam=R$4,1)))+COUNT(IF(Linemen2=$A106,IF(HomeTeam=R$4,1)))</f>
        <v>0</v>
      </c>
      <c r="S106" s="8">
        <f t="array" ref="S106">COUNT(IF(Linemen1=$A106,IF(HomeTeam=S$4,1)))+COUNT(IF(Linemen2=$A106,IF(HomeTeam=S$4,1)))</f>
        <v>1</v>
      </c>
      <c r="T106" s="8">
        <f t="array" ref="T106">COUNT(IF(Linemen1=$A106,IF(HomeTeam=T$4,1)))+COUNT(IF(Linemen2=$A106,IF(HomeTeam=T$4,1)))</f>
        <v>0</v>
      </c>
      <c r="U106" s="8">
        <f t="array" ref="U106">COUNT(IF(Linemen1=$A106,IF(HomeTeam=U$4,1)))+COUNT(IF(Linemen2=$A106,IF(HomeTeam=U$4,1)))</f>
        <v>0</v>
      </c>
      <c r="V106" s="8">
        <f t="array" ref="V106">COUNT(IF(Linemen1=$A106,IF(HomeTeam=V$4,1)))+COUNT(IF(Linemen2=$A106,IF(HomeTeam=V$4,1)))</f>
        <v>0</v>
      </c>
      <c r="W106" s="8">
        <f t="array" ref="W106">COUNT(IF(Linemen1=$A106,IF(AwayTeam=W$4,1)))+COUNT(IF(Linemen2=$A106,IF(AwayTeam=W$4,1)))</f>
        <v>0</v>
      </c>
      <c r="X106" s="8">
        <f t="array" ref="X106">COUNT(IF(Linemen1=$A106,IF(AwayTeam=X$4,1)))+COUNT(IF(Linemen2=$A106,IF(AwayTeam=X$4,1)))</f>
        <v>2</v>
      </c>
      <c r="Y106" s="8">
        <f t="array" ref="Y106">COUNT(IF(Linemen1=$A106,IF(AwayTeam=Y$4,1)))+COUNT(IF(Linemen2=$A106,IF(AwayTeam=Y$4,1)))</f>
        <v>0</v>
      </c>
      <c r="Z106" s="8">
        <f t="array" ref="Z106">COUNT(IF(Linemen1=$A106,IF(AwayTeam=Z$4,1)))+COUNT(IF(Linemen2=$A106,IF(AwayTeam=Z$4,1)))</f>
        <v>0</v>
      </c>
      <c r="AA106" s="8">
        <f t="array" ref="AA106">COUNT(IF(Linemen1=$A106,IF(AwayTeam=AA$4,1)))+COUNT(IF(Linemen2=$A106,IF(AwayTeam=AA$4,1)))</f>
        <v>0</v>
      </c>
      <c r="AB106" s="8">
        <f t="array" ref="AB106">COUNT(IF(Linemen1=$A106,IF(AwayTeam=AB$4,1)))+COUNT(IF(Linemen2=$A106,IF(AwayTeam=AB$4,1)))</f>
        <v>0</v>
      </c>
      <c r="AC106" s="8">
        <f t="array" ref="AC106">COUNT(IF(Linemen1=$A106,IF(AwayTeam=AC$4,1)))+COUNT(IF(Linemen2=$A106,IF(AwayTeam=AC$4,1)))</f>
        <v>0</v>
      </c>
      <c r="AD106" s="8">
        <f t="array" ref="AD106">COUNT(IF(Linemen1=$A106,IF(AwayTeam=AD$4,1)))+COUNT(IF(Linemen2=$A106,IF(AwayTeam=AD$4,1)))</f>
        <v>0</v>
      </c>
      <c r="AE106" s="8">
        <f t="array" ref="AE106">COUNT(IF(Linemen1=$A106,IF(AwayTeam=AE$4,1)))+COUNT(IF(Linemen2=$A106,IF(AwayTeam=AE$4,1)))</f>
        <v>0</v>
      </c>
      <c r="AF106" s="8">
        <f t="array" ref="AF106">COUNT(IF(Linemen1=$A106,IF(AwayTeam=AF$4,1)))+COUNT(IF(Linemen2=$A106,IF(AwayTeam=AF$4,1)))</f>
        <v>0</v>
      </c>
      <c r="AG106" s="8">
        <f t="array" ref="AG106">COUNT(IF(Linemen1=$A106,IF(AwayTeam=AG$4,1)))+COUNT(IF(Linemen2=$A106,IF(AwayTeam=AG$4,1)))</f>
        <v>0</v>
      </c>
      <c r="AH106" s="8">
        <f t="array" ref="AH106">COUNT(IF(Linemen1=$A106,IF(AwayTeam=AH$4,1)))+COUNT(IF(Linemen2=$A106,IF(AwayTeam=AH$4,1)))</f>
        <v>0</v>
      </c>
      <c r="AI106" s="8">
        <f t="array" ref="AI106">COUNT(IF(Linemen1=$A106,IF(AwayTeam=AI$4,1)))+COUNT(IF(Linemen2=$A106,IF(AwayTeam=AI$4,1)))</f>
        <v>0</v>
      </c>
      <c r="AJ106" s="8">
        <f t="array" ref="AJ106">COUNT(IF(Linemen1=$A106,IF(AwayTeam=AJ$4,1)))+COUNT(IF(Linemen2=$A106,IF(AwayTeam=AJ$4,1)))</f>
        <v>0</v>
      </c>
      <c r="AK106" s="8">
        <f t="array" ref="AK106">COUNT(IF(Linemen1=$A106,IF(AwayTeam=AK$4,1)))+COUNT(IF(Linemen2=$A106,IF(AwayTeam=AK$4,1)))</f>
        <v>0</v>
      </c>
      <c r="AL106" s="8">
        <f t="array" ref="AL106">COUNT(IF(Linemen1=$A106,IF(AwayTeam=AL$4,1)))+COUNT(IF(Linemen2=$A106,IF(AwayTeam=AL$4,1)))</f>
        <v>0</v>
      </c>
      <c r="AM106" s="8">
        <f t="array" ref="AM106">COUNT(IF(Linemen1=$A106,IF(AwayTeam=AM$4,1)))+COUNT(IF(Linemen2=$A106,IF(AwayTeam=AM$4,1)))</f>
        <v>0</v>
      </c>
      <c r="AN106" s="8">
        <f t="array" ref="AN106">COUNT(IF(Linemen1=$A106,IF(AwayTeam=AN$4,1)))+COUNT(IF(Linemen2=$A106,IF(AwayTeam=AN$4,1)))</f>
        <v>0</v>
      </c>
      <c r="AO106" s="8">
        <f t="array" ref="AO106">COUNT(IF(Linemen1=$A106,IF(AwayTeam=AO$4,1)))+COUNT(IF(Linemen2=$A106,IF(AwayTeam=AO$4,1)))</f>
        <v>0</v>
      </c>
      <c r="AP106" s="8">
        <f t="array" ref="AP106">COUNT(IF(Linemen1=$A106,IF(AwayTeam=AP$4,1)))+COUNT(IF(Linemen2=$A106,IF(AwayTeam=AP$4,1)))</f>
        <v>0</v>
      </c>
    </row>
    <row r="107" spans="1:42" x14ac:dyDescent="0.2">
      <c r="A107" s="8" t="str">
        <f>IF(Info!B42&lt;&gt;0,Info!B42,"")</f>
        <v>Rozitiz, Davids</v>
      </c>
      <c r="B107" s="8">
        <f t="shared" si="1"/>
        <v>1</v>
      </c>
      <c r="C107" s="8">
        <f t="array" ref="C107">COUNT(IF(Linemen1=$A107,IF(HomeTeam=C$4,1)))+COUNT(IF(Linemen2=$A107,IF(HomeTeam=C$4,1)))</f>
        <v>0</v>
      </c>
      <c r="D107" s="8">
        <f t="array" ref="D107">COUNT(IF(Linemen1=$A107,IF(HomeTeam=D$4,1)))+COUNT(IF(Linemen2=$A107,IF(HomeTeam=D$4,1)))</f>
        <v>0</v>
      </c>
      <c r="E107" s="8">
        <f t="array" ref="E107">COUNT(IF(Linemen1=$A107,IF(HomeTeam=E$4,1)))+COUNT(IF(Linemen2=$A107,IF(HomeTeam=E$4,1)))</f>
        <v>0</v>
      </c>
      <c r="F107" s="8">
        <f t="array" ref="F107">COUNT(IF(Linemen1=$A107,IF(HomeTeam=F$4,1)))+COUNT(IF(Linemen2=$A107,IF(HomeTeam=F$4,1)))</f>
        <v>0</v>
      </c>
      <c r="G107" s="8">
        <f t="array" ref="G107">COUNT(IF(Linemen1=$A107,IF(HomeTeam=G$4,1)))+COUNT(IF(Linemen2=$A107,IF(HomeTeam=G$4,1)))</f>
        <v>0</v>
      </c>
      <c r="H107" s="8">
        <f t="array" ref="H107">COUNT(IF(Linemen1=$A107,IF(HomeTeam=H$4,1)))+COUNT(IF(Linemen2=$A107,IF(HomeTeam=H$4,1)))</f>
        <v>0</v>
      </c>
      <c r="I107" s="8">
        <f t="array" ref="I107">COUNT(IF(Linemen1=$A107,IF(HomeTeam=I$4,1)))+COUNT(IF(Linemen2=$A107,IF(HomeTeam=I$4,1)))</f>
        <v>0</v>
      </c>
      <c r="J107" s="8">
        <f t="array" ref="J107">COUNT(IF(Linemen1=$A107,IF(HomeTeam=J$4,1)))+COUNT(IF(Linemen2=$A107,IF(HomeTeam=J$4,1)))</f>
        <v>0</v>
      </c>
      <c r="K107" s="8">
        <f t="array" ref="K107">COUNT(IF(Linemen1=$A107,IF(HomeTeam=K$4,1)))+COUNT(IF(Linemen2=$A107,IF(HomeTeam=K$4,1)))</f>
        <v>0</v>
      </c>
      <c r="L107" s="8">
        <f t="array" ref="L107">COUNT(IF(Linemen1=$A107,IF(HomeTeam=L$4,1)))+COUNT(IF(Linemen2=$A107,IF(HomeTeam=L$4,1)))</f>
        <v>0</v>
      </c>
      <c r="M107" s="8">
        <f t="array" ref="M107">COUNT(IF(Linemen1=$A107,IF(HomeTeam=M$4,1)))+COUNT(IF(Linemen2=$A107,IF(HomeTeam=M$4,1)))</f>
        <v>0</v>
      </c>
      <c r="N107" s="8">
        <f t="array" ref="N107">COUNT(IF(Linemen1=$A107,IF(HomeTeam=N$4,1)))+COUNT(IF(Linemen2=$A107,IF(HomeTeam=N$4,1)))</f>
        <v>0</v>
      </c>
      <c r="O107" s="8">
        <f t="array" ref="O107">COUNT(IF(Linemen1=$A107,IF(HomeTeam=O$4,1)))+COUNT(IF(Linemen2=$A107,IF(HomeTeam=O$4,1)))</f>
        <v>0</v>
      </c>
      <c r="P107" s="8">
        <f t="array" ref="P107">COUNT(IF(Linemen1=$A107,IF(HomeTeam=P$4,1)))+COUNT(IF(Linemen2=$A107,IF(HomeTeam=P$4,1)))</f>
        <v>0</v>
      </c>
      <c r="Q107" s="8">
        <f t="array" ref="Q107">COUNT(IF(Linemen1=$A107,IF(HomeTeam=Q$4,1)))+COUNT(IF(Linemen2=$A107,IF(HomeTeam=Q$4,1)))</f>
        <v>0</v>
      </c>
      <c r="R107" s="8">
        <f t="array" ref="R107">COUNT(IF(Linemen1=$A107,IF(HomeTeam=R$4,1)))+COUNT(IF(Linemen2=$A107,IF(HomeTeam=R$4,1)))</f>
        <v>0</v>
      </c>
      <c r="S107" s="8">
        <f t="array" ref="S107">COUNT(IF(Linemen1=$A107,IF(HomeTeam=S$4,1)))+COUNT(IF(Linemen2=$A107,IF(HomeTeam=S$4,1)))</f>
        <v>1</v>
      </c>
      <c r="T107" s="8">
        <f t="array" ref="T107">COUNT(IF(Linemen1=$A107,IF(HomeTeam=T$4,1)))+COUNT(IF(Linemen2=$A107,IF(HomeTeam=T$4,1)))</f>
        <v>0</v>
      </c>
      <c r="U107" s="8">
        <f t="array" ref="U107">COUNT(IF(Linemen1=$A107,IF(HomeTeam=U$4,1)))+COUNT(IF(Linemen2=$A107,IF(HomeTeam=U$4,1)))</f>
        <v>0</v>
      </c>
      <c r="V107" s="8">
        <f t="array" ref="V107">COUNT(IF(Linemen1=$A107,IF(HomeTeam=V$4,1)))+COUNT(IF(Linemen2=$A107,IF(HomeTeam=V$4,1)))</f>
        <v>0</v>
      </c>
      <c r="W107" s="8">
        <f t="array" ref="W107">COUNT(IF(Linemen1=$A107,IF(AwayTeam=W$4,1)))+COUNT(IF(Linemen2=$A107,IF(AwayTeam=W$4,1)))</f>
        <v>0</v>
      </c>
      <c r="X107" s="8">
        <f t="array" ref="X107">COUNT(IF(Linemen1=$A107,IF(AwayTeam=X$4,1)))+COUNT(IF(Linemen2=$A107,IF(AwayTeam=X$4,1)))</f>
        <v>1</v>
      </c>
      <c r="Y107" s="8">
        <f t="array" ref="Y107">COUNT(IF(Linemen1=$A107,IF(AwayTeam=Y$4,1)))+COUNT(IF(Linemen2=$A107,IF(AwayTeam=Y$4,1)))</f>
        <v>0</v>
      </c>
      <c r="Z107" s="8">
        <f t="array" ref="Z107">COUNT(IF(Linemen1=$A107,IF(AwayTeam=Z$4,1)))+COUNT(IF(Linemen2=$A107,IF(AwayTeam=Z$4,1)))</f>
        <v>0</v>
      </c>
      <c r="AA107" s="8">
        <f t="array" ref="AA107">COUNT(IF(Linemen1=$A107,IF(AwayTeam=AA$4,1)))+COUNT(IF(Linemen2=$A107,IF(AwayTeam=AA$4,1)))</f>
        <v>0</v>
      </c>
      <c r="AB107" s="8">
        <f t="array" ref="AB107">COUNT(IF(Linemen1=$A107,IF(AwayTeam=AB$4,1)))+COUNT(IF(Linemen2=$A107,IF(AwayTeam=AB$4,1)))</f>
        <v>0</v>
      </c>
      <c r="AC107" s="8">
        <f t="array" ref="AC107">COUNT(IF(Linemen1=$A107,IF(AwayTeam=AC$4,1)))+COUNT(IF(Linemen2=$A107,IF(AwayTeam=AC$4,1)))</f>
        <v>0</v>
      </c>
      <c r="AD107" s="8">
        <f t="array" ref="AD107">COUNT(IF(Linemen1=$A107,IF(AwayTeam=AD$4,1)))+COUNT(IF(Linemen2=$A107,IF(AwayTeam=AD$4,1)))</f>
        <v>0</v>
      </c>
      <c r="AE107" s="8">
        <f t="array" ref="AE107">COUNT(IF(Linemen1=$A107,IF(AwayTeam=AE$4,1)))+COUNT(IF(Linemen2=$A107,IF(AwayTeam=AE$4,1)))</f>
        <v>0</v>
      </c>
      <c r="AF107" s="8">
        <f t="array" ref="AF107">COUNT(IF(Linemen1=$A107,IF(AwayTeam=AF$4,1)))+COUNT(IF(Linemen2=$A107,IF(AwayTeam=AF$4,1)))</f>
        <v>0</v>
      </c>
      <c r="AG107" s="8">
        <f t="array" ref="AG107">COUNT(IF(Linemen1=$A107,IF(AwayTeam=AG$4,1)))+COUNT(IF(Linemen2=$A107,IF(AwayTeam=AG$4,1)))</f>
        <v>0</v>
      </c>
      <c r="AH107" s="8">
        <f t="array" ref="AH107">COUNT(IF(Linemen1=$A107,IF(AwayTeam=AH$4,1)))+COUNT(IF(Linemen2=$A107,IF(AwayTeam=AH$4,1)))</f>
        <v>0</v>
      </c>
      <c r="AI107" s="8">
        <f t="array" ref="AI107">COUNT(IF(Linemen1=$A107,IF(AwayTeam=AI$4,1)))+COUNT(IF(Linemen2=$A107,IF(AwayTeam=AI$4,1)))</f>
        <v>0</v>
      </c>
      <c r="AJ107" s="8">
        <f t="array" ref="AJ107">COUNT(IF(Linemen1=$A107,IF(AwayTeam=AJ$4,1)))+COUNT(IF(Linemen2=$A107,IF(AwayTeam=AJ$4,1)))</f>
        <v>0</v>
      </c>
      <c r="AK107" s="8">
        <f t="array" ref="AK107">COUNT(IF(Linemen1=$A107,IF(AwayTeam=AK$4,1)))+COUNT(IF(Linemen2=$A107,IF(AwayTeam=AK$4,1)))</f>
        <v>0</v>
      </c>
      <c r="AL107" s="8">
        <f t="array" ref="AL107">COUNT(IF(Linemen1=$A107,IF(AwayTeam=AL$4,1)))+COUNT(IF(Linemen2=$A107,IF(AwayTeam=AL$4,1)))</f>
        <v>0</v>
      </c>
      <c r="AM107" s="8">
        <f t="array" ref="AM107">COUNT(IF(Linemen1=$A107,IF(AwayTeam=AM$4,1)))+COUNT(IF(Linemen2=$A107,IF(AwayTeam=AM$4,1)))</f>
        <v>0</v>
      </c>
      <c r="AN107" s="8">
        <f t="array" ref="AN107">COUNT(IF(Linemen1=$A107,IF(AwayTeam=AN$4,1)))+COUNT(IF(Linemen2=$A107,IF(AwayTeam=AN$4,1)))</f>
        <v>0</v>
      </c>
      <c r="AO107" s="8">
        <f t="array" ref="AO107">COUNT(IF(Linemen1=$A107,IF(AwayTeam=AO$4,1)))+COUNT(IF(Linemen2=$A107,IF(AwayTeam=AO$4,1)))</f>
        <v>0</v>
      </c>
      <c r="AP107" s="8">
        <f t="array" ref="AP107">COUNT(IF(Linemen1=$A107,IF(AwayTeam=AP$4,1)))+COUNT(IF(Linemen2=$A107,IF(AwayTeam=AP$4,1)))</f>
        <v>0</v>
      </c>
    </row>
    <row r="108" spans="1:42" x14ac:dyDescent="0.2">
      <c r="A108" s="8" t="str">
        <f>IF(Info!B43&lt;&gt;0,Info!B43,"")</f>
        <v>Smith, Josh</v>
      </c>
      <c r="B108" s="8">
        <f t="shared" si="1"/>
        <v>20</v>
      </c>
      <c r="C108" s="8">
        <f t="array" ref="C108">COUNT(IF(Linemen1=$A108,IF(HomeTeam=C$4,1)))+COUNT(IF(Linemen2=$A108,IF(HomeTeam=C$4,1)))</f>
        <v>3</v>
      </c>
      <c r="D108" s="8">
        <f t="array" ref="D108">COUNT(IF(Linemen1=$A108,IF(HomeTeam=D$4,1)))+COUNT(IF(Linemen2=$A108,IF(HomeTeam=D$4,1)))</f>
        <v>2</v>
      </c>
      <c r="E108" s="8">
        <f t="array" ref="E108">COUNT(IF(Linemen1=$A108,IF(HomeTeam=E$4,1)))+COUNT(IF(Linemen2=$A108,IF(HomeTeam=E$4,1)))</f>
        <v>0</v>
      </c>
      <c r="F108" s="8">
        <f t="array" ref="F108">COUNT(IF(Linemen1=$A108,IF(HomeTeam=F$4,1)))+COUNT(IF(Linemen2=$A108,IF(HomeTeam=F$4,1)))</f>
        <v>6</v>
      </c>
      <c r="G108" s="8">
        <f t="array" ref="G108">COUNT(IF(Linemen1=$A108,IF(HomeTeam=G$4,1)))+COUNT(IF(Linemen2=$A108,IF(HomeTeam=G$4,1)))</f>
        <v>2</v>
      </c>
      <c r="H108" s="8">
        <f t="array" ref="H108">COUNT(IF(Linemen1=$A108,IF(HomeTeam=H$4,1)))+COUNT(IF(Linemen2=$A108,IF(HomeTeam=H$4,1)))</f>
        <v>0</v>
      </c>
      <c r="I108" s="8">
        <f t="array" ref="I108">COUNT(IF(Linemen1=$A108,IF(HomeTeam=I$4,1)))+COUNT(IF(Linemen2=$A108,IF(HomeTeam=I$4,1)))</f>
        <v>0</v>
      </c>
      <c r="J108" s="8">
        <f t="array" ref="J108">COUNT(IF(Linemen1=$A108,IF(HomeTeam=J$4,1)))+COUNT(IF(Linemen2=$A108,IF(HomeTeam=J$4,1)))</f>
        <v>3</v>
      </c>
      <c r="K108" s="8">
        <f t="array" ref="K108">COUNT(IF(Linemen1=$A108,IF(HomeTeam=K$4,1)))+COUNT(IF(Linemen2=$A108,IF(HomeTeam=K$4,1)))</f>
        <v>0</v>
      </c>
      <c r="L108" s="8">
        <f t="array" ref="L108">COUNT(IF(Linemen1=$A108,IF(HomeTeam=L$4,1)))+COUNT(IF(Linemen2=$A108,IF(HomeTeam=L$4,1)))</f>
        <v>0</v>
      </c>
      <c r="M108" s="8">
        <f t="array" ref="M108">COUNT(IF(Linemen1=$A108,IF(HomeTeam=M$4,1)))+COUNT(IF(Linemen2=$A108,IF(HomeTeam=M$4,1)))</f>
        <v>1</v>
      </c>
      <c r="N108" s="8">
        <f t="array" ref="N108">COUNT(IF(Linemen1=$A108,IF(HomeTeam=N$4,1)))+COUNT(IF(Linemen2=$A108,IF(HomeTeam=N$4,1)))</f>
        <v>0</v>
      </c>
      <c r="O108" s="8">
        <f t="array" ref="O108">COUNT(IF(Linemen1=$A108,IF(HomeTeam=O$4,1)))+COUNT(IF(Linemen2=$A108,IF(HomeTeam=O$4,1)))</f>
        <v>0</v>
      </c>
      <c r="P108" s="8">
        <f t="array" ref="P108">COUNT(IF(Linemen1=$A108,IF(HomeTeam=P$4,1)))+COUNT(IF(Linemen2=$A108,IF(HomeTeam=P$4,1)))</f>
        <v>0</v>
      </c>
      <c r="Q108" s="8">
        <f t="array" ref="Q108">COUNT(IF(Linemen1=$A108,IF(HomeTeam=Q$4,1)))+COUNT(IF(Linemen2=$A108,IF(HomeTeam=Q$4,1)))</f>
        <v>1</v>
      </c>
      <c r="R108" s="8">
        <f t="array" ref="R108">COUNT(IF(Linemen1=$A108,IF(HomeTeam=R$4,1)))+COUNT(IF(Linemen2=$A108,IF(HomeTeam=R$4,1)))</f>
        <v>2</v>
      </c>
      <c r="S108" s="8">
        <f t="array" ref="S108">COUNT(IF(Linemen1=$A108,IF(HomeTeam=S$4,1)))+COUNT(IF(Linemen2=$A108,IF(HomeTeam=S$4,1)))</f>
        <v>0</v>
      </c>
      <c r="T108" s="8">
        <f t="array" ref="T108">COUNT(IF(Linemen1=$A108,IF(HomeTeam=T$4,1)))+COUNT(IF(Linemen2=$A108,IF(HomeTeam=T$4,1)))</f>
        <v>0</v>
      </c>
      <c r="U108" s="8">
        <f t="array" ref="U108">COUNT(IF(Linemen1=$A108,IF(HomeTeam=U$4,1)))+COUNT(IF(Linemen2=$A108,IF(HomeTeam=U$4,1)))</f>
        <v>0</v>
      </c>
      <c r="V108" s="8">
        <f t="array" ref="V108">COUNT(IF(Linemen1=$A108,IF(HomeTeam=V$4,1)))+COUNT(IF(Linemen2=$A108,IF(HomeTeam=V$4,1)))</f>
        <v>0</v>
      </c>
      <c r="W108" s="8">
        <f t="array" ref="W108">COUNT(IF(Linemen1=$A108,IF(AwayTeam=W$4,1)))+COUNT(IF(Linemen2=$A108,IF(AwayTeam=W$4,1)))</f>
        <v>2</v>
      </c>
      <c r="X108" s="8">
        <f t="array" ref="X108">COUNT(IF(Linemen1=$A108,IF(AwayTeam=X$4,1)))+COUNT(IF(Linemen2=$A108,IF(AwayTeam=X$4,1)))</f>
        <v>2</v>
      </c>
      <c r="Y108" s="8">
        <f t="array" ref="Y108">COUNT(IF(Linemen1=$A108,IF(AwayTeam=Y$4,1)))+COUNT(IF(Linemen2=$A108,IF(AwayTeam=Y$4,1)))</f>
        <v>1</v>
      </c>
      <c r="Z108" s="8">
        <f t="array" ref="Z108">COUNT(IF(Linemen1=$A108,IF(AwayTeam=Z$4,1)))+COUNT(IF(Linemen2=$A108,IF(AwayTeam=Z$4,1)))</f>
        <v>4</v>
      </c>
      <c r="AA108" s="8">
        <f t="array" ref="AA108">COUNT(IF(Linemen1=$A108,IF(AwayTeam=AA$4,1)))+COUNT(IF(Linemen2=$A108,IF(AwayTeam=AA$4,1)))</f>
        <v>1</v>
      </c>
      <c r="AB108" s="8">
        <f t="array" ref="AB108">COUNT(IF(Linemen1=$A108,IF(AwayTeam=AB$4,1)))+COUNT(IF(Linemen2=$A108,IF(AwayTeam=AB$4,1)))</f>
        <v>1</v>
      </c>
      <c r="AC108" s="8">
        <f t="array" ref="AC108">COUNT(IF(Linemen1=$A108,IF(AwayTeam=AC$4,1)))+COUNT(IF(Linemen2=$A108,IF(AwayTeam=AC$4,1)))</f>
        <v>1</v>
      </c>
      <c r="AD108" s="8">
        <f t="array" ref="AD108">COUNT(IF(Linemen1=$A108,IF(AwayTeam=AD$4,1)))+COUNT(IF(Linemen2=$A108,IF(AwayTeam=AD$4,1)))</f>
        <v>2</v>
      </c>
      <c r="AE108" s="8">
        <f t="array" ref="AE108">COUNT(IF(Linemen1=$A108,IF(AwayTeam=AE$4,1)))+COUNT(IF(Linemen2=$A108,IF(AwayTeam=AE$4,1)))</f>
        <v>0</v>
      </c>
      <c r="AF108" s="8">
        <f t="array" ref="AF108">COUNT(IF(Linemen1=$A108,IF(AwayTeam=AF$4,1)))+COUNT(IF(Linemen2=$A108,IF(AwayTeam=AF$4,1)))</f>
        <v>2</v>
      </c>
      <c r="AG108" s="8">
        <f t="array" ref="AG108">COUNT(IF(Linemen1=$A108,IF(AwayTeam=AG$4,1)))+COUNT(IF(Linemen2=$A108,IF(AwayTeam=AG$4,1)))</f>
        <v>0</v>
      </c>
      <c r="AH108" s="8">
        <f t="array" ref="AH108">COUNT(IF(Linemen1=$A108,IF(AwayTeam=AH$4,1)))+COUNT(IF(Linemen2=$A108,IF(AwayTeam=AH$4,1)))</f>
        <v>1</v>
      </c>
      <c r="AI108" s="8">
        <f t="array" ref="AI108">COUNT(IF(Linemen1=$A108,IF(AwayTeam=AI$4,1)))+COUNT(IF(Linemen2=$A108,IF(AwayTeam=AI$4,1)))</f>
        <v>0</v>
      </c>
      <c r="AJ108" s="8">
        <f t="array" ref="AJ108">COUNT(IF(Linemen1=$A108,IF(AwayTeam=AJ$4,1)))+COUNT(IF(Linemen2=$A108,IF(AwayTeam=AJ$4,1)))</f>
        <v>1</v>
      </c>
      <c r="AK108" s="8">
        <f t="array" ref="AK108">COUNT(IF(Linemen1=$A108,IF(AwayTeam=AK$4,1)))+COUNT(IF(Linemen2=$A108,IF(AwayTeam=AK$4,1)))</f>
        <v>2</v>
      </c>
      <c r="AL108" s="8">
        <f t="array" ref="AL108">COUNT(IF(Linemen1=$A108,IF(AwayTeam=AL$4,1)))+COUNT(IF(Linemen2=$A108,IF(AwayTeam=AL$4,1)))</f>
        <v>0</v>
      </c>
      <c r="AM108" s="8">
        <f t="array" ref="AM108">COUNT(IF(Linemen1=$A108,IF(AwayTeam=AM$4,1)))+COUNT(IF(Linemen2=$A108,IF(AwayTeam=AM$4,1)))</f>
        <v>0</v>
      </c>
      <c r="AN108" s="8">
        <f t="array" ref="AN108">COUNT(IF(Linemen1=$A108,IF(AwayTeam=AN$4,1)))+COUNT(IF(Linemen2=$A108,IF(AwayTeam=AN$4,1)))</f>
        <v>0</v>
      </c>
      <c r="AO108" s="8">
        <f t="array" ref="AO108">COUNT(IF(Linemen1=$A108,IF(AwayTeam=AO$4,1)))+COUNT(IF(Linemen2=$A108,IF(AwayTeam=AO$4,1)))</f>
        <v>0</v>
      </c>
      <c r="AP108" s="8">
        <f t="array" ref="AP108">COUNT(IF(Linemen1=$A108,IF(AwayTeam=AP$4,1)))+COUNT(IF(Linemen2=$A108,IF(AwayTeam=AP$4,1)))</f>
        <v>0</v>
      </c>
    </row>
    <row r="109" spans="1:42" x14ac:dyDescent="0.2">
      <c r="A109" s="8" t="str">
        <f>IF(Info!B44&lt;&gt;0,Info!B44,"")</f>
        <v>Stachowiak, Rocco</v>
      </c>
      <c r="B109" s="8">
        <f t="shared" si="1"/>
        <v>3</v>
      </c>
      <c r="C109" s="8">
        <f t="array" ref="C109">COUNT(IF(Linemen1=$A109,IF(HomeTeam=C$4,1)))+COUNT(IF(Linemen2=$A109,IF(HomeTeam=C$4,1)))</f>
        <v>0</v>
      </c>
      <c r="D109" s="8">
        <f t="array" ref="D109">COUNT(IF(Linemen1=$A109,IF(HomeTeam=D$4,1)))+COUNT(IF(Linemen2=$A109,IF(HomeTeam=D$4,1)))</f>
        <v>1</v>
      </c>
      <c r="E109" s="8">
        <f t="array" ref="E109">COUNT(IF(Linemen1=$A109,IF(HomeTeam=E$4,1)))+COUNT(IF(Linemen2=$A109,IF(HomeTeam=E$4,1)))</f>
        <v>0</v>
      </c>
      <c r="F109" s="8">
        <f t="array" ref="F109">COUNT(IF(Linemen1=$A109,IF(HomeTeam=F$4,1)))+COUNT(IF(Linemen2=$A109,IF(HomeTeam=F$4,1)))</f>
        <v>0</v>
      </c>
      <c r="G109" s="8">
        <f t="array" ref="G109">COUNT(IF(Linemen1=$A109,IF(HomeTeam=G$4,1)))+COUNT(IF(Linemen2=$A109,IF(HomeTeam=G$4,1)))</f>
        <v>0</v>
      </c>
      <c r="H109" s="8">
        <f t="array" ref="H109">COUNT(IF(Linemen1=$A109,IF(HomeTeam=H$4,1)))+COUNT(IF(Linemen2=$A109,IF(HomeTeam=H$4,1)))</f>
        <v>0</v>
      </c>
      <c r="I109" s="8">
        <f t="array" ref="I109">COUNT(IF(Linemen1=$A109,IF(HomeTeam=I$4,1)))+COUNT(IF(Linemen2=$A109,IF(HomeTeam=I$4,1)))</f>
        <v>0</v>
      </c>
      <c r="J109" s="8">
        <f t="array" ref="J109">COUNT(IF(Linemen1=$A109,IF(HomeTeam=J$4,1)))+COUNT(IF(Linemen2=$A109,IF(HomeTeam=J$4,1)))</f>
        <v>0</v>
      </c>
      <c r="K109" s="8">
        <f t="array" ref="K109">COUNT(IF(Linemen1=$A109,IF(HomeTeam=K$4,1)))+COUNT(IF(Linemen2=$A109,IF(HomeTeam=K$4,1)))</f>
        <v>1</v>
      </c>
      <c r="L109" s="8">
        <f t="array" ref="L109">COUNT(IF(Linemen1=$A109,IF(HomeTeam=L$4,1)))+COUNT(IF(Linemen2=$A109,IF(HomeTeam=L$4,1)))</f>
        <v>0</v>
      </c>
      <c r="M109" s="8">
        <f t="array" ref="M109">COUNT(IF(Linemen1=$A109,IF(HomeTeam=M$4,1)))+COUNT(IF(Linemen2=$A109,IF(HomeTeam=M$4,1)))</f>
        <v>0</v>
      </c>
      <c r="N109" s="8">
        <f t="array" ref="N109">COUNT(IF(Linemen1=$A109,IF(HomeTeam=N$4,1)))+COUNT(IF(Linemen2=$A109,IF(HomeTeam=N$4,1)))</f>
        <v>0</v>
      </c>
      <c r="O109" s="8">
        <f t="array" ref="O109">COUNT(IF(Linemen1=$A109,IF(HomeTeam=O$4,1)))+COUNT(IF(Linemen2=$A109,IF(HomeTeam=O$4,1)))</f>
        <v>1</v>
      </c>
      <c r="P109" s="8">
        <f t="array" ref="P109">COUNT(IF(Linemen1=$A109,IF(HomeTeam=P$4,1)))+COUNT(IF(Linemen2=$A109,IF(HomeTeam=P$4,1)))</f>
        <v>0</v>
      </c>
      <c r="Q109" s="8">
        <f t="array" ref="Q109">COUNT(IF(Linemen1=$A109,IF(HomeTeam=Q$4,1)))+COUNT(IF(Linemen2=$A109,IF(HomeTeam=Q$4,1)))</f>
        <v>0</v>
      </c>
      <c r="R109" s="8">
        <f t="array" ref="R109">COUNT(IF(Linemen1=$A109,IF(HomeTeam=R$4,1)))+COUNT(IF(Linemen2=$A109,IF(HomeTeam=R$4,1)))</f>
        <v>0</v>
      </c>
      <c r="S109" s="8">
        <f t="array" ref="S109">COUNT(IF(Linemen1=$A109,IF(HomeTeam=S$4,1)))+COUNT(IF(Linemen2=$A109,IF(HomeTeam=S$4,1)))</f>
        <v>0</v>
      </c>
      <c r="T109" s="8">
        <f t="array" ref="T109">COUNT(IF(Linemen1=$A109,IF(HomeTeam=T$4,1)))+COUNT(IF(Linemen2=$A109,IF(HomeTeam=T$4,1)))</f>
        <v>0</v>
      </c>
      <c r="U109" s="8">
        <f t="array" ref="U109">COUNT(IF(Linemen1=$A109,IF(HomeTeam=U$4,1)))+COUNT(IF(Linemen2=$A109,IF(HomeTeam=U$4,1)))</f>
        <v>0</v>
      </c>
      <c r="V109" s="8">
        <f t="array" ref="V109">COUNT(IF(Linemen1=$A109,IF(HomeTeam=V$4,1)))+COUNT(IF(Linemen2=$A109,IF(HomeTeam=V$4,1)))</f>
        <v>0</v>
      </c>
      <c r="W109" s="8">
        <f t="array" ref="W109">COUNT(IF(Linemen1=$A109,IF(AwayTeam=W$4,1)))+COUNT(IF(Linemen2=$A109,IF(AwayTeam=W$4,1)))</f>
        <v>0</v>
      </c>
      <c r="X109" s="8">
        <f t="array" ref="X109">COUNT(IF(Linemen1=$A109,IF(AwayTeam=X$4,1)))+COUNT(IF(Linemen2=$A109,IF(AwayTeam=X$4,1)))</f>
        <v>0</v>
      </c>
      <c r="Y109" s="8">
        <f t="array" ref="Y109">COUNT(IF(Linemen1=$A109,IF(AwayTeam=Y$4,1)))+COUNT(IF(Linemen2=$A109,IF(AwayTeam=Y$4,1)))</f>
        <v>0</v>
      </c>
      <c r="Z109" s="8">
        <f t="array" ref="Z109">COUNT(IF(Linemen1=$A109,IF(AwayTeam=Z$4,1)))+COUNT(IF(Linemen2=$A109,IF(AwayTeam=Z$4,1)))</f>
        <v>0</v>
      </c>
      <c r="AA109" s="8">
        <f t="array" ref="AA109">COUNT(IF(Linemen1=$A109,IF(AwayTeam=AA$4,1)))+COUNT(IF(Linemen2=$A109,IF(AwayTeam=AA$4,1)))</f>
        <v>0</v>
      </c>
      <c r="AB109" s="8">
        <f t="array" ref="AB109">COUNT(IF(Linemen1=$A109,IF(AwayTeam=AB$4,1)))+COUNT(IF(Linemen2=$A109,IF(AwayTeam=AB$4,1)))</f>
        <v>0</v>
      </c>
      <c r="AC109" s="8">
        <f t="array" ref="AC109">COUNT(IF(Linemen1=$A109,IF(AwayTeam=AC$4,1)))+COUNT(IF(Linemen2=$A109,IF(AwayTeam=AC$4,1)))</f>
        <v>0</v>
      </c>
      <c r="AD109" s="8">
        <f t="array" ref="AD109">COUNT(IF(Linemen1=$A109,IF(AwayTeam=AD$4,1)))+COUNT(IF(Linemen2=$A109,IF(AwayTeam=AD$4,1)))</f>
        <v>0</v>
      </c>
      <c r="AE109" s="8">
        <f t="array" ref="AE109">COUNT(IF(Linemen1=$A109,IF(AwayTeam=AE$4,1)))+COUNT(IF(Linemen2=$A109,IF(AwayTeam=AE$4,1)))</f>
        <v>0</v>
      </c>
      <c r="AF109" s="8">
        <f t="array" ref="AF109">COUNT(IF(Linemen1=$A109,IF(AwayTeam=AF$4,1)))+COUNT(IF(Linemen2=$A109,IF(AwayTeam=AF$4,1)))</f>
        <v>0</v>
      </c>
      <c r="AG109" s="8">
        <f t="array" ref="AG109">COUNT(IF(Linemen1=$A109,IF(AwayTeam=AG$4,1)))+COUNT(IF(Linemen2=$A109,IF(AwayTeam=AG$4,1)))</f>
        <v>0</v>
      </c>
      <c r="AH109" s="8">
        <f t="array" ref="AH109">COUNT(IF(Linemen1=$A109,IF(AwayTeam=AH$4,1)))+COUNT(IF(Linemen2=$A109,IF(AwayTeam=AH$4,1)))</f>
        <v>0</v>
      </c>
      <c r="AI109" s="8">
        <f t="array" ref="AI109">COUNT(IF(Linemen1=$A109,IF(AwayTeam=AI$4,1)))+COUNT(IF(Linemen2=$A109,IF(AwayTeam=AI$4,1)))</f>
        <v>0</v>
      </c>
      <c r="AJ109" s="8">
        <f t="array" ref="AJ109">COUNT(IF(Linemen1=$A109,IF(AwayTeam=AJ$4,1)))+COUNT(IF(Linemen2=$A109,IF(AwayTeam=AJ$4,1)))</f>
        <v>2</v>
      </c>
      <c r="AK109" s="8">
        <f t="array" ref="AK109">COUNT(IF(Linemen1=$A109,IF(AwayTeam=AK$4,1)))+COUNT(IF(Linemen2=$A109,IF(AwayTeam=AK$4,1)))</f>
        <v>1</v>
      </c>
      <c r="AL109" s="8">
        <f t="array" ref="AL109">COUNT(IF(Linemen1=$A109,IF(AwayTeam=AL$4,1)))+COUNT(IF(Linemen2=$A109,IF(AwayTeam=AL$4,1)))</f>
        <v>0</v>
      </c>
      <c r="AM109" s="8">
        <f t="array" ref="AM109">COUNT(IF(Linemen1=$A109,IF(AwayTeam=AM$4,1)))+COUNT(IF(Linemen2=$A109,IF(AwayTeam=AM$4,1)))</f>
        <v>0</v>
      </c>
      <c r="AN109" s="8">
        <f t="array" ref="AN109">COUNT(IF(Linemen1=$A109,IF(AwayTeam=AN$4,1)))+COUNT(IF(Linemen2=$A109,IF(AwayTeam=AN$4,1)))</f>
        <v>0</v>
      </c>
      <c r="AO109" s="8">
        <f t="array" ref="AO109">COUNT(IF(Linemen1=$A109,IF(AwayTeam=AO$4,1)))+COUNT(IF(Linemen2=$A109,IF(AwayTeam=AO$4,1)))</f>
        <v>0</v>
      </c>
      <c r="AP109" s="8">
        <f t="array" ref="AP109">COUNT(IF(Linemen1=$A109,IF(AwayTeam=AP$4,1)))+COUNT(IF(Linemen2=$A109,IF(AwayTeam=AP$4,1)))</f>
        <v>0</v>
      </c>
    </row>
    <row r="110" spans="1:42" x14ac:dyDescent="0.2">
      <c r="A110" s="8" t="str">
        <f>IF(Info!B45&lt;&gt;0,Info!B45,"")</f>
        <v>Wetekamp, Logan</v>
      </c>
      <c r="B110" s="8">
        <f t="shared" si="1"/>
        <v>4</v>
      </c>
      <c r="C110" s="8">
        <f t="array" ref="C110">COUNT(IF(Linemen1=$A110,IF(HomeTeam=C$4,1)))+COUNT(IF(Linemen2=$A110,IF(HomeTeam=C$4,1)))</f>
        <v>0</v>
      </c>
      <c r="D110" s="8">
        <f t="array" ref="D110">COUNT(IF(Linemen1=$A110,IF(HomeTeam=D$4,1)))+COUNT(IF(Linemen2=$A110,IF(HomeTeam=D$4,1)))</f>
        <v>0</v>
      </c>
      <c r="E110" s="8">
        <f t="array" ref="E110">COUNT(IF(Linemen1=$A110,IF(HomeTeam=E$4,1)))+COUNT(IF(Linemen2=$A110,IF(HomeTeam=E$4,1)))</f>
        <v>0</v>
      </c>
      <c r="F110" s="8">
        <f t="array" ref="F110">COUNT(IF(Linemen1=$A110,IF(HomeTeam=F$4,1)))+COUNT(IF(Linemen2=$A110,IF(HomeTeam=F$4,1)))</f>
        <v>0</v>
      </c>
      <c r="G110" s="8">
        <f t="array" ref="G110">COUNT(IF(Linemen1=$A110,IF(HomeTeam=G$4,1)))+COUNT(IF(Linemen2=$A110,IF(HomeTeam=G$4,1)))</f>
        <v>0</v>
      </c>
      <c r="H110" s="8">
        <f t="array" ref="H110">COUNT(IF(Linemen1=$A110,IF(HomeTeam=H$4,1)))+COUNT(IF(Linemen2=$A110,IF(HomeTeam=H$4,1)))</f>
        <v>0</v>
      </c>
      <c r="I110" s="8">
        <f t="array" ref="I110">COUNT(IF(Linemen1=$A110,IF(HomeTeam=I$4,1)))+COUNT(IF(Linemen2=$A110,IF(HomeTeam=I$4,1)))</f>
        <v>0</v>
      </c>
      <c r="J110" s="8">
        <f t="array" ref="J110">COUNT(IF(Linemen1=$A110,IF(HomeTeam=J$4,1)))+COUNT(IF(Linemen2=$A110,IF(HomeTeam=J$4,1)))</f>
        <v>0</v>
      </c>
      <c r="K110" s="8">
        <f t="array" ref="K110">COUNT(IF(Linemen1=$A110,IF(HomeTeam=K$4,1)))+COUNT(IF(Linemen2=$A110,IF(HomeTeam=K$4,1)))</f>
        <v>0</v>
      </c>
      <c r="L110" s="8">
        <f t="array" ref="L110">COUNT(IF(Linemen1=$A110,IF(HomeTeam=L$4,1)))+COUNT(IF(Linemen2=$A110,IF(HomeTeam=L$4,1)))</f>
        <v>0</v>
      </c>
      <c r="M110" s="8">
        <f t="array" ref="M110">COUNT(IF(Linemen1=$A110,IF(HomeTeam=M$4,1)))+COUNT(IF(Linemen2=$A110,IF(HomeTeam=M$4,1)))</f>
        <v>0</v>
      </c>
      <c r="N110" s="8">
        <f t="array" ref="N110">COUNT(IF(Linemen1=$A110,IF(HomeTeam=N$4,1)))+COUNT(IF(Linemen2=$A110,IF(HomeTeam=N$4,1)))</f>
        <v>0</v>
      </c>
      <c r="O110" s="8">
        <f t="array" ref="O110">COUNT(IF(Linemen1=$A110,IF(HomeTeam=O$4,1)))+COUNT(IF(Linemen2=$A110,IF(HomeTeam=O$4,1)))</f>
        <v>0</v>
      </c>
      <c r="P110" s="8">
        <f t="array" ref="P110">COUNT(IF(Linemen1=$A110,IF(HomeTeam=P$4,1)))+COUNT(IF(Linemen2=$A110,IF(HomeTeam=P$4,1)))</f>
        <v>3</v>
      </c>
      <c r="Q110" s="8">
        <f t="array" ref="Q110">COUNT(IF(Linemen1=$A110,IF(HomeTeam=Q$4,1)))+COUNT(IF(Linemen2=$A110,IF(HomeTeam=Q$4,1)))</f>
        <v>0</v>
      </c>
      <c r="R110" s="8">
        <f t="array" ref="R110">COUNT(IF(Linemen1=$A110,IF(HomeTeam=R$4,1)))+COUNT(IF(Linemen2=$A110,IF(HomeTeam=R$4,1)))</f>
        <v>0</v>
      </c>
      <c r="S110" s="8">
        <f t="array" ref="S110">COUNT(IF(Linemen1=$A110,IF(HomeTeam=S$4,1)))+COUNT(IF(Linemen2=$A110,IF(HomeTeam=S$4,1)))</f>
        <v>1</v>
      </c>
      <c r="T110" s="8">
        <f t="array" ref="T110">COUNT(IF(Linemen1=$A110,IF(HomeTeam=T$4,1)))+COUNT(IF(Linemen2=$A110,IF(HomeTeam=T$4,1)))</f>
        <v>0</v>
      </c>
      <c r="U110" s="8">
        <f t="array" ref="U110">COUNT(IF(Linemen1=$A110,IF(HomeTeam=U$4,1)))+COUNT(IF(Linemen2=$A110,IF(HomeTeam=U$4,1)))</f>
        <v>0</v>
      </c>
      <c r="V110" s="8">
        <f t="array" ref="V110">COUNT(IF(Linemen1=$A110,IF(HomeTeam=V$4,1)))+COUNT(IF(Linemen2=$A110,IF(HomeTeam=V$4,1)))</f>
        <v>0</v>
      </c>
      <c r="W110" s="8">
        <f t="array" ref="W110">COUNT(IF(Linemen1=$A110,IF(AwayTeam=W$4,1)))+COUNT(IF(Linemen2=$A110,IF(AwayTeam=W$4,1)))</f>
        <v>1</v>
      </c>
      <c r="X110" s="8">
        <f t="array" ref="X110">COUNT(IF(Linemen1=$A110,IF(AwayTeam=X$4,1)))+COUNT(IF(Linemen2=$A110,IF(AwayTeam=X$4,1)))</f>
        <v>1</v>
      </c>
      <c r="Y110" s="8">
        <f t="array" ref="Y110">COUNT(IF(Linemen1=$A110,IF(AwayTeam=Y$4,1)))+COUNT(IF(Linemen2=$A110,IF(AwayTeam=Y$4,1)))</f>
        <v>0</v>
      </c>
      <c r="Z110" s="8">
        <f t="array" ref="Z110">COUNT(IF(Linemen1=$A110,IF(AwayTeam=Z$4,1)))+COUNT(IF(Linemen2=$A110,IF(AwayTeam=Z$4,1)))</f>
        <v>1</v>
      </c>
      <c r="AA110" s="8">
        <f t="array" ref="AA110">COUNT(IF(Linemen1=$A110,IF(AwayTeam=AA$4,1)))+COUNT(IF(Linemen2=$A110,IF(AwayTeam=AA$4,1)))</f>
        <v>0</v>
      </c>
      <c r="AB110" s="8">
        <f t="array" ref="AB110">COUNT(IF(Linemen1=$A110,IF(AwayTeam=AB$4,1)))+COUNT(IF(Linemen2=$A110,IF(AwayTeam=AB$4,1)))</f>
        <v>0</v>
      </c>
      <c r="AC110" s="8">
        <f t="array" ref="AC110">COUNT(IF(Linemen1=$A110,IF(AwayTeam=AC$4,1)))+COUNT(IF(Linemen2=$A110,IF(AwayTeam=AC$4,1)))</f>
        <v>0</v>
      </c>
      <c r="AD110" s="8">
        <f t="array" ref="AD110">COUNT(IF(Linemen1=$A110,IF(AwayTeam=AD$4,1)))+COUNT(IF(Linemen2=$A110,IF(AwayTeam=AD$4,1)))</f>
        <v>0</v>
      </c>
      <c r="AE110" s="8">
        <f t="array" ref="AE110">COUNT(IF(Linemen1=$A110,IF(AwayTeam=AE$4,1)))+COUNT(IF(Linemen2=$A110,IF(AwayTeam=AE$4,1)))</f>
        <v>0</v>
      </c>
      <c r="AF110" s="8">
        <f t="array" ref="AF110">COUNT(IF(Linemen1=$A110,IF(AwayTeam=AF$4,1)))+COUNT(IF(Linemen2=$A110,IF(AwayTeam=AF$4,1)))</f>
        <v>0</v>
      </c>
      <c r="AG110" s="8">
        <f t="array" ref="AG110">COUNT(IF(Linemen1=$A110,IF(AwayTeam=AG$4,1)))+COUNT(IF(Linemen2=$A110,IF(AwayTeam=AG$4,1)))</f>
        <v>0</v>
      </c>
      <c r="AH110" s="8">
        <f t="array" ref="AH110">COUNT(IF(Linemen1=$A110,IF(AwayTeam=AH$4,1)))+COUNT(IF(Linemen2=$A110,IF(AwayTeam=AH$4,1)))</f>
        <v>0</v>
      </c>
      <c r="AI110" s="8">
        <f t="array" ref="AI110">COUNT(IF(Linemen1=$A110,IF(AwayTeam=AI$4,1)))+COUNT(IF(Linemen2=$A110,IF(AwayTeam=AI$4,1)))</f>
        <v>0</v>
      </c>
      <c r="AJ110" s="8">
        <f t="array" ref="AJ110">COUNT(IF(Linemen1=$A110,IF(AwayTeam=AJ$4,1)))+COUNT(IF(Linemen2=$A110,IF(AwayTeam=AJ$4,1)))</f>
        <v>1</v>
      </c>
      <c r="AK110" s="8">
        <f t="array" ref="AK110">COUNT(IF(Linemen1=$A110,IF(AwayTeam=AK$4,1)))+COUNT(IF(Linemen2=$A110,IF(AwayTeam=AK$4,1)))</f>
        <v>0</v>
      </c>
      <c r="AL110" s="8">
        <f t="array" ref="AL110">COUNT(IF(Linemen1=$A110,IF(AwayTeam=AL$4,1)))+COUNT(IF(Linemen2=$A110,IF(AwayTeam=AL$4,1)))</f>
        <v>0</v>
      </c>
      <c r="AM110" s="8">
        <f t="array" ref="AM110">COUNT(IF(Linemen1=$A110,IF(AwayTeam=AM$4,1)))+COUNT(IF(Linemen2=$A110,IF(AwayTeam=AM$4,1)))</f>
        <v>0</v>
      </c>
      <c r="AN110" s="8">
        <f t="array" ref="AN110">COUNT(IF(Linemen1=$A110,IF(AwayTeam=AN$4,1)))+COUNT(IF(Linemen2=$A110,IF(AwayTeam=AN$4,1)))</f>
        <v>0</v>
      </c>
      <c r="AO110" s="8">
        <f t="array" ref="AO110">COUNT(IF(Linemen1=$A110,IF(AwayTeam=AO$4,1)))+COUNT(IF(Linemen2=$A110,IF(AwayTeam=AO$4,1)))</f>
        <v>0</v>
      </c>
      <c r="AP110" s="8">
        <f t="array" ref="AP110">COUNT(IF(Linemen1=$A110,IF(AwayTeam=AP$4,1)))+COUNT(IF(Linemen2=$A110,IF(AwayTeam=AP$4,1)))</f>
        <v>0</v>
      </c>
    </row>
    <row r="111" spans="1:42" x14ac:dyDescent="0.2">
      <c r="A111" s="8" t="str">
        <f>IF(Info!B46&lt;&gt;0,Info!B46,"")</f>
        <v>Wilkinson, Chase</v>
      </c>
      <c r="B111" s="8">
        <f t="shared" si="1"/>
        <v>4</v>
      </c>
      <c r="C111" s="8">
        <f t="array" ref="C111">COUNT(IF(Linemen1=$A111,IF(HomeTeam=C$4,1)))+COUNT(IF(Linemen2=$A111,IF(HomeTeam=C$4,1)))</f>
        <v>1</v>
      </c>
      <c r="D111" s="8">
        <f t="array" ref="D111">COUNT(IF(Linemen1=$A111,IF(HomeTeam=D$4,1)))+COUNT(IF(Linemen2=$A111,IF(HomeTeam=D$4,1)))</f>
        <v>1</v>
      </c>
      <c r="E111" s="8">
        <f t="array" ref="E111">COUNT(IF(Linemen1=$A111,IF(HomeTeam=E$4,1)))+COUNT(IF(Linemen2=$A111,IF(HomeTeam=E$4,1)))</f>
        <v>0</v>
      </c>
      <c r="F111" s="8">
        <f t="array" ref="F111">COUNT(IF(Linemen1=$A111,IF(HomeTeam=F$4,1)))+COUNT(IF(Linemen2=$A111,IF(HomeTeam=F$4,1)))</f>
        <v>0</v>
      </c>
      <c r="G111" s="8">
        <f t="array" ref="G111">COUNT(IF(Linemen1=$A111,IF(HomeTeam=G$4,1)))+COUNT(IF(Linemen2=$A111,IF(HomeTeam=G$4,1)))</f>
        <v>0</v>
      </c>
      <c r="H111" s="8">
        <f t="array" ref="H111">COUNT(IF(Linemen1=$A111,IF(HomeTeam=H$4,1)))+COUNT(IF(Linemen2=$A111,IF(HomeTeam=H$4,1)))</f>
        <v>0</v>
      </c>
      <c r="I111" s="8">
        <f t="array" ref="I111">COUNT(IF(Linemen1=$A111,IF(HomeTeam=I$4,1)))+COUNT(IF(Linemen2=$A111,IF(HomeTeam=I$4,1)))</f>
        <v>0</v>
      </c>
      <c r="J111" s="8">
        <f t="array" ref="J111">COUNT(IF(Linemen1=$A111,IF(HomeTeam=J$4,1)))+COUNT(IF(Linemen2=$A111,IF(HomeTeam=J$4,1)))</f>
        <v>0</v>
      </c>
      <c r="K111" s="8">
        <f t="array" ref="K111">COUNT(IF(Linemen1=$A111,IF(HomeTeam=K$4,1)))+COUNT(IF(Linemen2=$A111,IF(HomeTeam=K$4,1)))</f>
        <v>0</v>
      </c>
      <c r="L111" s="8">
        <f t="array" ref="L111">COUNT(IF(Linemen1=$A111,IF(HomeTeam=L$4,1)))+COUNT(IF(Linemen2=$A111,IF(HomeTeam=L$4,1)))</f>
        <v>0</v>
      </c>
      <c r="M111" s="8">
        <f t="array" ref="M111">COUNT(IF(Linemen1=$A111,IF(HomeTeam=M$4,1)))+COUNT(IF(Linemen2=$A111,IF(HomeTeam=M$4,1)))</f>
        <v>1</v>
      </c>
      <c r="N111" s="8">
        <f t="array" ref="N111">COUNT(IF(Linemen1=$A111,IF(HomeTeam=N$4,1)))+COUNT(IF(Linemen2=$A111,IF(HomeTeam=N$4,1)))</f>
        <v>0</v>
      </c>
      <c r="O111" s="8">
        <f t="array" ref="O111">COUNT(IF(Linemen1=$A111,IF(HomeTeam=O$4,1)))+COUNT(IF(Linemen2=$A111,IF(HomeTeam=O$4,1)))</f>
        <v>0</v>
      </c>
      <c r="P111" s="8">
        <f t="array" ref="P111">COUNT(IF(Linemen1=$A111,IF(HomeTeam=P$4,1)))+COUNT(IF(Linemen2=$A111,IF(HomeTeam=P$4,1)))</f>
        <v>0</v>
      </c>
      <c r="Q111" s="8">
        <f t="array" ref="Q111">COUNT(IF(Linemen1=$A111,IF(HomeTeam=Q$4,1)))+COUNT(IF(Linemen2=$A111,IF(HomeTeam=Q$4,1)))</f>
        <v>1</v>
      </c>
      <c r="R111" s="8">
        <f t="array" ref="R111">COUNT(IF(Linemen1=$A111,IF(HomeTeam=R$4,1)))+COUNT(IF(Linemen2=$A111,IF(HomeTeam=R$4,1)))</f>
        <v>0</v>
      </c>
      <c r="S111" s="8">
        <f t="array" ref="S111">COUNT(IF(Linemen1=$A111,IF(HomeTeam=S$4,1)))+COUNT(IF(Linemen2=$A111,IF(HomeTeam=S$4,1)))</f>
        <v>0</v>
      </c>
      <c r="T111" s="8">
        <f t="array" ref="T111">COUNT(IF(Linemen1=$A111,IF(HomeTeam=T$4,1)))+COUNT(IF(Linemen2=$A111,IF(HomeTeam=T$4,1)))</f>
        <v>0</v>
      </c>
      <c r="U111" s="8">
        <f t="array" ref="U111">COUNT(IF(Linemen1=$A111,IF(HomeTeam=U$4,1)))+COUNT(IF(Linemen2=$A111,IF(HomeTeam=U$4,1)))</f>
        <v>0</v>
      </c>
      <c r="V111" s="8">
        <f t="array" ref="V111">COUNT(IF(Linemen1=$A111,IF(HomeTeam=V$4,1)))+COUNT(IF(Linemen2=$A111,IF(HomeTeam=V$4,1)))</f>
        <v>0</v>
      </c>
      <c r="W111" s="8">
        <f t="array" ref="W111">COUNT(IF(Linemen1=$A111,IF(AwayTeam=W$4,1)))+COUNT(IF(Linemen2=$A111,IF(AwayTeam=W$4,1)))</f>
        <v>0</v>
      </c>
      <c r="X111" s="8">
        <f t="array" ref="X111">COUNT(IF(Linemen1=$A111,IF(AwayTeam=X$4,1)))+COUNT(IF(Linemen2=$A111,IF(AwayTeam=X$4,1)))</f>
        <v>0</v>
      </c>
      <c r="Y111" s="8">
        <f t="array" ref="Y111">COUNT(IF(Linemen1=$A111,IF(AwayTeam=Y$4,1)))+COUNT(IF(Linemen2=$A111,IF(AwayTeam=Y$4,1)))</f>
        <v>0</v>
      </c>
      <c r="Z111" s="8">
        <f t="array" ref="Z111">COUNT(IF(Linemen1=$A111,IF(AwayTeam=Z$4,1)))+COUNT(IF(Linemen2=$A111,IF(AwayTeam=Z$4,1)))</f>
        <v>0</v>
      </c>
      <c r="AA111" s="8">
        <f t="array" ref="AA111">COUNT(IF(Linemen1=$A111,IF(AwayTeam=AA$4,1)))+COUNT(IF(Linemen2=$A111,IF(AwayTeam=AA$4,1)))</f>
        <v>0</v>
      </c>
      <c r="AB111" s="8">
        <f t="array" ref="AB111">COUNT(IF(Linemen1=$A111,IF(AwayTeam=AB$4,1)))+COUNT(IF(Linemen2=$A111,IF(AwayTeam=AB$4,1)))</f>
        <v>0</v>
      </c>
      <c r="AC111" s="8">
        <f t="array" ref="AC111">COUNT(IF(Linemen1=$A111,IF(AwayTeam=AC$4,1)))+COUNT(IF(Linemen2=$A111,IF(AwayTeam=AC$4,1)))</f>
        <v>1</v>
      </c>
      <c r="AD111" s="8">
        <f t="array" ref="AD111">COUNT(IF(Linemen1=$A111,IF(AwayTeam=AD$4,1)))+COUNT(IF(Linemen2=$A111,IF(AwayTeam=AD$4,1)))</f>
        <v>0</v>
      </c>
      <c r="AE111" s="8">
        <f t="array" ref="AE111">COUNT(IF(Linemen1=$A111,IF(AwayTeam=AE$4,1)))+COUNT(IF(Linemen2=$A111,IF(AwayTeam=AE$4,1)))</f>
        <v>0</v>
      </c>
      <c r="AF111" s="8">
        <f t="array" ref="AF111">COUNT(IF(Linemen1=$A111,IF(AwayTeam=AF$4,1)))+COUNT(IF(Linemen2=$A111,IF(AwayTeam=AF$4,1)))</f>
        <v>0</v>
      </c>
      <c r="AG111" s="8">
        <f t="array" ref="AG111">COUNT(IF(Linemen1=$A111,IF(AwayTeam=AG$4,1)))+COUNT(IF(Linemen2=$A111,IF(AwayTeam=AG$4,1)))</f>
        <v>0</v>
      </c>
      <c r="AH111" s="8">
        <f t="array" ref="AH111">COUNT(IF(Linemen1=$A111,IF(AwayTeam=AH$4,1)))+COUNT(IF(Linemen2=$A111,IF(AwayTeam=AH$4,1)))</f>
        <v>0</v>
      </c>
      <c r="AI111" s="8">
        <f t="array" ref="AI111">COUNT(IF(Linemen1=$A111,IF(AwayTeam=AI$4,1)))+COUNT(IF(Linemen2=$A111,IF(AwayTeam=AI$4,1)))</f>
        <v>0</v>
      </c>
      <c r="AJ111" s="8">
        <f t="array" ref="AJ111">COUNT(IF(Linemen1=$A111,IF(AwayTeam=AJ$4,1)))+COUNT(IF(Linemen2=$A111,IF(AwayTeam=AJ$4,1)))</f>
        <v>1</v>
      </c>
      <c r="AK111" s="8">
        <f t="array" ref="AK111">COUNT(IF(Linemen1=$A111,IF(AwayTeam=AK$4,1)))+COUNT(IF(Linemen2=$A111,IF(AwayTeam=AK$4,1)))</f>
        <v>0</v>
      </c>
      <c r="AL111" s="8">
        <f t="array" ref="AL111">COUNT(IF(Linemen1=$A111,IF(AwayTeam=AL$4,1)))+COUNT(IF(Linemen2=$A111,IF(AwayTeam=AL$4,1)))</f>
        <v>1</v>
      </c>
      <c r="AM111" s="8">
        <f t="array" ref="AM111">COUNT(IF(Linemen1=$A111,IF(AwayTeam=AM$4,1)))+COUNT(IF(Linemen2=$A111,IF(AwayTeam=AM$4,1)))</f>
        <v>1</v>
      </c>
      <c r="AN111" s="8">
        <f t="array" ref="AN111">COUNT(IF(Linemen1=$A111,IF(AwayTeam=AN$4,1)))+COUNT(IF(Linemen2=$A111,IF(AwayTeam=AN$4,1)))</f>
        <v>0</v>
      </c>
      <c r="AO111" s="8">
        <f t="array" ref="AO111">COUNT(IF(Linemen1=$A111,IF(AwayTeam=AO$4,1)))+COUNT(IF(Linemen2=$A111,IF(AwayTeam=AO$4,1)))</f>
        <v>0</v>
      </c>
      <c r="AP111" s="8">
        <f t="array" ref="AP111">COUNT(IF(Linemen1=$A111,IF(AwayTeam=AP$4,1)))+COUNT(IF(Linemen2=$A111,IF(AwayTeam=AP$4,1)))</f>
        <v>0</v>
      </c>
    </row>
    <row r="112" spans="1:42" x14ac:dyDescent="0.2">
      <c r="A112" s="8" t="str">
        <f>IF(Info!B47&lt;&gt;0,Info!B47,"")</f>
        <v>Williams, Christopher</v>
      </c>
      <c r="B112" s="8">
        <f t="shared" si="1"/>
        <v>1</v>
      </c>
      <c r="C112" s="8">
        <f t="array" ref="C112">COUNT(IF(Linemen1=$A112,IF(HomeTeam=C$4,1)))+COUNT(IF(Linemen2=$A112,IF(HomeTeam=C$4,1)))</f>
        <v>0</v>
      </c>
      <c r="D112" s="8">
        <f t="array" ref="D112">COUNT(IF(Linemen1=$A112,IF(HomeTeam=D$4,1)))+COUNT(IF(Linemen2=$A112,IF(HomeTeam=D$4,1)))</f>
        <v>1</v>
      </c>
      <c r="E112" s="8">
        <f t="array" ref="E112">COUNT(IF(Linemen1=$A112,IF(HomeTeam=E$4,1)))+COUNT(IF(Linemen2=$A112,IF(HomeTeam=E$4,1)))</f>
        <v>0</v>
      </c>
      <c r="F112" s="8">
        <f t="array" ref="F112">COUNT(IF(Linemen1=$A112,IF(HomeTeam=F$4,1)))+COUNT(IF(Linemen2=$A112,IF(HomeTeam=F$4,1)))</f>
        <v>0</v>
      </c>
      <c r="G112" s="8">
        <f t="array" ref="G112">COUNT(IF(Linemen1=$A112,IF(HomeTeam=G$4,1)))+COUNT(IF(Linemen2=$A112,IF(HomeTeam=G$4,1)))</f>
        <v>0</v>
      </c>
      <c r="H112" s="8">
        <f t="array" ref="H112">COUNT(IF(Linemen1=$A112,IF(HomeTeam=H$4,1)))+COUNT(IF(Linemen2=$A112,IF(HomeTeam=H$4,1)))</f>
        <v>0</v>
      </c>
      <c r="I112" s="8">
        <f t="array" ref="I112">COUNT(IF(Linemen1=$A112,IF(HomeTeam=I$4,1)))+COUNT(IF(Linemen2=$A112,IF(HomeTeam=I$4,1)))</f>
        <v>0</v>
      </c>
      <c r="J112" s="8">
        <f t="array" ref="J112">COUNT(IF(Linemen1=$A112,IF(HomeTeam=J$4,1)))+COUNT(IF(Linemen2=$A112,IF(HomeTeam=J$4,1)))</f>
        <v>0</v>
      </c>
      <c r="K112" s="8">
        <f t="array" ref="K112">COUNT(IF(Linemen1=$A112,IF(HomeTeam=K$4,1)))+COUNT(IF(Linemen2=$A112,IF(HomeTeam=K$4,1)))</f>
        <v>0</v>
      </c>
      <c r="L112" s="8">
        <f t="array" ref="L112">COUNT(IF(Linemen1=$A112,IF(HomeTeam=L$4,1)))+COUNT(IF(Linemen2=$A112,IF(HomeTeam=L$4,1)))</f>
        <v>0</v>
      </c>
      <c r="M112" s="8">
        <f t="array" ref="M112">COUNT(IF(Linemen1=$A112,IF(HomeTeam=M$4,1)))+COUNT(IF(Linemen2=$A112,IF(HomeTeam=M$4,1)))</f>
        <v>0</v>
      </c>
      <c r="N112" s="8">
        <f t="array" ref="N112">COUNT(IF(Linemen1=$A112,IF(HomeTeam=N$4,1)))+COUNT(IF(Linemen2=$A112,IF(HomeTeam=N$4,1)))</f>
        <v>0</v>
      </c>
      <c r="O112" s="8">
        <f t="array" ref="O112">COUNT(IF(Linemen1=$A112,IF(HomeTeam=O$4,1)))+COUNT(IF(Linemen2=$A112,IF(HomeTeam=O$4,1)))</f>
        <v>0</v>
      </c>
      <c r="P112" s="8">
        <f t="array" ref="P112">COUNT(IF(Linemen1=$A112,IF(HomeTeam=P$4,1)))+COUNT(IF(Linemen2=$A112,IF(HomeTeam=P$4,1)))</f>
        <v>0</v>
      </c>
      <c r="Q112" s="8">
        <f t="array" ref="Q112">COUNT(IF(Linemen1=$A112,IF(HomeTeam=Q$4,1)))+COUNT(IF(Linemen2=$A112,IF(HomeTeam=Q$4,1)))</f>
        <v>0</v>
      </c>
      <c r="R112" s="8">
        <f t="array" ref="R112">COUNT(IF(Linemen1=$A112,IF(HomeTeam=R$4,1)))+COUNT(IF(Linemen2=$A112,IF(HomeTeam=R$4,1)))</f>
        <v>0</v>
      </c>
      <c r="S112" s="8">
        <f t="array" ref="S112">COUNT(IF(Linemen1=$A112,IF(HomeTeam=S$4,1)))+COUNT(IF(Linemen2=$A112,IF(HomeTeam=S$4,1)))</f>
        <v>0</v>
      </c>
      <c r="T112" s="8">
        <f t="array" ref="T112">COUNT(IF(Linemen1=$A112,IF(HomeTeam=T$4,1)))+COUNT(IF(Linemen2=$A112,IF(HomeTeam=T$4,1)))</f>
        <v>0</v>
      </c>
      <c r="U112" s="8">
        <f t="array" ref="U112">COUNT(IF(Linemen1=$A112,IF(HomeTeam=U$4,1)))+COUNT(IF(Linemen2=$A112,IF(HomeTeam=U$4,1)))</f>
        <v>0</v>
      </c>
      <c r="V112" s="8">
        <f t="array" ref="V112">COUNT(IF(Linemen1=$A112,IF(HomeTeam=V$4,1)))+COUNT(IF(Linemen2=$A112,IF(HomeTeam=V$4,1)))</f>
        <v>0</v>
      </c>
      <c r="W112" s="8">
        <f t="array" ref="W112">COUNT(IF(Linemen1=$A112,IF(AwayTeam=W$4,1)))+COUNT(IF(Linemen2=$A112,IF(AwayTeam=W$4,1)))</f>
        <v>0</v>
      </c>
      <c r="X112" s="8">
        <f t="array" ref="X112">COUNT(IF(Linemen1=$A112,IF(AwayTeam=X$4,1)))+COUNT(IF(Linemen2=$A112,IF(AwayTeam=X$4,1)))</f>
        <v>0</v>
      </c>
      <c r="Y112" s="8">
        <f t="array" ref="Y112">COUNT(IF(Linemen1=$A112,IF(AwayTeam=Y$4,1)))+COUNT(IF(Linemen2=$A112,IF(AwayTeam=Y$4,1)))</f>
        <v>0</v>
      </c>
      <c r="Z112" s="8">
        <f t="array" ref="Z112">COUNT(IF(Linemen1=$A112,IF(AwayTeam=Z$4,1)))+COUNT(IF(Linemen2=$A112,IF(AwayTeam=Z$4,1)))</f>
        <v>0</v>
      </c>
      <c r="AA112" s="8">
        <f t="array" ref="AA112">COUNT(IF(Linemen1=$A112,IF(AwayTeam=AA$4,1)))+COUNT(IF(Linemen2=$A112,IF(AwayTeam=AA$4,1)))</f>
        <v>0</v>
      </c>
      <c r="AB112" s="8">
        <f t="array" ref="AB112">COUNT(IF(Linemen1=$A112,IF(AwayTeam=AB$4,1)))+COUNT(IF(Linemen2=$A112,IF(AwayTeam=AB$4,1)))</f>
        <v>0</v>
      </c>
      <c r="AC112" s="8">
        <f t="array" ref="AC112">COUNT(IF(Linemen1=$A112,IF(AwayTeam=AC$4,1)))+COUNT(IF(Linemen2=$A112,IF(AwayTeam=AC$4,1)))</f>
        <v>0</v>
      </c>
      <c r="AD112" s="8">
        <f t="array" ref="AD112">COUNT(IF(Linemen1=$A112,IF(AwayTeam=AD$4,1)))+COUNT(IF(Linemen2=$A112,IF(AwayTeam=AD$4,1)))</f>
        <v>0</v>
      </c>
      <c r="AE112" s="8">
        <f t="array" ref="AE112">COUNT(IF(Linemen1=$A112,IF(AwayTeam=AE$4,1)))+COUNT(IF(Linemen2=$A112,IF(AwayTeam=AE$4,1)))</f>
        <v>0</v>
      </c>
      <c r="AF112" s="8">
        <f t="array" ref="AF112">COUNT(IF(Linemen1=$A112,IF(AwayTeam=AF$4,1)))+COUNT(IF(Linemen2=$A112,IF(AwayTeam=AF$4,1)))</f>
        <v>0</v>
      </c>
      <c r="AG112" s="8">
        <f t="array" ref="AG112">COUNT(IF(Linemen1=$A112,IF(AwayTeam=AG$4,1)))+COUNT(IF(Linemen2=$A112,IF(AwayTeam=AG$4,1)))</f>
        <v>0</v>
      </c>
      <c r="AH112" s="8">
        <f t="array" ref="AH112">COUNT(IF(Linemen1=$A112,IF(AwayTeam=AH$4,1)))+COUNT(IF(Linemen2=$A112,IF(AwayTeam=AH$4,1)))</f>
        <v>0</v>
      </c>
      <c r="AI112" s="8">
        <f t="array" ref="AI112">COUNT(IF(Linemen1=$A112,IF(AwayTeam=AI$4,1)))+COUNT(IF(Linemen2=$A112,IF(AwayTeam=AI$4,1)))</f>
        <v>0</v>
      </c>
      <c r="AJ112" s="8">
        <f t="array" ref="AJ112">COUNT(IF(Linemen1=$A112,IF(AwayTeam=AJ$4,1)))+COUNT(IF(Linemen2=$A112,IF(AwayTeam=AJ$4,1)))</f>
        <v>0</v>
      </c>
      <c r="AK112" s="8">
        <f t="array" ref="AK112">COUNT(IF(Linemen1=$A112,IF(AwayTeam=AK$4,1)))+COUNT(IF(Linemen2=$A112,IF(AwayTeam=AK$4,1)))</f>
        <v>0</v>
      </c>
      <c r="AL112" s="8">
        <f t="array" ref="AL112">COUNT(IF(Linemen1=$A112,IF(AwayTeam=AL$4,1)))+COUNT(IF(Linemen2=$A112,IF(AwayTeam=AL$4,1)))</f>
        <v>0</v>
      </c>
      <c r="AM112" s="8">
        <f t="array" ref="AM112">COUNT(IF(Linemen1=$A112,IF(AwayTeam=AM$4,1)))+COUNT(IF(Linemen2=$A112,IF(AwayTeam=AM$4,1)))</f>
        <v>1</v>
      </c>
      <c r="AN112" s="8">
        <f t="array" ref="AN112">COUNT(IF(Linemen1=$A112,IF(AwayTeam=AN$4,1)))+COUNT(IF(Linemen2=$A112,IF(AwayTeam=AN$4,1)))</f>
        <v>0</v>
      </c>
      <c r="AO112" s="8">
        <f t="array" ref="AO112">COUNT(IF(Linemen1=$A112,IF(AwayTeam=AO$4,1)))+COUNT(IF(Linemen2=$A112,IF(AwayTeam=AO$4,1)))</f>
        <v>0</v>
      </c>
      <c r="AP112" s="8">
        <f t="array" ref="AP112">COUNT(IF(Linemen1=$A112,IF(AwayTeam=AP$4,1)))+COUNT(IF(Linemen2=$A112,IF(AwayTeam=AP$4,1)))</f>
        <v>0</v>
      </c>
    </row>
    <row r="113" spans="1:42" x14ac:dyDescent="0.2">
      <c r="A113" s="8" t="str">
        <f>IF(Info!B48&lt;&gt;0,Info!B48,"")</f>
        <v>Williams, Nate</v>
      </c>
      <c r="B113" s="8">
        <f t="shared" si="1"/>
        <v>1</v>
      </c>
      <c r="C113" s="8">
        <f t="array" ref="C113">COUNT(IF(Linemen1=$A113,IF(HomeTeam=C$4,1)))+COUNT(IF(Linemen2=$A113,IF(HomeTeam=C$4,1)))</f>
        <v>1</v>
      </c>
      <c r="D113" s="8">
        <f t="array" ref="D113">COUNT(IF(Linemen1=$A113,IF(HomeTeam=D$4,1)))+COUNT(IF(Linemen2=$A113,IF(HomeTeam=D$4,1)))</f>
        <v>0</v>
      </c>
      <c r="E113" s="8">
        <f t="array" ref="E113">COUNT(IF(Linemen1=$A113,IF(HomeTeam=E$4,1)))+COUNT(IF(Linemen2=$A113,IF(HomeTeam=E$4,1)))</f>
        <v>0</v>
      </c>
      <c r="F113" s="8">
        <f t="array" ref="F113">COUNT(IF(Linemen1=$A113,IF(HomeTeam=F$4,1)))+COUNT(IF(Linemen2=$A113,IF(HomeTeam=F$4,1)))</f>
        <v>0</v>
      </c>
      <c r="G113" s="8">
        <f t="array" ref="G113">COUNT(IF(Linemen1=$A113,IF(HomeTeam=G$4,1)))+COUNT(IF(Linemen2=$A113,IF(HomeTeam=G$4,1)))</f>
        <v>0</v>
      </c>
      <c r="H113" s="8">
        <f t="array" ref="H113">COUNT(IF(Linemen1=$A113,IF(HomeTeam=H$4,1)))+COUNT(IF(Linemen2=$A113,IF(HomeTeam=H$4,1)))</f>
        <v>0</v>
      </c>
      <c r="I113" s="8">
        <f t="array" ref="I113">COUNT(IF(Linemen1=$A113,IF(HomeTeam=I$4,1)))+COUNT(IF(Linemen2=$A113,IF(HomeTeam=I$4,1)))</f>
        <v>0</v>
      </c>
      <c r="J113" s="8">
        <f t="array" ref="J113">COUNT(IF(Linemen1=$A113,IF(HomeTeam=J$4,1)))+COUNT(IF(Linemen2=$A113,IF(HomeTeam=J$4,1)))</f>
        <v>0</v>
      </c>
      <c r="K113" s="8">
        <f t="array" ref="K113">COUNT(IF(Linemen1=$A113,IF(HomeTeam=K$4,1)))+COUNT(IF(Linemen2=$A113,IF(HomeTeam=K$4,1)))</f>
        <v>0</v>
      </c>
      <c r="L113" s="8">
        <f t="array" ref="L113">COUNT(IF(Linemen1=$A113,IF(HomeTeam=L$4,1)))+COUNT(IF(Linemen2=$A113,IF(HomeTeam=L$4,1)))</f>
        <v>0</v>
      </c>
      <c r="M113" s="8">
        <f t="array" ref="M113">COUNT(IF(Linemen1=$A113,IF(HomeTeam=M$4,1)))+COUNT(IF(Linemen2=$A113,IF(HomeTeam=M$4,1)))</f>
        <v>0</v>
      </c>
      <c r="N113" s="8">
        <f t="array" ref="N113">COUNT(IF(Linemen1=$A113,IF(HomeTeam=N$4,1)))+COUNT(IF(Linemen2=$A113,IF(HomeTeam=N$4,1)))</f>
        <v>0</v>
      </c>
      <c r="O113" s="8">
        <f t="array" ref="O113">COUNT(IF(Linemen1=$A113,IF(HomeTeam=O$4,1)))+COUNT(IF(Linemen2=$A113,IF(HomeTeam=O$4,1)))</f>
        <v>0</v>
      </c>
      <c r="P113" s="8">
        <f t="array" ref="P113">COUNT(IF(Linemen1=$A113,IF(HomeTeam=P$4,1)))+COUNT(IF(Linemen2=$A113,IF(HomeTeam=P$4,1)))</f>
        <v>0</v>
      </c>
      <c r="Q113" s="8">
        <f t="array" ref="Q113">COUNT(IF(Linemen1=$A113,IF(HomeTeam=Q$4,1)))+COUNT(IF(Linemen2=$A113,IF(HomeTeam=Q$4,1)))</f>
        <v>0</v>
      </c>
      <c r="R113" s="8">
        <f t="array" ref="R113">COUNT(IF(Linemen1=$A113,IF(HomeTeam=R$4,1)))+COUNT(IF(Linemen2=$A113,IF(HomeTeam=R$4,1)))</f>
        <v>0</v>
      </c>
      <c r="S113" s="8">
        <f t="array" ref="S113">COUNT(IF(Linemen1=$A113,IF(HomeTeam=S$4,1)))+COUNT(IF(Linemen2=$A113,IF(HomeTeam=S$4,1)))</f>
        <v>0</v>
      </c>
      <c r="T113" s="8">
        <f t="array" ref="T113">COUNT(IF(Linemen1=$A113,IF(HomeTeam=T$4,1)))+COUNT(IF(Linemen2=$A113,IF(HomeTeam=T$4,1)))</f>
        <v>0</v>
      </c>
      <c r="U113" s="8">
        <f t="array" ref="U113">COUNT(IF(Linemen1=$A113,IF(HomeTeam=U$4,1)))+COUNT(IF(Linemen2=$A113,IF(HomeTeam=U$4,1)))</f>
        <v>0</v>
      </c>
      <c r="V113" s="8">
        <f t="array" ref="V113">COUNT(IF(Linemen1=$A113,IF(HomeTeam=V$4,1)))+COUNT(IF(Linemen2=$A113,IF(HomeTeam=V$4,1)))</f>
        <v>0</v>
      </c>
      <c r="W113" s="8">
        <f t="array" ref="W113">COUNT(IF(Linemen1=$A113,IF(AwayTeam=W$4,1)))+COUNT(IF(Linemen2=$A113,IF(AwayTeam=W$4,1)))</f>
        <v>0</v>
      </c>
      <c r="X113" s="8">
        <f t="array" ref="X113">COUNT(IF(Linemen1=$A113,IF(AwayTeam=X$4,1)))+COUNT(IF(Linemen2=$A113,IF(AwayTeam=X$4,1)))</f>
        <v>0</v>
      </c>
      <c r="Y113" s="8">
        <f t="array" ref="Y113">COUNT(IF(Linemen1=$A113,IF(AwayTeam=Y$4,1)))+COUNT(IF(Linemen2=$A113,IF(AwayTeam=Y$4,1)))</f>
        <v>0</v>
      </c>
      <c r="Z113" s="8">
        <f t="array" ref="Z113">COUNT(IF(Linemen1=$A113,IF(AwayTeam=Z$4,1)))+COUNT(IF(Linemen2=$A113,IF(AwayTeam=Z$4,1)))</f>
        <v>0</v>
      </c>
      <c r="AA113" s="8">
        <f t="array" ref="AA113">COUNT(IF(Linemen1=$A113,IF(AwayTeam=AA$4,1)))+COUNT(IF(Linemen2=$A113,IF(AwayTeam=AA$4,1)))</f>
        <v>1</v>
      </c>
      <c r="AB113" s="8">
        <f t="array" ref="AB113">COUNT(IF(Linemen1=$A113,IF(AwayTeam=AB$4,1)))+COUNT(IF(Linemen2=$A113,IF(AwayTeam=AB$4,1)))</f>
        <v>0</v>
      </c>
      <c r="AC113" s="8">
        <f t="array" ref="AC113">COUNT(IF(Linemen1=$A113,IF(AwayTeam=AC$4,1)))+COUNT(IF(Linemen2=$A113,IF(AwayTeam=AC$4,1)))</f>
        <v>0</v>
      </c>
      <c r="AD113" s="8">
        <f t="array" ref="AD113">COUNT(IF(Linemen1=$A113,IF(AwayTeam=AD$4,1)))+COUNT(IF(Linemen2=$A113,IF(AwayTeam=AD$4,1)))</f>
        <v>0</v>
      </c>
      <c r="AE113" s="8">
        <f t="array" ref="AE113">COUNT(IF(Linemen1=$A113,IF(AwayTeam=AE$4,1)))+COUNT(IF(Linemen2=$A113,IF(AwayTeam=AE$4,1)))</f>
        <v>0</v>
      </c>
      <c r="AF113" s="8">
        <f t="array" ref="AF113">COUNT(IF(Linemen1=$A113,IF(AwayTeam=AF$4,1)))+COUNT(IF(Linemen2=$A113,IF(AwayTeam=AF$4,1)))</f>
        <v>0</v>
      </c>
      <c r="AG113" s="8">
        <f t="array" ref="AG113">COUNT(IF(Linemen1=$A113,IF(AwayTeam=AG$4,1)))+COUNT(IF(Linemen2=$A113,IF(AwayTeam=AG$4,1)))</f>
        <v>0</v>
      </c>
      <c r="AH113" s="8">
        <f t="array" ref="AH113">COUNT(IF(Linemen1=$A113,IF(AwayTeam=AH$4,1)))+COUNT(IF(Linemen2=$A113,IF(AwayTeam=AH$4,1)))</f>
        <v>0</v>
      </c>
      <c r="AI113" s="8">
        <f t="array" ref="AI113">COUNT(IF(Linemen1=$A113,IF(AwayTeam=AI$4,1)))+COUNT(IF(Linemen2=$A113,IF(AwayTeam=AI$4,1)))</f>
        <v>0</v>
      </c>
      <c r="AJ113" s="8">
        <f t="array" ref="AJ113">COUNT(IF(Linemen1=$A113,IF(AwayTeam=AJ$4,1)))+COUNT(IF(Linemen2=$A113,IF(AwayTeam=AJ$4,1)))</f>
        <v>0</v>
      </c>
      <c r="AK113" s="8">
        <f t="array" ref="AK113">COUNT(IF(Linemen1=$A113,IF(AwayTeam=AK$4,1)))+COUNT(IF(Linemen2=$A113,IF(AwayTeam=AK$4,1)))</f>
        <v>0</v>
      </c>
      <c r="AL113" s="8">
        <f t="array" ref="AL113">COUNT(IF(Linemen1=$A113,IF(AwayTeam=AL$4,1)))+COUNT(IF(Linemen2=$A113,IF(AwayTeam=AL$4,1)))</f>
        <v>0</v>
      </c>
      <c r="AM113" s="8">
        <f t="array" ref="AM113">COUNT(IF(Linemen1=$A113,IF(AwayTeam=AM$4,1)))+COUNT(IF(Linemen2=$A113,IF(AwayTeam=AM$4,1)))</f>
        <v>0</v>
      </c>
      <c r="AN113" s="8">
        <f t="array" ref="AN113">COUNT(IF(Linemen1=$A113,IF(AwayTeam=AN$4,1)))+COUNT(IF(Linemen2=$A113,IF(AwayTeam=AN$4,1)))</f>
        <v>0</v>
      </c>
      <c r="AO113" s="8">
        <f t="array" ref="AO113">COUNT(IF(Linemen1=$A113,IF(AwayTeam=AO$4,1)))+COUNT(IF(Linemen2=$A113,IF(AwayTeam=AO$4,1)))</f>
        <v>0</v>
      </c>
      <c r="AP113" s="8">
        <f t="array" ref="AP113">COUNT(IF(Linemen1=$A113,IF(AwayTeam=AP$4,1)))+COUNT(IF(Linemen2=$A113,IF(AwayTeam=AP$4,1)))</f>
        <v>0</v>
      </c>
    </row>
    <row r="114" spans="1:42" x14ac:dyDescent="0.2">
      <c r="A114" s="8" t="str">
        <f>IF(Info!B49&lt;&gt;0,Info!B49,"")</f>
        <v>Linesmen 48</v>
      </c>
      <c r="B114" s="8">
        <f t="shared" si="1"/>
        <v>0</v>
      </c>
      <c r="C114" s="8">
        <f t="array" ref="C114">COUNT(IF(Linemen1=$A114,IF(HomeTeam=C$4,1)))+COUNT(IF(Linemen2=$A114,IF(HomeTeam=C$4,1)))</f>
        <v>0</v>
      </c>
      <c r="D114" s="8">
        <f t="array" ref="D114">COUNT(IF(Linemen1=$A114,IF(HomeTeam=D$4,1)))+COUNT(IF(Linemen2=$A114,IF(HomeTeam=D$4,1)))</f>
        <v>0</v>
      </c>
      <c r="E114" s="8">
        <f t="array" ref="E114">COUNT(IF(Linemen1=$A114,IF(HomeTeam=E$4,1)))+COUNT(IF(Linemen2=$A114,IF(HomeTeam=E$4,1)))</f>
        <v>0</v>
      </c>
      <c r="F114" s="8">
        <f t="array" ref="F114">COUNT(IF(Linemen1=$A114,IF(HomeTeam=F$4,1)))+COUNT(IF(Linemen2=$A114,IF(HomeTeam=F$4,1)))</f>
        <v>0</v>
      </c>
      <c r="G114" s="8">
        <f t="array" ref="G114">COUNT(IF(Linemen1=$A114,IF(HomeTeam=G$4,1)))+COUNT(IF(Linemen2=$A114,IF(HomeTeam=G$4,1)))</f>
        <v>0</v>
      </c>
      <c r="H114" s="8">
        <f t="array" ref="H114">COUNT(IF(Linemen1=$A114,IF(HomeTeam=H$4,1)))+COUNT(IF(Linemen2=$A114,IF(HomeTeam=H$4,1)))</f>
        <v>0</v>
      </c>
      <c r="I114" s="8">
        <f t="array" ref="I114">COUNT(IF(Linemen1=$A114,IF(HomeTeam=I$4,1)))+COUNT(IF(Linemen2=$A114,IF(HomeTeam=I$4,1)))</f>
        <v>0</v>
      </c>
      <c r="J114" s="8">
        <f t="array" ref="J114">COUNT(IF(Linemen1=$A114,IF(HomeTeam=J$4,1)))+COUNT(IF(Linemen2=$A114,IF(HomeTeam=J$4,1)))</f>
        <v>0</v>
      </c>
      <c r="K114" s="8">
        <f t="array" ref="K114">COUNT(IF(Linemen1=$A114,IF(HomeTeam=K$4,1)))+COUNT(IF(Linemen2=$A114,IF(HomeTeam=K$4,1)))</f>
        <v>0</v>
      </c>
      <c r="L114" s="8">
        <f t="array" ref="L114">COUNT(IF(Linemen1=$A114,IF(HomeTeam=L$4,1)))+COUNT(IF(Linemen2=$A114,IF(HomeTeam=L$4,1)))</f>
        <v>0</v>
      </c>
      <c r="M114" s="8">
        <f t="array" ref="M114">COUNT(IF(Linemen1=$A114,IF(HomeTeam=M$4,1)))+COUNT(IF(Linemen2=$A114,IF(HomeTeam=M$4,1)))</f>
        <v>0</v>
      </c>
      <c r="N114" s="8">
        <f t="array" ref="N114">COUNT(IF(Linemen1=$A114,IF(HomeTeam=N$4,1)))+COUNT(IF(Linemen2=$A114,IF(HomeTeam=N$4,1)))</f>
        <v>0</v>
      </c>
      <c r="O114" s="8">
        <f t="array" ref="O114">COUNT(IF(Linemen1=$A114,IF(HomeTeam=O$4,1)))+COUNT(IF(Linemen2=$A114,IF(HomeTeam=O$4,1)))</f>
        <v>0</v>
      </c>
      <c r="P114" s="8">
        <f t="array" ref="P114">COUNT(IF(Linemen1=$A114,IF(HomeTeam=P$4,1)))+COUNT(IF(Linemen2=$A114,IF(HomeTeam=P$4,1)))</f>
        <v>0</v>
      </c>
      <c r="Q114" s="8">
        <f t="array" ref="Q114">COUNT(IF(Linemen1=$A114,IF(HomeTeam=Q$4,1)))+COUNT(IF(Linemen2=$A114,IF(HomeTeam=Q$4,1)))</f>
        <v>0</v>
      </c>
      <c r="R114" s="8">
        <f t="array" ref="R114">COUNT(IF(Linemen1=$A114,IF(HomeTeam=R$4,1)))+COUNT(IF(Linemen2=$A114,IF(HomeTeam=R$4,1)))</f>
        <v>0</v>
      </c>
      <c r="S114" s="8">
        <f t="array" ref="S114">COUNT(IF(Linemen1=$A114,IF(HomeTeam=S$4,1)))+COUNT(IF(Linemen2=$A114,IF(HomeTeam=S$4,1)))</f>
        <v>0</v>
      </c>
      <c r="T114" s="8">
        <f t="array" ref="T114">COUNT(IF(Linemen1=$A114,IF(HomeTeam=T$4,1)))+COUNT(IF(Linemen2=$A114,IF(HomeTeam=T$4,1)))</f>
        <v>0</v>
      </c>
      <c r="U114" s="8">
        <f t="array" ref="U114">COUNT(IF(Linemen1=$A114,IF(HomeTeam=U$4,1)))+COUNT(IF(Linemen2=$A114,IF(HomeTeam=U$4,1)))</f>
        <v>0</v>
      </c>
      <c r="V114" s="8">
        <f t="array" ref="V114">COUNT(IF(Linemen1=$A114,IF(HomeTeam=V$4,1)))+COUNT(IF(Linemen2=$A114,IF(HomeTeam=V$4,1)))</f>
        <v>0</v>
      </c>
      <c r="W114" s="8">
        <f t="array" ref="W114">COUNT(IF(Linemen1=$A114,IF(AwayTeam=W$4,1)))+COUNT(IF(Linemen2=$A114,IF(AwayTeam=W$4,1)))</f>
        <v>0</v>
      </c>
      <c r="X114" s="8">
        <f t="array" ref="X114">COUNT(IF(Linemen1=$A114,IF(AwayTeam=X$4,1)))+COUNT(IF(Linemen2=$A114,IF(AwayTeam=X$4,1)))</f>
        <v>0</v>
      </c>
      <c r="Y114" s="8">
        <f t="array" ref="Y114">COUNT(IF(Linemen1=$A114,IF(AwayTeam=Y$4,1)))+COUNT(IF(Linemen2=$A114,IF(AwayTeam=Y$4,1)))</f>
        <v>0</v>
      </c>
      <c r="Z114" s="8">
        <f t="array" ref="Z114">COUNT(IF(Linemen1=$A114,IF(AwayTeam=Z$4,1)))+COUNT(IF(Linemen2=$A114,IF(AwayTeam=Z$4,1)))</f>
        <v>0</v>
      </c>
      <c r="AA114" s="8">
        <f t="array" ref="AA114">COUNT(IF(Linemen1=$A114,IF(AwayTeam=AA$4,1)))+COUNT(IF(Linemen2=$A114,IF(AwayTeam=AA$4,1)))</f>
        <v>0</v>
      </c>
      <c r="AB114" s="8">
        <f t="array" ref="AB114">COUNT(IF(Linemen1=$A114,IF(AwayTeam=AB$4,1)))+COUNT(IF(Linemen2=$A114,IF(AwayTeam=AB$4,1)))</f>
        <v>0</v>
      </c>
      <c r="AC114" s="8">
        <f t="array" ref="AC114">COUNT(IF(Linemen1=$A114,IF(AwayTeam=AC$4,1)))+COUNT(IF(Linemen2=$A114,IF(AwayTeam=AC$4,1)))</f>
        <v>0</v>
      </c>
      <c r="AD114" s="8">
        <f t="array" ref="AD114">COUNT(IF(Linemen1=$A114,IF(AwayTeam=AD$4,1)))+COUNT(IF(Linemen2=$A114,IF(AwayTeam=AD$4,1)))</f>
        <v>0</v>
      </c>
      <c r="AE114" s="8">
        <f t="array" ref="AE114">COUNT(IF(Linemen1=$A114,IF(AwayTeam=AE$4,1)))+COUNT(IF(Linemen2=$A114,IF(AwayTeam=AE$4,1)))</f>
        <v>0</v>
      </c>
      <c r="AF114" s="8">
        <f t="array" ref="AF114">COUNT(IF(Linemen1=$A114,IF(AwayTeam=AF$4,1)))+COUNT(IF(Linemen2=$A114,IF(AwayTeam=AF$4,1)))</f>
        <v>0</v>
      </c>
      <c r="AG114" s="8">
        <f t="array" ref="AG114">COUNT(IF(Linemen1=$A114,IF(AwayTeam=AG$4,1)))+COUNT(IF(Linemen2=$A114,IF(AwayTeam=AG$4,1)))</f>
        <v>0</v>
      </c>
      <c r="AH114" s="8">
        <f t="array" ref="AH114">COUNT(IF(Linemen1=$A114,IF(AwayTeam=AH$4,1)))+COUNT(IF(Linemen2=$A114,IF(AwayTeam=AH$4,1)))</f>
        <v>0</v>
      </c>
      <c r="AI114" s="8">
        <f t="array" ref="AI114">COUNT(IF(Linemen1=$A114,IF(AwayTeam=AI$4,1)))+COUNT(IF(Linemen2=$A114,IF(AwayTeam=AI$4,1)))</f>
        <v>0</v>
      </c>
      <c r="AJ114" s="8">
        <f t="array" ref="AJ114">COUNT(IF(Linemen1=$A114,IF(AwayTeam=AJ$4,1)))+COUNT(IF(Linemen2=$A114,IF(AwayTeam=AJ$4,1)))</f>
        <v>0</v>
      </c>
      <c r="AK114" s="8">
        <f t="array" ref="AK114">COUNT(IF(Linemen1=$A114,IF(AwayTeam=AK$4,1)))+COUNT(IF(Linemen2=$A114,IF(AwayTeam=AK$4,1)))</f>
        <v>0</v>
      </c>
      <c r="AL114" s="8">
        <f t="array" ref="AL114">COUNT(IF(Linemen1=$A114,IF(AwayTeam=AL$4,1)))+COUNT(IF(Linemen2=$A114,IF(AwayTeam=AL$4,1)))</f>
        <v>0</v>
      </c>
      <c r="AM114" s="8">
        <f t="array" ref="AM114">COUNT(IF(Linemen1=$A114,IF(AwayTeam=AM$4,1)))+COUNT(IF(Linemen2=$A114,IF(AwayTeam=AM$4,1)))</f>
        <v>0</v>
      </c>
      <c r="AN114" s="8">
        <f t="array" ref="AN114">COUNT(IF(Linemen1=$A114,IF(AwayTeam=AN$4,1)))+COUNT(IF(Linemen2=$A114,IF(AwayTeam=AN$4,1)))</f>
        <v>0</v>
      </c>
      <c r="AO114" s="8">
        <f t="array" ref="AO114">COUNT(IF(Linemen1=$A114,IF(AwayTeam=AO$4,1)))+COUNT(IF(Linemen2=$A114,IF(AwayTeam=AO$4,1)))</f>
        <v>0</v>
      </c>
      <c r="AP114" s="8">
        <f t="array" ref="AP114">COUNT(IF(Linemen1=$A114,IF(AwayTeam=AP$4,1)))+COUNT(IF(Linemen2=$A114,IF(AwayTeam=AP$4,1)))</f>
        <v>0</v>
      </c>
    </row>
    <row r="115" spans="1:42" x14ac:dyDescent="0.2">
      <c r="A115" s="8" t="str">
        <f>IF(Info!B50&lt;&gt;0,Info!B50,"")</f>
        <v>Linesmen 49</v>
      </c>
      <c r="B115" s="8">
        <f t="shared" si="1"/>
        <v>0</v>
      </c>
      <c r="C115" s="8">
        <f t="array" ref="C115">COUNT(IF(Linemen1=$A115,IF(HomeTeam=C$4,1)))+COUNT(IF(Linemen2=$A115,IF(HomeTeam=C$4,1)))</f>
        <v>0</v>
      </c>
      <c r="D115" s="8">
        <f t="array" ref="D115">COUNT(IF(Linemen1=$A115,IF(HomeTeam=D$4,1)))+COUNT(IF(Linemen2=$A115,IF(HomeTeam=D$4,1)))</f>
        <v>0</v>
      </c>
      <c r="E115" s="8">
        <f t="array" ref="E115">COUNT(IF(Linemen1=$A115,IF(HomeTeam=E$4,1)))+COUNT(IF(Linemen2=$A115,IF(HomeTeam=E$4,1)))</f>
        <v>0</v>
      </c>
      <c r="F115" s="8">
        <f t="array" ref="F115">COUNT(IF(Linemen1=$A115,IF(HomeTeam=F$4,1)))+COUNT(IF(Linemen2=$A115,IF(HomeTeam=F$4,1)))</f>
        <v>0</v>
      </c>
      <c r="G115" s="8">
        <f t="array" ref="G115">COUNT(IF(Linemen1=$A115,IF(HomeTeam=G$4,1)))+COUNT(IF(Linemen2=$A115,IF(HomeTeam=G$4,1)))</f>
        <v>0</v>
      </c>
      <c r="H115" s="8">
        <f t="array" ref="H115">COUNT(IF(Linemen1=$A115,IF(HomeTeam=H$4,1)))+COUNT(IF(Linemen2=$A115,IF(HomeTeam=H$4,1)))</f>
        <v>0</v>
      </c>
      <c r="I115" s="8">
        <f t="array" ref="I115">COUNT(IF(Linemen1=$A115,IF(HomeTeam=I$4,1)))+COUNT(IF(Linemen2=$A115,IF(HomeTeam=I$4,1)))</f>
        <v>0</v>
      </c>
      <c r="J115" s="8">
        <f t="array" ref="J115">COUNT(IF(Linemen1=$A115,IF(HomeTeam=J$4,1)))+COUNT(IF(Linemen2=$A115,IF(HomeTeam=J$4,1)))</f>
        <v>0</v>
      </c>
      <c r="K115" s="8">
        <f t="array" ref="K115">COUNT(IF(Linemen1=$A115,IF(HomeTeam=K$4,1)))+COUNT(IF(Linemen2=$A115,IF(HomeTeam=K$4,1)))</f>
        <v>0</v>
      </c>
      <c r="L115" s="8">
        <f t="array" ref="L115">COUNT(IF(Linemen1=$A115,IF(HomeTeam=L$4,1)))+COUNT(IF(Linemen2=$A115,IF(HomeTeam=L$4,1)))</f>
        <v>0</v>
      </c>
      <c r="M115" s="8">
        <f t="array" ref="M115">COUNT(IF(Linemen1=$A115,IF(HomeTeam=M$4,1)))+COUNT(IF(Linemen2=$A115,IF(HomeTeam=M$4,1)))</f>
        <v>0</v>
      </c>
      <c r="N115" s="8">
        <f t="array" ref="N115">COUNT(IF(Linemen1=$A115,IF(HomeTeam=N$4,1)))+COUNT(IF(Linemen2=$A115,IF(HomeTeam=N$4,1)))</f>
        <v>0</v>
      </c>
      <c r="O115" s="8">
        <f t="array" ref="O115">COUNT(IF(Linemen1=$A115,IF(HomeTeam=O$4,1)))+COUNT(IF(Linemen2=$A115,IF(HomeTeam=O$4,1)))</f>
        <v>0</v>
      </c>
      <c r="P115" s="8">
        <f t="array" ref="P115">COUNT(IF(Linemen1=$A115,IF(HomeTeam=P$4,1)))+COUNT(IF(Linemen2=$A115,IF(HomeTeam=P$4,1)))</f>
        <v>0</v>
      </c>
      <c r="Q115" s="8">
        <f t="array" ref="Q115">COUNT(IF(Linemen1=$A115,IF(HomeTeam=Q$4,1)))+COUNT(IF(Linemen2=$A115,IF(HomeTeam=Q$4,1)))</f>
        <v>0</v>
      </c>
      <c r="R115" s="8">
        <f t="array" ref="R115">COUNT(IF(Linemen1=$A115,IF(HomeTeam=R$4,1)))+COUNT(IF(Linemen2=$A115,IF(HomeTeam=R$4,1)))</f>
        <v>0</v>
      </c>
      <c r="S115" s="8">
        <f t="array" ref="S115">COUNT(IF(Linemen1=$A115,IF(HomeTeam=S$4,1)))+COUNT(IF(Linemen2=$A115,IF(HomeTeam=S$4,1)))</f>
        <v>0</v>
      </c>
      <c r="T115" s="8">
        <f t="array" ref="T115">COUNT(IF(Linemen1=$A115,IF(HomeTeam=T$4,1)))+COUNT(IF(Linemen2=$A115,IF(HomeTeam=T$4,1)))</f>
        <v>0</v>
      </c>
      <c r="U115" s="8">
        <f t="array" ref="U115">COUNT(IF(Linemen1=$A115,IF(HomeTeam=U$4,1)))+COUNT(IF(Linemen2=$A115,IF(HomeTeam=U$4,1)))</f>
        <v>0</v>
      </c>
      <c r="V115" s="8">
        <f t="array" ref="V115">COUNT(IF(Linemen1=$A115,IF(HomeTeam=V$4,1)))+COUNT(IF(Linemen2=$A115,IF(HomeTeam=V$4,1)))</f>
        <v>0</v>
      </c>
      <c r="W115" s="8">
        <f t="array" ref="W115">COUNT(IF(Linemen1=$A115,IF(AwayTeam=W$4,1)))+COUNT(IF(Linemen2=$A115,IF(AwayTeam=W$4,1)))</f>
        <v>0</v>
      </c>
      <c r="X115" s="8">
        <f t="array" ref="X115">COUNT(IF(Linemen1=$A115,IF(AwayTeam=X$4,1)))+COUNT(IF(Linemen2=$A115,IF(AwayTeam=X$4,1)))</f>
        <v>0</v>
      </c>
      <c r="Y115" s="8">
        <f t="array" ref="Y115">COUNT(IF(Linemen1=$A115,IF(AwayTeam=Y$4,1)))+COUNT(IF(Linemen2=$A115,IF(AwayTeam=Y$4,1)))</f>
        <v>0</v>
      </c>
      <c r="Z115" s="8">
        <f t="array" ref="Z115">COUNT(IF(Linemen1=$A115,IF(AwayTeam=Z$4,1)))+COUNT(IF(Linemen2=$A115,IF(AwayTeam=Z$4,1)))</f>
        <v>0</v>
      </c>
      <c r="AA115" s="8">
        <f t="array" ref="AA115">COUNT(IF(Linemen1=$A115,IF(AwayTeam=AA$4,1)))+COUNT(IF(Linemen2=$A115,IF(AwayTeam=AA$4,1)))</f>
        <v>0</v>
      </c>
      <c r="AB115" s="8">
        <f t="array" ref="AB115">COUNT(IF(Linemen1=$A115,IF(AwayTeam=AB$4,1)))+COUNT(IF(Linemen2=$A115,IF(AwayTeam=AB$4,1)))</f>
        <v>0</v>
      </c>
      <c r="AC115" s="8">
        <f t="array" ref="AC115">COUNT(IF(Linemen1=$A115,IF(AwayTeam=AC$4,1)))+COUNT(IF(Linemen2=$A115,IF(AwayTeam=AC$4,1)))</f>
        <v>0</v>
      </c>
      <c r="AD115" s="8">
        <f t="array" ref="AD115">COUNT(IF(Linemen1=$A115,IF(AwayTeam=AD$4,1)))+COUNT(IF(Linemen2=$A115,IF(AwayTeam=AD$4,1)))</f>
        <v>0</v>
      </c>
      <c r="AE115" s="8">
        <f t="array" ref="AE115">COUNT(IF(Linemen1=$A115,IF(AwayTeam=AE$4,1)))+COUNT(IF(Linemen2=$A115,IF(AwayTeam=AE$4,1)))</f>
        <v>0</v>
      </c>
      <c r="AF115" s="8">
        <f t="array" ref="AF115">COUNT(IF(Linemen1=$A115,IF(AwayTeam=AF$4,1)))+COUNT(IF(Linemen2=$A115,IF(AwayTeam=AF$4,1)))</f>
        <v>0</v>
      </c>
      <c r="AG115" s="8">
        <f t="array" ref="AG115">COUNT(IF(Linemen1=$A115,IF(AwayTeam=AG$4,1)))+COUNT(IF(Linemen2=$A115,IF(AwayTeam=AG$4,1)))</f>
        <v>0</v>
      </c>
      <c r="AH115" s="8">
        <f t="array" ref="AH115">COUNT(IF(Linemen1=$A115,IF(AwayTeam=AH$4,1)))+COUNT(IF(Linemen2=$A115,IF(AwayTeam=AH$4,1)))</f>
        <v>0</v>
      </c>
      <c r="AI115" s="8">
        <f t="array" ref="AI115">COUNT(IF(Linemen1=$A115,IF(AwayTeam=AI$4,1)))+COUNT(IF(Linemen2=$A115,IF(AwayTeam=AI$4,1)))</f>
        <v>0</v>
      </c>
      <c r="AJ115" s="8">
        <f t="array" ref="AJ115">COUNT(IF(Linemen1=$A115,IF(AwayTeam=AJ$4,1)))+COUNT(IF(Linemen2=$A115,IF(AwayTeam=AJ$4,1)))</f>
        <v>0</v>
      </c>
      <c r="AK115" s="8">
        <f t="array" ref="AK115">COUNT(IF(Linemen1=$A115,IF(AwayTeam=AK$4,1)))+COUNT(IF(Linemen2=$A115,IF(AwayTeam=AK$4,1)))</f>
        <v>0</v>
      </c>
      <c r="AL115" s="8">
        <f t="array" ref="AL115">COUNT(IF(Linemen1=$A115,IF(AwayTeam=AL$4,1)))+COUNT(IF(Linemen2=$A115,IF(AwayTeam=AL$4,1)))</f>
        <v>0</v>
      </c>
      <c r="AM115" s="8">
        <f t="array" ref="AM115">COUNT(IF(Linemen1=$A115,IF(AwayTeam=AM$4,1)))+COUNT(IF(Linemen2=$A115,IF(AwayTeam=AM$4,1)))</f>
        <v>0</v>
      </c>
      <c r="AN115" s="8">
        <f t="array" ref="AN115">COUNT(IF(Linemen1=$A115,IF(AwayTeam=AN$4,1)))+COUNT(IF(Linemen2=$A115,IF(AwayTeam=AN$4,1)))</f>
        <v>0</v>
      </c>
      <c r="AO115" s="8">
        <f t="array" ref="AO115">COUNT(IF(Linemen1=$A115,IF(AwayTeam=AO$4,1)))+COUNT(IF(Linemen2=$A115,IF(AwayTeam=AO$4,1)))</f>
        <v>0</v>
      </c>
      <c r="AP115" s="8">
        <f t="array" ref="AP115">COUNT(IF(Linemen1=$A115,IF(AwayTeam=AP$4,1)))+COUNT(IF(Linemen2=$A115,IF(AwayTeam=AP$4,1)))</f>
        <v>0</v>
      </c>
    </row>
    <row r="116" spans="1:42" x14ac:dyDescent="0.2">
      <c r="A116" s="8" t="str">
        <f>IF(Info!B51&lt;&gt;0,Info!B51,"")</f>
        <v>Linesmen 50</v>
      </c>
      <c r="B116" s="8">
        <f t="shared" si="1"/>
        <v>0</v>
      </c>
      <c r="C116" s="8">
        <f t="array" ref="C116">COUNT(IF(Linemen1=$A116,IF(HomeTeam=C$4,1)))+COUNT(IF(Linemen2=$A116,IF(HomeTeam=C$4,1)))</f>
        <v>0</v>
      </c>
      <c r="D116" s="8">
        <f t="array" ref="D116">COUNT(IF(Linemen1=$A116,IF(HomeTeam=D$4,1)))+COUNT(IF(Linemen2=$A116,IF(HomeTeam=D$4,1)))</f>
        <v>0</v>
      </c>
      <c r="E116" s="8">
        <f t="array" ref="E116">COUNT(IF(Linemen1=$A116,IF(HomeTeam=E$4,1)))+COUNT(IF(Linemen2=$A116,IF(HomeTeam=E$4,1)))</f>
        <v>0</v>
      </c>
      <c r="F116" s="8">
        <f t="array" ref="F116">COUNT(IF(Linemen1=$A116,IF(HomeTeam=F$4,1)))+COUNT(IF(Linemen2=$A116,IF(HomeTeam=F$4,1)))</f>
        <v>0</v>
      </c>
      <c r="G116" s="8">
        <f t="array" ref="G116">COUNT(IF(Linemen1=$A116,IF(HomeTeam=G$4,1)))+COUNT(IF(Linemen2=$A116,IF(HomeTeam=G$4,1)))</f>
        <v>0</v>
      </c>
      <c r="H116" s="8">
        <f t="array" ref="H116">COUNT(IF(Linemen1=$A116,IF(HomeTeam=H$4,1)))+COUNT(IF(Linemen2=$A116,IF(HomeTeam=H$4,1)))</f>
        <v>0</v>
      </c>
      <c r="I116" s="8">
        <f t="array" ref="I116">COUNT(IF(Linemen1=$A116,IF(HomeTeam=I$4,1)))+COUNT(IF(Linemen2=$A116,IF(HomeTeam=I$4,1)))</f>
        <v>0</v>
      </c>
      <c r="J116" s="8">
        <f t="array" ref="J116">COUNT(IF(Linemen1=$A116,IF(HomeTeam=J$4,1)))+COUNT(IF(Linemen2=$A116,IF(HomeTeam=J$4,1)))</f>
        <v>0</v>
      </c>
      <c r="K116" s="8">
        <f t="array" ref="K116">COUNT(IF(Linemen1=$A116,IF(HomeTeam=K$4,1)))+COUNT(IF(Linemen2=$A116,IF(HomeTeam=K$4,1)))</f>
        <v>0</v>
      </c>
      <c r="L116" s="8">
        <f t="array" ref="L116">COUNT(IF(Linemen1=$A116,IF(HomeTeam=L$4,1)))+COUNT(IF(Linemen2=$A116,IF(HomeTeam=L$4,1)))</f>
        <v>0</v>
      </c>
      <c r="M116" s="8">
        <f t="array" ref="M116">COUNT(IF(Linemen1=$A116,IF(HomeTeam=M$4,1)))+COUNT(IF(Linemen2=$A116,IF(HomeTeam=M$4,1)))</f>
        <v>0</v>
      </c>
      <c r="N116" s="8">
        <f t="array" ref="N116">COUNT(IF(Linemen1=$A116,IF(HomeTeam=N$4,1)))+COUNT(IF(Linemen2=$A116,IF(HomeTeam=N$4,1)))</f>
        <v>0</v>
      </c>
      <c r="O116" s="8">
        <f t="array" ref="O116">COUNT(IF(Linemen1=$A116,IF(HomeTeam=O$4,1)))+COUNT(IF(Linemen2=$A116,IF(HomeTeam=O$4,1)))</f>
        <v>0</v>
      </c>
      <c r="P116" s="8">
        <f t="array" ref="P116">COUNT(IF(Linemen1=$A116,IF(HomeTeam=P$4,1)))+COUNT(IF(Linemen2=$A116,IF(HomeTeam=P$4,1)))</f>
        <v>0</v>
      </c>
      <c r="Q116" s="8">
        <f t="array" ref="Q116">COUNT(IF(Linemen1=$A116,IF(HomeTeam=Q$4,1)))+COUNT(IF(Linemen2=$A116,IF(HomeTeam=Q$4,1)))</f>
        <v>0</v>
      </c>
      <c r="R116" s="8">
        <f t="array" ref="R116">COUNT(IF(Linemen1=$A116,IF(HomeTeam=R$4,1)))+COUNT(IF(Linemen2=$A116,IF(HomeTeam=R$4,1)))</f>
        <v>0</v>
      </c>
      <c r="S116" s="8">
        <f t="array" ref="S116">COUNT(IF(Linemen1=$A116,IF(HomeTeam=S$4,1)))+COUNT(IF(Linemen2=$A116,IF(HomeTeam=S$4,1)))</f>
        <v>0</v>
      </c>
      <c r="T116" s="8">
        <f t="array" ref="T116">COUNT(IF(Linemen1=$A116,IF(HomeTeam=T$4,1)))+COUNT(IF(Linemen2=$A116,IF(HomeTeam=T$4,1)))</f>
        <v>0</v>
      </c>
      <c r="U116" s="8">
        <f t="array" ref="U116">COUNT(IF(Linemen1=$A116,IF(HomeTeam=U$4,1)))+COUNT(IF(Linemen2=$A116,IF(HomeTeam=U$4,1)))</f>
        <v>0</v>
      </c>
      <c r="V116" s="8">
        <f t="array" ref="V116">COUNT(IF(Linemen1=$A116,IF(HomeTeam=V$4,1)))+COUNT(IF(Linemen2=$A116,IF(HomeTeam=V$4,1)))</f>
        <v>0</v>
      </c>
      <c r="W116" s="8">
        <f t="array" ref="W116">COUNT(IF(Linemen1=$A116,IF(AwayTeam=W$4,1)))+COUNT(IF(Linemen2=$A116,IF(AwayTeam=W$4,1)))</f>
        <v>0</v>
      </c>
      <c r="X116" s="8">
        <f t="array" ref="X116">COUNT(IF(Linemen1=$A116,IF(AwayTeam=X$4,1)))+COUNT(IF(Linemen2=$A116,IF(AwayTeam=X$4,1)))</f>
        <v>0</v>
      </c>
      <c r="Y116" s="8">
        <f t="array" ref="Y116">COUNT(IF(Linemen1=$A116,IF(AwayTeam=Y$4,1)))+COUNT(IF(Linemen2=$A116,IF(AwayTeam=Y$4,1)))</f>
        <v>0</v>
      </c>
      <c r="Z116" s="8">
        <f t="array" ref="Z116">COUNT(IF(Linemen1=$A116,IF(AwayTeam=Z$4,1)))+COUNT(IF(Linemen2=$A116,IF(AwayTeam=Z$4,1)))</f>
        <v>0</v>
      </c>
      <c r="AA116" s="8">
        <f t="array" ref="AA116">COUNT(IF(Linemen1=$A116,IF(AwayTeam=AA$4,1)))+COUNT(IF(Linemen2=$A116,IF(AwayTeam=AA$4,1)))</f>
        <v>0</v>
      </c>
      <c r="AB116" s="8">
        <f t="array" ref="AB116">COUNT(IF(Linemen1=$A116,IF(AwayTeam=AB$4,1)))+COUNT(IF(Linemen2=$A116,IF(AwayTeam=AB$4,1)))</f>
        <v>0</v>
      </c>
      <c r="AC116" s="8">
        <f t="array" ref="AC116">COUNT(IF(Linemen1=$A116,IF(AwayTeam=AC$4,1)))+COUNT(IF(Linemen2=$A116,IF(AwayTeam=AC$4,1)))</f>
        <v>0</v>
      </c>
      <c r="AD116" s="8">
        <f t="array" ref="AD116">COUNT(IF(Linemen1=$A116,IF(AwayTeam=AD$4,1)))+COUNT(IF(Linemen2=$A116,IF(AwayTeam=AD$4,1)))</f>
        <v>0</v>
      </c>
      <c r="AE116" s="8">
        <f t="array" ref="AE116">COUNT(IF(Linemen1=$A116,IF(AwayTeam=AE$4,1)))+COUNT(IF(Linemen2=$A116,IF(AwayTeam=AE$4,1)))</f>
        <v>0</v>
      </c>
      <c r="AF116" s="8">
        <f t="array" ref="AF116">COUNT(IF(Linemen1=$A116,IF(AwayTeam=AF$4,1)))+COUNT(IF(Linemen2=$A116,IF(AwayTeam=AF$4,1)))</f>
        <v>0</v>
      </c>
      <c r="AG116" s="8">
        <f t="array" ref="AG116">COUNT(IF(Linemen1=$A116,IF(AwayTeam=AG$4,1)))+COUNT(IF(Linemen2=$A116,IF(AwayTeam=AG$4,1)))</f>
        <v>0</v>
      </c>
      <c r="AH116" s="8">
        <f t="array" ref="AH116">COUNT(IF(Linemen1=$A116,IF(AwayTeam=AH$4,1)))+COUNT(IF(Linemen2=$A116,IF(AwayTeam=AH$4,1)))</f>
        <v>0</v>
      </c>
      <c r="AI116" s="8">
        <f t="array" ref="AI116">COUNT(IF(Linemen1=$A116,IF(AwayTeam=AI$4,1)))+COUNT(IF(Linemen2=$A116,IF(AwayTeam=AI$4,1)))</f>
        <v>0</v>
      </c>
      <c r="AJ116" s="8">
        <f t="array" ref="AJ116">COUNT(IF(Linemen1=$A116,IF(AwayTeam=AJ$4,1)))+COUNT(IF(Linemen2=$A116,IF(AwayTeam=AJ$4,1)))</f>
        <v>0</v>
      </c>
      <c r="AK116" s="8">
        <f t="array" ref="AK116">COUNT(IF(Linemen1=$A116,IF(AwayTeam=AK$4,1)))+COUNT(IF(Linemen2=$A116,IF(AwayTeam=AK$4,1)))</f>
        <v>0</v>
      </c>
      <c r="AL116" s="8">
        <f t="array" ref="AL116">COUNT(IF(Linemen1=$A116,IF(AwayTeam=AL$4,1)))+COUNT(IF(Linemen2=$A116,IF(AwayTeam=AL$4,1)))</f>
        <v>0</v>
      </c>
      <c r="AM116" s="8">
        <f t="array" ref="AM116">COUNT(IF(Linemen1=$A116,IF(AwayTeam=AM$4,1)))+COUNT(IF(Linemen2=$A116,IF(AwayTeam=AM$4,1)))</f>
        <v>0</v>
      </c>
      <c r="AN116" s="8">
        <f t="array" ref="AN116">COUNT(IF(Linemen1=$A116,IF(AwayTeam=AN$4,1)))+COUNT(IF(Linemen2=$A116,IF(AwayTeam=AN$4,1)))</f>
        <v>0</v>
      </c>
      <c r="AO116" s="8">
        <f t="array" ref="AO116">COUNT(IF(Linemen1=$A116,IF(AwayTeam=AO$4,1)))+COUNT(IF(Linemen2=$A116,IF(AwayTeam=AO$4,1)))</f>
        <v>0</v>
      </c>
      <c r="AP116" s="8">
        <f t="array" ref="AP116">COUNT(IF(Linemen1=$A116,IF(AwayTeam=AP$4,1)))+COUNT(IF(Linemen2=$A116,IF(AwayTeam=AP$4,1)))</f>
        <v>0</v>
      </c>
    </row>
    <row r="117" spans="1:42" x14ac:dyDescent="0.2">
      <c r="A117" s="8" t="str">
        <f>IF(Info!B52&lt;&gt;0,Info!B52,"")</f>
        <v>Linesmen 51</v>
      </c>
      <c r="B117" s="8">
        <f t="shared" si="1"/>
        <v>0</v>
      </c>
      <c r="C117" s="8">
        <f t="array" ref="C117">COUNT(IF(Linemen1=$A117,IF(HomeTeam=C$4,1)))+COUNT(IF(Linemen2=$A117,IF(HomeTeam=C$4,1)))</f>
        <v>0</v>
      </c>
      <c r="D117" s="8">
        <f t="array" ref="D117">COUNT(IF(Linemen1=$A117,IF(HomeTeam=D$4,1)))+COUNT(IF(Linemen2=$A117,IF(HomeTeam=D$4,1)))</f>
        <v>0</v>
      </c>
      <c r="E117" s="8">
        <f t="array" ref="E117">COUNT(IF(Linemen1=$A117,IF(HomeTeam=E$4,1)))+COUNT(IF(Linemen2=$A117,IF(HomeTeam=E$4,1)))</f>
        <v>0</v>
      </c>
      <c r="F117" s="8">
        <f t="array" ref="F117">COUNT(IF(Linemen1=$A117,IF(HomeTeam=F$4,1)))+COUNT(IF(Linemen2=$A117,IF(HomeTeam=F$4,1)))</f>
        <v>0</v>
      </c>
      <c r="G117" s="8">
        <f t="array" ref="G117">COUNT(IF(Linemen1=$A117,IF(HomeTeam=G$4,1)))+COUNT(IF(Linemen2=$A117,IF(HomeTeam=G$4,1)))</f>
        <v>0</v>
      </c>
      <c r="H117" s="8">
        <f t="array" ref="H117">COUNT(IF(Linemen1=$A117,IF(HomeTeam=H$4,1)))+COUNT(IF(Linemen2=$A117,IF(HomeTeam=H$4,1)))</f>
        <v>0</v>
      </c>
      <c r="I117" s="8">
        <f t="array" ref="I117">COUNT(IF(Linemen1=$A117,IF(HomeTeam=I$4,1)))+COUNT(IF(Linemen2=$A117,IF(HomeTeam=I$4,1)))</f>
        <v>0</v>
      </c>
      <c r="J117" s="8">
        <f t="array" ref="J117">COUNT(IF(Linemen1=$A117,IF(HomeTeam=J$4,1)))+COUNT(IF(Linemen2=$A117,IF(HomeTeam=J$4,1)))</f>
        <v>0</v>
      </c>
      <c r="K117" s="8">
        <f t="array" ref="K117">COUNT(IF(Linemen1=$A117,IF(HomeTeam=K$4,1)))+COUNT(IF(Linemen2=$A117,IF(HomeTeam=K$4,1)))</f>
        <v>0</v>
      </c>
      <c r="L117" s="8">
        <f t="array" ref="L117">COUNT(IF(Linemen1=$A117,IF(HomeTeam=L$4,1)))+COUNT(IF(Linemen2=$A117,IF(HomeTeam=L$4,1)))</f>
        <v>0</v>
      </c>
      <c r="M117" s="8">
        <f t="array" ref="M117">COUNT(IF(Linemen1=$A117,IF(HomeTeam=M$4,1)))+COUNT(IF(Linemen2=$A117,IF(HomeTeam=M$4,1)))</f>
        <v>0</v>
      </c>
      <c r="N117" s="8">
        <f t="array" ref="N117">COUNT(IF(Linemen1=$A117,IF(HomeTeam=N$4,1)))+COUNT(IF(Linemen2=$A117,IF(HomeTeam=N$4,1)))</f>
        <v>0</v>
      </c>
      <c r="O117" s="8">
        <f t="array" ref="O117">COUNT(IF(Linemen1=$A117,IF(HomeTeam=O$4,1)))+COUNT(IF(Linemen2=$A117,IF(HomeTeam=O$4,1)))</f>
        <v>0</v>
      </c>
      <c r="P117" s="8">
        <f t="array" ref="P117">COUNT(IF(Linemen1=$A117,IF(HomeTeam=P$4,1)))+COUNT(IF(Linemen2=$A117,IF(HomeTeam=P$4,1)))</f>
        <v>0</v>
      </c>
      <c r="Q117" s="8">
        <f t="array" ref="Q117">COUNT(IF(Linemen1=$A117,IF(HomeTeam=Q$4,1)))+COUNT(IF(Linemen2=$A117,IF(HomeTeam=Q$4,1)))</f>
        <v>0</v>
      </c>
      <c r="R117" s="8">
        <f t="array" ref="R117">COUNT(IF(Linemen1=$A117,IF(HomeTeam=R$4,1)))+COUNT(IF(Linemen2=$A117,IF(HomeTeam=R$4,1)))</f>
        <v>0</v>
      </c>
      <c r="S117" s="8">
        <f t="array" ref="S117">COUNT(IF(Linemen1=$A117,IF(HomeTeam=S$4,1)))+COUNT(IF(Linemen2=$A117,IF(HomeTeam=S$4,1)))</f>
        <v>0</v>
      </c>
      <c r="T117" s="8">
        <f t="array" ref="T117">COUNT(IF(Linemen1=$A117,IF(HomeTeam=T$4,1)))+COUNT(IF(Linemen2=$A117,IF(HomeTeam=T$4,1)))</f>
        <v>0</v>
      </c>
      <c r="U117" s="8">
        <f t="array" ref="U117">COUNT(IF(Linemen1=$A117,IF(HomeTeam=U$4,1)))+COUNT(IF(Linemen2=$A117,IF(HomeTeam=U$4,1)))</f>
        <v>0</v>
      </c>
      <c r="V117" s="8">
        <f t="array" ref="V117">COUNT(IF(Linemen1=$A117,IF(HomeTeam=V$4,1)))+COUNT(IF(Linemen2=$A117,IF(HomeTeam=V$4,1)))</f>
        <v>0</v>
      </c>
      <c r="W117" s="8">
        <f t="array" ref="W117">COUNT(IF(Linemen1=$A117,IF(AwayTeam=W$4,1)))+COUNT(IF(Linemen2=$A117,IF(AwayTeam=W$4,1)))</f>
        <v>0</v>
      </c>
      <c r="X117" s="8">
        <f t="array" ref="X117">COUNT(IF(Linemen1=$A117,IF(AwayTeam=X$4,1)))+COUNT(IF(Linemen2=$A117,IF(AwayTeam=X$4,1)))</f>
        <v>0</v>
      </c>
      <c r="Y117" s="8">
        <f t="array" ref="Y117">COUNT(IF(Linemen1=$A117,IF(AwayTeam=Y$4,1)))+COUNT(IF(Linemen2=$A117,IF(AwayTeam=Y$4,1)))</f>
        <v>0</v>
      </c>
      <c r="Z117" s="8">
        <f t="array" ref="Z117">COUNT(IF(Linemen1=$A117,IF(AwayTeam=Z$4,1)))+COUNT(IF(Linemen2=$A117,IF(AwayTeam=Z$4,1)))</f>
        <v>0</v>
      </c>
      <c r="AA117" s="8">
        <f t="array" ref="AA117">COUNT(IF(Linemen1=$A117,IF(AwayTeam=AA$4,1)))+COUNT(IF(Linemen2=$A117,IF(AwayTeam=AA$4,1)))</f>
        <v>0</v>
      </c>
      <c r="AB117" s="8">
        <f t="array" ref="AB117">COUNT(IF(Linemen1=$A117,IF(AwayTeam=AB$4,1)))+COUNT(IF(Linemen2=$A117,IF(AwayTeam=AB$4,1)))</f>
        <v>0</v>
      </c>
      <c r="AC117" s="8">
        <f t="array" ref="AC117">COUNT(IF(Linemen1=$A117,IF(AwayTeam=AC$4,1)))+COUNT(IF(Linemen2=$A117,IF(AwayTeam=AC$4,1)))</f>
        <v>0</v>
      </c>
      <c r="AD117" s="8">
        <f t="array" ref="AD117">COUNT(IF(Linemen1=$A117,IF(AwayTeam=AD$4,1)))+COUNT(IF(Linemen2=$A117,IF(AwayTeam=AD$4,1)))</f>
        <v>0</v>
      </c>
      <c r="AE117" s="8">
        <f t="array" ref="AE117">COUNT(IF(Linemen1=$A117,IF(AwayTeam=AE$4,1)))+COUNT(IF(Linemen2=$A117,IF(AwayTeam=AE$4,1)))</f>
        <v>0</v>
      </c>
      <c r="AF117" s="8">
        <f t="array" ref="AF117">COUNT(IF(Linemen1=$A117,IF(AwayTeam=AF$4,1)))+COUNT(IF(Linemen2=$A117,IF(AwayTeam=AF$4,1)))</f>
        <v>0</v>
      </c>
      <c r="AG117" s="8">
        <f t="array" ref="AG117">COUNT(IF(Linemen1=$A117,IF(AwayTeam=AG$4,1)))+COUNT(IF(Linemen2=$A117,IF(AwayTeam=AG$4,1)))</f>
        <v>0</v>
      </c>
      <c r="AH117" s="8">
        <f t="array" ref="AH117">COUNT(IF(Linemen1=$A117,IF(AwayTeam=AH$4,1)))+COUNT(IF(Linemen2=$A117,IF(AwayTeam=AH$4,1)))</f>
        <v>0</v>
      </c>
      <c r="AI117" s="8">
        <f t="array" ref="AI117">COUNT(IF(Linemen1=$A117,IF(AwayTeam=AI$4,1)))+COUNT(IF(Linemen2=$A117,IF(AwayTeam=AI$4,1)))</f>
        <v>0</v>
      </c>
      <c r="AJ117" s="8">
        <f t="array" ref="AJ117">COUNT(IF(Linemen1=$A117,IF(AwayTeam=AJ$4,1)))+COUNT(IF(Linemen2=$A117,IF(AwayTeam=AJ$4,1)))</f>
        <v>0</v>
      </c>
      <c r="AK117" s="8">
        <f t="array" ref="AK117">COUNT(IF(Linemen1=$A117,IF(AwayTeam=AK$4,1)))+COUNT(IF(Linemen2=$A117,IF(AwayTeam=AK$4,1)))</f>
        <v>0</v>
      </c>
      <c r="AL117" s="8">
        <f t="array" ref="AL117">COUNT(IF(Linemen1=$A117,IF(AwayTeam=AL$4,1)))+COUNT(IF(Linemen2=$A117,IF(AwayTeam=AL$4,1)))</f>
        <v>0</v>
      </c>
      <c r="AM117" s="8">
        <f t="array" ref="AM117">COUNT(IF(Linemen1=$A117,IF(AwayTeam=AM$4,1)))+COUNT(IF(Linemen2=$A117,IF(AwayTeam=AM$4,1)))</f>
        <v>0</v>
      </c>
      <c r="AN117" s="8">
        <f t="array" ref="AN117">COUNT(IF(Linemen1=$A117,IF(AwayTeam=AN$4,1)))+COUNT(IF(Linemen2=$A117,IF(AwayTeam=AN$4,1)))</f>
        <v>0</v>
      </c>
      <c r="AO117" s="8">
        <f t="array" ref="AO117">COUNT(IF(Linemen1=$A117,IF(AwayTeam=AO$4,1)))+COUNT(IF(Linemen2=$A117,IF(AwayTeam=AO$4,1)))</f>
        <v>0</v>
      </c>
      <c r="AP117" s="8">
        <f t="array" ref="AP117">COUNT(IF(Linemen1=$A117,IF(AwayTeam=AP$4,1)))+COUNT(IF(Linemen2=$A117,IF(AwayTeam=AP$4,1)))</f>
        <v>0</v>
      </c>
    </row>
    <row r="118" spans="1:42" x14ac:dyDescent="0.2">
      <c r="A118" s="8" t="str">
        <f>IF(Info!B53&lt;&gt;0,Info!B53,"")</f>
        <v>Linesmen 52</v>
      </c>
      <c r="B118" s="8">
        <f t="shared" si="1"/>
        <v>0</v>
      </c>
      <c r="C118" s="8">
        <f t="array" ref="C118">COUNT(IF(Linemen1=$A118,IF(HomeTeam=C$4,1)))+COUNT(IF(Linemen2=$A118,IF(HomeTeam=C$4,1)))</f>
        <v>0</v>
      </c>
      <c r="D118" s="8">
        <f t="array" ref="D118">COUNT(IF(Linemen1=$A118,IF(HomeTeam=D$4,1)))+COUNT(IF(Linemen2=$A118,IF(HomeTeam=D$4,1)))</f>
        <v>0</v>
      </c>
      <c r="E118" s="8">
        <f t="array" ref="E118">COUNT(IF(Linemen1=$A118,IF(HomeTeam=E$4,1)))+COUNT(IF(Linemen2=$A118,IF(HomeTeam=E$4,1)))</f>
        <v>0</v>
      </c>
      <c r="F118" s="8">
        <f t="array" ref="F118">COUNT(IF(Linemen1=$A118,IF(HomeTeam=F$4,1)))+COUNT(IF(Linemen2=$A118,IF(HomeTeam=F$4,1)))</f>
        <v>0</v>
      </c>
      <c r="G118" s="8">
        <f t="array" ref="G118">COUNT(IF(Linemen1=$A118,IF(HomeTeam=G$4,1)))+COUNT(IF(Linemen2=$A118,IF(HomeTeam=G$4,1)))</f>
        <v>0</v>
      </c>
      <c r="H118" s="8">
        <f t="array" ref="H118">COUNT(IF(Linemen1=$A118,IF(HomeTeam=H$4,1)))+COUNT(IF(Linemen2=$A118,IF(HomeTeam=H$4,1)))</f>
        <v>0</v>
      </c>
      <c r="I118" s="8">
        <f t="array" ref="I118">COUNT(IF(Linemen1=$A118,IF(HomeTeam=I$4,1)))+COUNT(IF(Linemen2=$A118,IF(HomeTeam=I$4,1)))</f>
        <v>0</v>
      </c>
      <c r="J118" s="8">
        <f t="array" ref="J118">COUNT(IF(Linemen1=$A118,IF(HomeTeam=J$4,1)))+COUNT(IF(Linemen2=$A118,IF(HomeTeam=J$4,1)))</f>
        <v>0</v>
      </c>
      <c r="K118" s="8">
        <f t="array" ref="K118">COUNT(IF(Linemen1=$A118,IF(HomeTeam=K$4,1)))+COUNT(IF(Linemen2=$A118,IF(HomeTeam=K$4,1)))</f>
        <v>0</v>
      </c>
      <c r="L118" s="8">
        <f t="array" ref="L118">COUNT(IF(Linemen1=$A118,IF(HomeTeam=L$4,1)))+COUNT(IF(Linemen2=$A118,IF(HomeTeam=L$4,1)))</f>
        <v>0</v>
      </c>
      <c r="M118" s="8">
        <f t="array" ref="M118">COUNT(IF(Linemen1=$A118,IF(HomeTeam=M$4,1)))+COUNT(IF(Linemen2=$A118,IF(HomeTeam=M$4,1)))</f>
        <v>0</v>
      </c>
      <c r="N118" s="8">
        <f t="array" ref="N118">COUNT(IF(Linemen1=$A118,IF(HomeTeam=N$4,1)))+COUNT(IF(Linemen2=$A118,IF(HomeTeam=N$4,1)))</f>
        <v>0</v>
      </c>
      <c r="O118" s="8">
        <f t="array" ref="O118">COUNT(IF(Linemen1=$A118,IF(HomeTeam=O$4,1)))+COUNT(IF(Linemen2=$A118,IF(HomeTeam=O$4,1)))</f>
        <v>0</v>
      </c>
      <c r="P118" s="8">
        <f t="array" ref="P118">COUNT(IF(Linemen1=$A118,IF(HomeTeam=P$4,1)))+COUNT(IF(Linemen2=$A118,IF(HomeTeam=P$4,1)))</f>
        <v>0</v>
      </c>
      <c r="Q118" s="8">
        <f t="array" ref="Q118">COUNT(IF(Linemen1=$A118,IF(HomeTeam=Q$4,1)))+COUNT(IF(Linemen2=$A118,IF(HomeTeam=Q$4,1)))</f>
        <v>0</v>
      </c>
      <c r="R118" s="8">
        <f t="array" ref="R118">COUNT(IF(Linemen1=$A118,IF(HomeTeam=R$4,1)))+COUNT(IF(Linemen2=$A118,IF(HomeTeam=R$4,1)))</f>
        <v>0</v>
      </c>
      <c r="S118" s="8">
        <f t="array" ref="S118">COUNT(IF(Linemen1=$A118,IF(HomeTeam=S$4,1)))+COUNT(IF(Linemen2=$A118,IF(HomeTeam=S$4,1)))</f>
        <v>0</v>
      </c>
      <c r="T118" s="8">
        <f t="array" ref="T118">COUNT(IF(Linemen1=$A118,IF(HomeTeam=T$4,1)))+COUNT(IF(Linemen2=$A118,IF(HomeTeam=T$4,1)))</f>
        <v>0</v>
      </c>
      <c r="U118" s="8">
        <f t="array" ref="U118">COUNT(IF(Linemen1=$A118,IF(HomeTeam=U$4,1)))+COUNT(IF(Linemen2=$A118,IF(HomeTeam=U$4,1)))</f>
        <v>0</v>
      </c>
      <c r="V118" s="8">
        <f t="array" ref="V118">COUNT(IF(Linemen1=$A118,IF(HomeTeam=V$4,1)))+COUNT(IF(Linemen2=$A118,IF(HomeTeam=V$4,1)))</f>
        <v>0</v>
      </c>
      <c r="W118" s="8">
        <f t="array" ref="W118">COUNT(IF(Linemen1=$A118,IF(AwayTeam=W$4,1)))+COUNT(IF(Linemen2=$A118,IF(AwayTeam=W$4,1)))</f>
        <v>0</v>
      </c>
      <c r="X118" s="8">
        <f t="array" ref="X118">COUNT(IF(Linemen1=$A118,IF(AwayTeam=X$4,1)))+COUNT(IF(Linemen2=$A118,IF(AwayTeam=X$4,1)))</f>
        <v>0</v>
      </c>
      <c r="Y118" s="8">
        <f t="array" ref="Y118">COUNT(IF(Linemen1=$A118,IF(AwayTeam=Y$4,1)))+COUNT(IF(Linemen2=$A118,IF(AwayTeam=Y$4,1)))</f>
        <v>0</v>
      </c>
      <c r="Z118" s="8">
        <f t="array" ref="Z118">COUNT(IF(Linemen1=$A118,IF(AwayTeam=Z$4,1)))+COUNT(IF(Linemen2=$A118,IF(AwayTeam=Z$4,1)))</f>
        <v>0</v>
      </c>
      <c r="AA118" s="8">
        <f t="array" ref="AA118">COUNT(IF(Linemen1=$A118,IF(AwayTeam=AA$4,1)))+COUNT(IF(Linemen2=$A118,IF(AwayTeam=AA$4,1)))</f>
        <v>0</v>
      </c>
      <c r="AB118" s="8">
        <f t="array" ref="AB118">COUNT(IF(Linemen1=$A118,IF(AwayTeam=AB$4,1)))+COUNT(IF(Linemen2=$A118,IF(AwayTeam=AB$4,1)))</f>
        <v>0</v>
      </c>
      <c r="AC118" s="8">
        <f t="array" ref="AC118">COUNT(IF(Linemen1=$A118,IF(AwayTeam=AC$4,1)))+COUNT(IF(Linemen2=$A118,IF(AwayTeam=AC$4,1)))</f>
        <v>0</v>
      </c>
      <c r="AD118" s="8">
        <f t="array" ref="AD118">COUNT(IF(Linemen1=$A118,IF(AwayTeam=AD$4,1)))+COUNT(IF(Linemen2=$A118,IF(AwayTeam=AD$4,1)))</f>
        <v>0</v>
      </c>
      <c r="AE118" s="8">
        <f t="array" ref="AE118">COUNT(IF(Linemen1=$A118,IF(AwayTeam=AE$4,1)))+COUNT(IF(Linemen2=$A118,IF(AwayTeam=AE$4,1)))</f>
        <v>0</v>
      </c>
      <c r="AF118" s="8">
        <f t="array" ref="AF118">COUNT(IF(Linemen1=$A118,IF(AwayTeam=AF$4,1)))+COUNT(IF(Linemen2=$A118,IF(AwayTeam=AF$4,1)))</f>
        <v>0</v>
      </c>
      <c r="AG118" s="8">
        <f t="array" ref="AG118">COUNT(IF(Linemen1=$A118,IF(AwayTeam=AG$4,1)))+COUNT(IF(Linemen2=$A118,IF(AwayTeam=AG$4,1)))</f>
        <v>0</v>
      </c>
      <c r="AH118" s="8">
        <f t="array" ref="AH118">COUNT(IF(Linemen1=$A118,IF(AwayTeam=AH$4,1)))+COUNT(IF(Linemen2=$A118,IF(AwayTeam=AH$4,1)))</f>
        <v>0</v>
      </c>
      <c r="AI118" s="8">
        <f t="array" ref="AI118">COUNT(IF(Linemen1=$A118,IF(AwayTeam=AI$4,1)))+COUNT(IF(Linemen2=$A118,IF(AwayTeam=AI$4,1)))</f>
        <v>0</v>
      </c>
      <c r="AJ118" s="8">
        <f t="array" ref="AJ118">COUNT(IF(Linemen1=$A118,IF(AwayTeam=AJ$4,1)))+COUNT(IF(Linemen2=$A118,IF(AwayTeam=AJ$4,1)))</f>
        <v>0</v>
      </c>
      <c r="AK118" s="8">
        <f t="array" ref="AK118">COUNT(IF(Linemen1=$A118,IF(AwayTeam=AK$4,1)))+COUNT(IF(Linemen2=$A118,IF(AwayTeam=AK$4,1)))</f>
        <v>0</v>
      </c>
      <c r="AL118" s="8">
        <f t="array" ref="AL118">COUNT(IF(Linemen1=$A118,IF(AwayTeam=AL$4,1)))+COUNT(IF(Linemen2=$A118,IF(AwayTeam=AL$4,1)))</f>
        <v>0</v>
      </c>
      <c r="AM118" s="8">
        <f t="array" ref="AM118">COUNT(IF(Linemen1=$A118,IF(AwayTeam=AM$4,1)))+COUNT(IF(Linemen2=$A118,IF(AwayTeam=AM$4,1)))</f>
        <v>0</v>
      </c>
      <c r="AN118" s="8">
        <f t="array" ref="AN118">COUNT(IF(Linemen1=$A118,IF(AwayTeam=AN$4,1)))+COUNT(IF(Linemen2=$A118,IF(AwayTeam=AN$4,1)))</f>
        <v>0</v>
      </c>
      <c r="AO118" s="8">
        <f t="array" ref="AO118">COUNT(IF(Linemen1=$A118,IF(AwayTeam=AO$4,1)))+COUNT(IF(Linemen2=$A118,IF(AwayTeam=AO$4,1)))</f>
        <v>0</v>
      </c>
      <c r="AP118" s="8">
        <f t="array" ref="AP118">COUNT(IF(Linemen1=$A118,IF(AwayTeam=AP$4,1)))+COUNT(IF(Linemen2=$A118,IF(AwayTeam=AP$4,1)))</f>
        <v>0</v>
      </c>
    </row>
    <row r="119" spans="1:42" x14ac:dyDescent="0.2">
      <c r="A119" s="8" t="str">
        <f>IF(Info!B54&lt;&gt;0,Info!B54,"")</f>
        <v>Linesmen 53</v>
      </c>
      <c r="B119" s="8">
        <f t="shared" si="1"/>
        <v>0</v>
      </c>
      <c r="C119" s="8">
        <f t="array" ref="C119">COUNT(IF(Linemen1=$A119,IF(HomeTeam=C$4,1)))+COUNT(IF(Linemen2=$A119,IF(HomeTeam=C$4,1)))</f>
        <v>0</v>
      </c>
      <c r="D119" s="8">
        <f t="array" ref="D119">COUNT(IF(Linemen1=$A119,IF(HomeTeam=D$4,1)))+COUNT(IF(Linemen2=$A119,IF(HomeTeam=D$4,1)))</f>
        <v>0</v>
      </c>
      <c r="E119" s="8">
        <f t="array" ref="E119">COUNT(IF(Linemen1=$A119,IF(HomeTeam=E$4,1)))+COUNT(IF(Linemen2=$A119,IF(HomeTeam=E$4,1)))</f>
        <v>0</v>
      </c>
      <c r="F119" s="8">
        <f t="array" ref="F119">COUNT(IF(Linemen1=$A119,IF(HomeTeam=F$4,1)))+COUNT(IF(Linemen2=$A119,IF(HomeTeam=F$4,1)))</f>
        <v>0</v>
      </c>
      <c r="G119" s="8">
        <f t="array" ref="G119">COUNT(IF(Linemen1=$A119,IF(HomeTeam=G$4,1)))+COUNT(IF(Linemen2=$A119,IF(HomeTeam=G$4,1)))</f>
        <v>0</v>
      </c>
      <c r="H119" s="8">
        <f t="array" ref="H119">COUNT(IF(Linemen1=$A119,IF(HomeTeam=H$4,1)))+COUNT(IF(Linemen2=$A119,IF(HomeTeam=H$4,1)))</f>
        <v>0</v>
      </c>
      <c r="I119" s="8">
        <f t="array" ref="I119">COUNT(IF(Linemen1=$A119,IF(HomeTeam=I$4,1)))+COUNT(IF(Linemen2=$A119,IF(HomeTeam=I$4,1)))</f>
        <v>0</v>
      </c>
      <c r="J119" s="8">
        <f t="array" ref="J119">COUNT(IF(Linemen1=$A119,IF(HomeTeam=J$4,1)))+COUNT(IF(Linemen2=$A119,IF(HomeTeam=J$4,1)))</f>
        <v>0</v>
      </c>
      <c r="K119" s="8">
        <f t="array" ref="K119">COUNT(IF(Linemen1=$A119,IF(HomeTeam=K$4,1)))+COUNT(IF(Linemen2=$A119,IF(HomeTeam=K$4,1)))</f>
        <v>0</v>
      </c>
      <c r="L119" s="8">
        <f t="array" ref="L119">COUNT(IF(Linemen1=$A119,IF(HomeTeam=L$4,1)))+COUNT(IF(Linemen2=$A119,IF(HomeTeam=L$4,1)))</f>
        <v>0</v>
      </c>
      <c r="M119" s="8">
        <f t="array" ref="M119">COUNT(IF(Linemen1=$A119,IF(HomeTeam=M$4,1)))+COUNT(IF(Linemen2=$A119,IF(HomeTeam=M$4,1)))</f>
        <v>0</v>
      </c>
      <c r="N119" s="8">
        <f t="array" ref="N119">COUNT(IF(Linemen1=$A119,IF(HomeTeam=N$4,1)))+COUNT(IF(Linemen2=$A119,IF(HomeTeam=N$4,1)))</f>
        <v>0</v>
      </c>
      <c r="O119" s="8">
        <f t="array" ref="O119">COUNT(IF(Linemen1=$A119,IF(HomeTeam=O$4,1)))+COUNT(IF(Linemen2=$A119,IF(HomeTeam=O$4,1)))</f>
        <v>0</v>
      </c>
      <c r="P119" s="8">
        <f t="array" ref="P119">COUNT(IF(Linemen1=$A119,IF(HomeTeam=P$4,1)))+COUNT(IF(Linemen2=$A119,IF(HomeTeam=P$4,1)))</f>
        <v>0</v>
      </c>
      <c r="Q119" s="8">
        <f t="array" ref="Q119">COUNT(IF(Linemen1=$A119,IF(HomeTeam=Q$4,1)))+COUNT(IF(Linemen2=$A119,IF(HomeTeam=Q$4,1)))</f>
        <v>0</v>
      </c>
      <c r="R119" s="8">
        <f t="array" ref="R119">COUNT(IF(Linemen1=$A119,IF(HomeTeam=R$4,1)))+COUNT(IF(Linemen2=$A119,IF(HomeTeam=R$4,1)))</f>
        <v>0</v>
      </c>
      <c r="S119" s="8">
        <f t="array" ref="S119">COUNT(IF(Linemen1=$A119,IF(HomeTeam=S$4,1)))+COUNT(IF(Linemen2=$A119,IF(HomeTeam=S$4,1)))</f>
        <v>0</v>
      </c>
      <c r="T119" s="8">
        <f t="array" ref="T119">COUNT(IF(Linemen1=$A119,IF(HomeTeam=T$4,1)))+COUNT(IF(Linemen2=$A119,IF(HomeTeam=T$4,1)))</f>
        <v>0</v>
      </c>
      <c r="U119" s="8">
        <f t="array" ref="U119">COUNT(IF(Linemen1=$A119,IF(HomeTeam=U$4,1)))+COUNT(IF(Linemen2=$A119,IF(HomeTeam=U$4,1)))</f>
        <v>0</v>
      </c>
      <c r="V119" s="8">
        <f t="array" ref="V119">COUNT(IF(Linemen1=$A119,IF(HomeTeam=V$4,1)))+COUNT(IF(Linemen2=$A119,IF(HomeTeam=V$4,1)))</f>
        <v>0</v>
      </c>
      <c r="W119" s="8">
        <f t="array" ref="W119">COUNT(IF(Linemen1=$A119,IF(AwayTeam=W$4,1)))+COUNT(IF(Linemen2=$A119,IF(AwayTeam=W$4,1)))</f>
        <v>0</v>
      </c>
      <c r="X119" s="8">
        <f t="array" ref="X119">COUNT(IF(Linemen1=$A119,IF(AwayTeam=X$4,1)))+COUNT(IF(Linemen2=$A119,IF(AwayTeam=X$4,1)))</f>
        <v>0</v>
      </c>
      <c r="Y119" s="8">
        <f t="array" ref="Y119">COUNT(IF(Linemen1=$A119,IF(AwayTeam=Y$4,1)))+COUNT(IF(Linemen2=$A119,IF(AwayTeam=Y$4,1)))</f>
        <v>0</v>
      </c>
      <c r="Z119" s="8">
        <f t="array" ref="Z119">COUNT(IF(Linemen1=$A119,IF(AwayTeam=Z$4,1)))+COUNT(IF(Linemen2=$A119,IF(AwayTeam=Z$4,1)))</f>
        <v>0</v>
      </c>
      <c r="AA119" s="8">
        <f t="array" ref="AA119">COUNT(IF(Linemen1=$A119,IF(AwayTeam=AA$4,1)))+COUNT(IF(Linemen2=$A119,IF(AwayTeam=AA$4,1)))</f>
        <v>0</v>
      </c>
      <c r="AB119" s="8">
        <f t="array" ref="AB119">COUNT(IF(Linemen1=$A119,IF(AwayTeam=AB$4,1)))+COUNT(IF(Linemen2=$A119,IF(AwayTeam=AB$4,1)))</f>
        <v>0</v>
      </c>
      <c r="AC119" s="8">
        <f t="array" ref="AC119">COUNT(IF(Linemen1=$A119,IF(AwayTeam=AC$4,1)))+COUNT(IF(Linemen2=$A119,IF(AwayTeam=AC$4,1)))</f>
        <v>0</v>
      </c>
      <c r="AD119" s="8">
        <f t="array" ref="AD119">COUNT(IF(Linemen1=$A119,IF(AwayTeam=AD$4,1)))+COUNT(IF(Linemen2=$A119,IF(AwayTeam=AD$4,1)))</f>
        <v>0</v>
      </c>
      <c r="AE119" s="8">
        <f t="array" ref="AE119">COUNT(IF(Linemen1=$A119,IF(AwayTeam=AE$4,1)))+COUNT(IF(Linemen2=$A119,IF(AwayTeam=AE$4,1)))</f>
        <v>0</v>
      </c>
      <c r="AF119" s="8">
        <f t="array" ref="AF119">COUNT(IF(Linemen1=$A119,IF(AwayTeam=AF$4,1)))+COUNT(IF(Linemen2=$A119,IF(AwayTeam=AF$4,1)))</f>
        <v>0</v>
      </c>
      <c r="AG119" s="8">
        <f t="array" ref="AG119">COUNT(IF(Linemen1=$A119,IF(AwayTeam=AG$4,1)))+COUNT(IF(Linemen2=$A119,IF(AwayTeam=AG$4,1)))</f>
        <v>0</v>
      </c>
      <c r="AH119" s="8">
        <f t="array" ref="AH119">COUNT(IF(Linemen1=$A119,IF(AwayTeam=AH$4,1)))+COUNT(IF(Linemen2=$A119,IF(AwayTeam=AH$4,1)))</f>
        <v>0</v>
      </c>
      <c r="AI119" s="8">
        <f t="array" ref="AI119">COUNT(IF(Linemen1=$A119,IF(AwayTeam=AI$4,1)))+COUNT(IF(Linemen2=$A119,IF(AwayTeam=AI$4,1)))</f>
        <v>0</v>
      </c>
      <c r="AJ119" s="8">
        <f t="array" ref="AJ119">COUNT(IF(Linemen1=$A119,IF(AwayTeam=AJ$4,1)))+COUNT(IF(Linemen2=$A119,IF(AwayTeam=AJ$4,1)))</f>
        <v>0</v>
      </c>
      <c r="AK119" s="8">
        <f t="array" ref="AK119">COUNT(IF(Linemen1=$A119,IF(AwayTeam=AK$4,1)))+COUNT(IF(Linemen2=$A119,IF(AwayTeam=AK$4,1)))</f>
        <v>0</v>
      </c>
      <c r="AL119" s="8">
        <f t="array" ref="AL119">COUNT(IF(Linemen1=$A119,IF(AwayTeam=AL$4,1)))+COUNT(IF(Linemen2=$A119,IF(AwayTeam=AL$4,1)))</f>
        <v>0</v>
      </c>
      <c r="AM119" s="8">
        <f t="array" ref="AM119">COUNT(IF(Linemen1=$A119,IF(AwayTeam=AM$4,1)))+COUNT(IF(Linemen2=$A119,IF(AwayTeam=AM$4,1)))</f>
        <v>0</v>
      </c>
      <c r="AN119" s="8">
        <f t="array" ref="AN119">COUNT(IF(Linemen1=$A119,IF(AwayTeam=AN$4,1)))+COUNT(IF(Linemen2=$A119,IF(AwayTeam=AN$4,1)))</f>
        <v>0</v>
      </c>
      <c r="AO119" s="8">
        <f t="array" ref="AO119">COUNT(IF(Linemen1=$A119,IF(AwayTeam=AO$4,1)))+COUNT(IF(Linemen2=$A119,IF(AwayTeam=AO$4,1)))</f>
        <v>0</v>
      </c>
      <c r="AP119" s="8">
        <f t="array" ref="AP119">COUNT(IF(Linemen1=$A119,IF(AwayTeam=AP$4,1)))+COUNT(IF(Linemen2=$A119,IF(AwayTeam=AP$4,1)))</f>
        <v>0</v>
      </c>
    </row>
    <row r="120" spans="1:42" x14ac:dyDescent="0.2">
      <c r="A120" s="8" t="str">
        <f>IF(Info!B55&lt;&gt;0,Info!B55,"")</f>
        <v>Linesmen 54</v>
      </c>
      <c r="B120" s="8">
        <f t="shared" si="1"/>
        <v>0</v>
      </c>
      <c r="C120" s="8">
        <f t="array" ref="C120">COUNT(IF(Linemen1=$A120,IF(HomeTeam=C$4,1)))+COUNT(IF(Linemen2=$A120,IF(HomeTeam=C$4,1)))</f>
        <v>0</v>
      </c>
      <c r="D120" s="8">
        <f t="array" ref="D120">COUNT(IF(Linemen1=$A120,IF(HomeTeam=D$4,1)))+COUNT(IF(Linemen2=$A120,IF(HomeTeam=D$4,1)))</f>
        <v>0</v>
      </c>
      <c r="E120" s="8">
        <f t="array" ref="E120">COUNT(IF(Linemen1=$A120,IF(HomeTeam=E$4,1)))+COUNT(IF(Linemen2=$A120,IF(HomeTeam=E$4,1)))</f>
        <v>0</v>
      </c>
      <c r="F120" s="8">
        <f t="array" ref="F120">COUNT(IF(Linemen1=$A120,IF(HomeTeam=F$4,1)))+COUNT(IF(Linemen2=$A120,IF(HomeTeam=F$4,1)))</f>
        <v>0</v>
      </c>
      <c r="G120" s="8">
        <f t="array" ref="G120">COUNT(IF(Linemen1=$A120,IF(HomeTeam=G$4,1)))+COUNT(IF(Linemen2=$A120,IF(HomeTeam=G$4,1)))</f>
        <v>0</v>
      </c>
      <c r="H120" s="8">
        <f t="array" ref="H120">COUNT(IF(Linemen1=$A120,IF(HomeTeam=H$4,1)))+COUNT(IF(Linemen2=$A120,IF(HomeTeam=H$4,1)))</f>
        <v>0</v>
      </c>
      <c r="I120" s="8">
        <f t="array" ref="I120">COUNT(IF(Linemen1=$A120,IF(HomeTeam=I$4,1)))+COUNT(IF(Linemen2=$A120,IF(HomeTeam=I$4,1)))</f>
        <v>0</v>
      </c>
      <c r="J120" s="8">
        <f t="array" ref="J120">COUNT(IF(Linemen1=$A120,IF(HomeTeam=J$4,1)))+COUNT(IF(Linemen2=$A120,IF(HomeTeam=J$4,1)))</f>
        <v>0</v>
      </c>
      <c r="K120" s="8">
        <f t="array" ref="K120">COUNT(IF(Linemen1=$A120,IF(HomeTeam=K$4,1)))+COUNT(IF(Linemen2=$A120,IF(HomeTeam=K$4,1)))</f>
        <v>0</v>
      </c>
      <c r="L120" s="8">
        <f t="array" ref="L120">COUNT(IF(Linemen1=$A120,IF(HomeTeam=L$4,1)))+COUNT(IF(Linemen2=$A120,IF(HomeTeam=L$4,1)))</f>
        <v>0</v>
      </c>
      <c r="M120" s="8">
        <f t="array" ref="M120">COUNT(IF(Linemen1=$A120,IF(HomeTeam=M$4,1)))+COUNT(IF(Linemen2=$A120,IF(HomeTeam=M$4,1)))</f>
        <v>0</v>
      </c>
      <c r="N120" s="8">
        <f t="array" ref="N120">COUNT(IF(Linemen1=$A120,IF(HomeTeam=N$4,1)))+COUNT(IF(Linemen2=$A120,IF(HomeTeam=N$4,1)))</f>
        <v>0</v>
      </c>
      <c r="O120" s="8">
        <f t="array" ref="O120">COUNT(IF(Linemen1=$A120,IF(HomeTeam=O$4,1)))+COUNT(IF(Linemen2=$A120,IF(HomeTeam=O$4,1)))</f>
        <v>0</v>
      </c>
      <c r="P120" s="8">
        <f t="array" ref="P120">COUNT(IF(Linemen1=$A120,IF(HomeTeam=P$4,1)))+COUNT(IF(Linemen2=$A120,IF(HomeTeam=P$4,1)))</f>
        <v>0</v>
      </c>
      <c r="Q120" s="8">
        <f t="array" ref="Q120">COUNT(IF(Linemen1=$A120,IF(HomeTeam=Q$4,1)))+COUNT(IF(Linemen2=$A120,IF(HomeTeam=Q$4,1)))</f>
        <v>0</v>
      </c>
      <c r="R120" s="8">
        <f t="array" ref="R120">COUNT(IF(Linemen1=$A120,IF(HomeTeam=R$4,1)))+COUNT(IF(Linemen2=$A120,IF(HomeTeam=R$4,1)))</f>
        <v>0</v>
      </c>
      <c r="S120" s="8">
        <f t="array" ref="S120">COUNT(IF(Linemen1=$A120,IF(HomeTeam=S$4,1)))+COUNT(IF(Linemen2=$A120,IF(HomeTeam=S$4,1)))</f>
        <v>0</v>
      </c>
      <c r="T120" s="8">
        <f t="array" ref="T120">COUNT(IF(Linemen1=$A120,IF(HomeTeam=T$4,1)))+COUNT(IF(Linemen2=$A120,IF(HomeTeam=T$4,1)))</f>
        <v>0</v>
      </c>
      <c r="U120" s="8">
        <f t="array" ref="U120">COUNT(IF(Linemen1=$A120,IF(HomeTeam=U$4,1)))+COUNT(IF(Linemen2=$A120,IF(HomeTeam=U$4,1)))</f>
        <v>0</v>
      </c>
      <c r="V120" s="8">
        <f t="array" ref="V120">COUNT(IF(Linemen1=$A120,IF(HomeTeam=V$4,1)))+COUNT(IF(Linemen2=$A120,IF(HomeTeam=V$4,1)))</f>
        <v>0</v>
      </c>
      <c r="W120" s="8">
        <f t="array" ref="W120">COUNT(IF(Linemen1=$A120,IF(AwayTeam=W$4,1)))+COUNT(IF(Linemen2=$A120,IF(AwayTeam=W$4,1)))</f>
        <v>0</v>
      </c>
      <c r="X120" s="8">
        <f t="array" ref="X120">COUNT(IF(Linemen1=$A120,IF(AwayTeam=X$4,1)))+COUNT(IF(Linemen2=$A120,IF(AwayTeam=X$4,1)))</f>
        <v>0</v>
      </c>
      <c r="Y120" s="8">
        <f t="array" ref="Y120">COUNT(IF(Linemen1=$A120,IF(AwayTeam=Y$4,1)))+COUNT(IF(Linemen2=$A120,IF(AwayTeam=Y$4,1)))</f>
        <v>0</v>
      </c>
      <c r="Z120" s="8">
        <f t="array" ref="Z120">COUNT(IF(Linemen1=$A120,IF(AwayTeam=Z$4,1)))+COUNT(IF(Linemen2=$A120,IF(AwayTeam=Z$4,1)))</f>
        <v>0</v>
      </c>
      <c r="AA120" s="8">
        <f t="array" ref="AA120">COUNT(IF(Linemen1=$A120,IF(AwayTeam=AA$4,1)))+COUNT(IF(Linemen2=$A120,IF(AwayTeam=AA$4,1)))</f>
        <v>0</v>
      </c>
      <c r="AB120" s="8">
        <f t="array" ref="AB120">COUNT(IF(Linemen1=$A120,IF(AwayTeam=AB$4,1)))+COUNT(IF(Linemen2=$A120,IF(AwayTeam=AB$4,1)))</f>
        <v>0</v>
      </c>
      <c r="AC120" s="8">
        <f t="array" ref="AC120">COUNT(IF(Linemen1=$A120,IF(AwayTeam=AC$4,1)))+COUNT(IF(Linemen2=$A120,IF(AwayTeam=AC$4,1)))</f>
        <v>0</v>
      </c>
      <c r="AD120" s="8">
        <f t="array" ref="AD120">COUNT(IF(Linemen1=$A120,IF(AwayTeam=AD$4,1)))+COUNT(IF(Linemen2=$A120,IF(AwayTeam=AD$4,1)))</f>
        <v>0</v>
      </c>
      <c r="AE120" s="8">
        <f t="array" ref="AE120">COUNT(IF(Linemen1=$A120,IF(AwayTeam=AE$4,1)))+COUNT(IF(Linemen2=$A120,IF(AwayTeam=AE$4,1)))</f>
        <v>0</v>
      </c>
      <c r="AF120" s="8">
        <f t="array" ref="AF120">COUNT(IF(Linemen1=$A120,IF(AwayTeam=AF$4,1)))+COUNT(IF(Linemen2=$A120,IF(AwayTeam=AF$4,1)))</f>
        <v>0</v>
      </c>
      <c r="AG120" s="8">
        <f t="array" ref="AG120">COUNT(IF(Linemen1=$A120,IF(AwayTeam=AG$4,1)))+COUNT(IF(Linemen2=$A120,IF(AwayTeam=AG$4,1)))</f>
        <v>0</v>
      </c>
      <c r="AH120" s="8">
        <f t="array" ref="AH120">COUNT(IF(Linemen1=$A120,IF(AwayTeam=AH$4,1)))+COUNT(IF(Linemen2=$A120,IF(AwayTeam=AH$4,1)))</f>
        <v>0</v>
      </c>
      <c r="AI120" s="8">
        <f t="array" ref="AI120">COUNT(IF(Linemen1=$A120,IF(AwayTeam=AI$4,1)))+COUNT(IF(Linemen2=$A120,IF(AwayTeam=AI$4,1)))</f>
        <v>0</v>
      </c>
      <c r="AJ120" s="8">
        <f t="array" ref="AJ120">COUNT(IF(Linemen1=$A120,IF(AwayTeam=AJ$4,1)))+COUNT(IF(Linemen2=$A120,IF(AwayTeam=AJ$4,1)))</f>
        <v>0</v>
      </c>
      <c r="AK120" s="8">
        <f t="array" ref="AK120">COUNT(IF(Linemen1=$A120,IF(AwayTeam=AK$4,1)))+COUNT(IF(Linemen2=$A120,IF(AwayTeam=AK$4,1)))</f>
        <v>0</v>
      </c>
      <c r="AL120" s="8">
        <f t="array" ref="AL120">COUNT(IF(Linemen1=$A120,IF(AwayTeam=AL$4,1)))+COUNT(IF(Linemen2=$A120,IF(AwayTeam=AL$4,1)))</f>
        <v>0</v>
      </c>
      <c r="AM120" s="8">
        <f t="array" ref="AM120">COUNT(IF(Linemen1=$A120,IF(AwayTeam=AM$4,1)))+COUNT(IF(Linemen2=$A120,IF(AwayTeam=AM$4,1)))</f>
        <v>0</v>
      </c>
      <c r="AN120" s="8">
        <f t="array" ref="AN120">COUNT(IF(Linemen1=$A120,IF(AwayTeam=AN$4,1)))+COUNT(IF(Linemen2=$A120,IF(AwayTeam=AN$4,1)))</f>
        <v>0</v>
      </c>
      <c r="AO120" s="8">
        <f t="array" ref="AO120">COUNT(IF(Linemen1=$A120,IF(AwayTeam=AO$4,1)))+COUNT(IF(Linemen2=$A120,IF(AwayTeam=AO$4,1)))</f>
        <v>0</v>
      </c>
      <c r="AP120" s="8">
        <f t="array" ref="AP120">COUNT(IF(Linemen1=$A120,IF(AwayTeam=AP$4,1)))+COUNT(IF(Linemen2=$A120,IF(AwayTeam=AP$4,1)))</f>
        <v>0</v>
      </c>
    </row>
    <row r="121" spans="1:42" x14ac:dyDescent="0.2">
      <c r="A121" s="8" t="str">
        <f>IF(Info!B56&lt;&gt;0,Info!B56,"")</f>
        <v>Linesmen 55</v>
      </c>
      <c r="B121" s="8">
        <f t="shared" si="1"/>
        <v>0</v>
      </c>
      <c r="C121" s="8">
        <f t="array" ref="C121">COUNT(IF(Linemen1=$A121,IF(HomeTeam=C$4,1)))+COUNT(IF(Linemen2=$A121,IF(HomeTeam=C$4,1)))</f>
        <v>0</v>
      </c>
      <c r="D121" s="8">
        <f t="array" ref="D121">COUNT(IF(Linemen1=$A121,IF(HomeTeam=D$4,1)))+COUNT(IF(Linemen2=$A121,IF(HomeTeam=D$4,1)))</f>
        <v>0</v>
      </c>
      <c r="E121" s="8">
        <f t="array" ref="E121">COUNT(IF(Linemen1=$A121,IF(HomeTeam=E$4,1)))+COUNT(IF(Linemen2=$A121,IF(HomeTeam=E$4,1)))</f>
        <v>0</v>
      </c>
      <c r="F121" s="8">
        <f t="array" ref="F121">COUNT(IF(Linemen1=$A121,IF(HomeTeam=F$4,1)))+COUNT(IF(Linemen2=$A121,IF(HomeTeam=F$4,1)))</f>
        <v>0</v>
      </c>
      <c r="G121" s="8">
        <f t="array" ref="G121">COUNT(IF(Linemen1=$A121,IF(HomeTeam=G$4,1)))+COUNT(IF(Linemen2=$A121,IF(HomeTeam=G$4,1)))</f>
        <v>0</v>
      </c>
      <c r="H121" s="8">
        <f t="array" ref="H121">COUNT(IF(Linemen1=$A121,IF(HomeTeam=H$4,1)))+COUNT(IF(Linemen2=$A121,IF(HomeTeam=H$4,1)))</f>
        <v>0</v>
      </c>
      <c r="I121" s="8">
        <f t="array" ref="I121">COUNT(IF(Linemen1=$A121,IF(HomeTeam=I$4,1)))+COUNT(IF(Linemen2=$A121,IF(HomeTeam=I$4,1)))</f>
        <v>0</v>
      </c>
      <c r="J121" s="8">
        <f t="array" ref="J121">COUNT(IF(Linemen1=$A121,IF(HomeTeam=J$4,1)))+COUNT(IF(Linemen2=$A121,IF(HomeTeam=J$4,1)))</f>
        <v>0</v>
      </c>
      <c r="K121" s="8">
        <f t="array" ref="K121">COUNT(IF(Linemen1=$A121,IF(HomeTeam=K$4,1)))+COUNT(IF(Linemen2=$A121,IF(HomeTeam=K$4,1)))</f>
        <v>0</v>
      </c>
      <c r="L121" s="8">
        <f t="array" ref="L121">COUNT(IF(Linemen1=$A121,IF(HomeTeam=L$4,1)))+COUNT(IF(Linemen2=$A121,IF(HomeTeam=L$4,1)))</f>
        <v>0</v>
      </c>
      <c r="M121" s="8">
        <f t="array" ref="M121">COUNT(IF(Linemen1=$A121,IF(HomeTeam=M$4,1)))+COUNT(IF(Linemen2=$A121,IF(HomeTeam=M$4,1)))</f>
        <v>0</v>
      </c>
      <c r="N121" s="8">
        <f t="array" ref="N121">COUNT(IF(Linemen1=$A121,IF(HomeTeam=N$4,1)))+COUNT(IF(Linemen2=$A121,IF(HomeTeam=N$4,1)))</f>
        <v>0</v>
      </c>
      <c r="O121" s="8">
        <f t="array" ref="O121">COUNT(IF(Linemen1=$A121,IF(HomeTeam=O$4,1)))+COUNT(IF(Linemen2=$A121,IF(HomeTeam=O$4,1)))</f>
        <v>0</v>
      </c>
      <c r="P121" s="8">
        <f t="array" ref="P121">COUNT(IF(Linemen1=$A121,IF(HomeTeam=P$4,1)))+COUNT(IF(Linemen2=$A121,IF(HomeTeam=P$4,1)))</f>
        <v>0</v>
      </c>
      <c r="Q121" s="8">
        <f t="array" ref="Q121">COUNT(IF(Linemen1=$A121,IF(HomeTeam=Q$4,1)))+COUNT(IF(Linemen2=$A121,IF(HomeTeam=Q$4,1)))</f>
        <v>0</v>
      </c>
      <c r="R121" s="8">
        <f t="array" ref="R121">COUNT(IF(Linemen1=$A121,IF(HomeTeam=R$4,1)))+COUNT(IF(Linemen2=$A121,IF(HomeTeam=R$4,1)))</f>
        <v>0</v>
      </c>
      <c r="S121" s="8">
        <f t="array" ref="S121">COUNT(IF(Linemen1=$A121,IF(HomeTeam=S$4,1)))+COUNT(IF(Linemen2=$A121,IF(HomeTeam=S$4,1)))</f>
        <v>0</v>
      </c>
      <c r="T121" s="8">
        <f t="array" ref="T121">COUNT(IF(Linemen1=$A121,IF(HomeTeam=T$4,1)))+COUNT(IF(Linemen2=$A121,IF(HomeTeam=T$4,1)))</f>
        <v>0</v>
      </c>
      <c r="U121" s="8">
        <f t="array" ref="U121">COUNT(IF(Linemen1=$A121,IF(HomeTeam=U$4,1)))+COUNT(IF(Linemen2=$A121,IF(HomeTeam=U$4,1)))</f>
        <v>0</v>
      </c>
      <c r="V121" s="8">
        <f t="array" ref="V121">COUNT(IF(Linemen1=$A121,IF(HomeTeam=V$4,1)))+COUNT(IF(Linemen2=$A121,IF(HomeTeam=V$4,1)))</f>
        <v>0</v>
      </c>
      <c r="W121" s="8">
        <f t="array" ref="W121">COUNT(IF(Linemen1=$A121,IF(AwayTeam=W$4,1)))+COUNT(IF(Linemen2=$A121,IF(AwayTeam=W$4,1)))</f>
        <v>0</v>
      </c>
      <c r="X121" s="8">
        <f t="array" ref="X121">COUNT(IF(Linemen1=$A121,IF(AwayTeam=X$4,1)))+COUNT(IF(Linemen2=$A121,IF(AwayTeam=X$4,1)))</f>
        <v>0</v>
      </c>
      <c r="Y121" s="8">
        <f t="array" ref="Y121">COUNT(IF(Linemen1=$A121,IF(AwayTeam=Y$4,1)))+COUNT(IF(Linemen2=$A121,IF(AwayTeam=Y$4,1)))</f>
        <v>0</v>
      </c>
      <c r="Z121" s="8">
        <f t="array" ref="Z121">COUNT(IF(Linemen1=$A121,IF(AwayTeam=Z$4,1)))+COUNT(IF(Linemen2=$A121,IF(AwayTeam=Z$4,1)))</f>
        <v>0</v>
      </c>
      <c r="AA121" s="8">
        <f t="array" ref="AA121">COUNT(IF(Linemen1=$A121,IF(AwayTeam=AA$4,1)))+COUNT(IF(Linemen2=$A121,IF(AwayTeam=AA$4,1)))</f>
        <v>0</v>
      </c>
      <c r="AB121" s="8">
        <f t="array" ref="AB121">COUNT(IF(Linemen1=$A121,IF(AwayTeam=AB$4,1)))+COUNT(IF(Linemen2=$A121,IF(AwayTeam=AB$4,1)))</f>
        <v>0</v>
      </c>
      <c r="AC121" s="8">
        <f t="array" ref="AC121">COUNT(IF(Linemen1=$A121,IF(AwayTeam=AC$4,1)))+COUNT(IF(Linemen2=$A121,IF(AwayTeam=AC$4,1)))</f>
        <v>0</v>
      </c>
      <c r="AD121" s="8">
        <f t="array" ref="AD121">COUNT(IF(Linemen1=$A121,IF(AwayTeam=AD$4,1)))+COUNT(IF(Linemen2=$A121,IF(AwayTeam=AD$4,1)))</f>
        <v>0</v>
      </c>
      <c r="AE121" s="8">
        <f t="array" ref="AE121">COUNT(IF(Linemen1=$A121,IF(AwayTeam=AE$4,1)))+COUNT(IF(Linemen2=$A121,IF(AwayTeam=AE$4,1)))</f>
        <v>0</v>
      </c>
      <c r="AF121" s="8">
        <f t="array" ref="AF121">COUNT(IF(Linemen1=$A121,IF(AwayTeam=AF$4,1)))+COUNT(IF(Linemen2=$A121,IF(AwayTeam=AF$4,1)))</f>
        <v>0</v>
      </c>
      <c r="AG121" s="8">
        <f t="array" ref="AG121">COUNT(IF(Linemen1=$A121,IF(AwayTeam=AG$4,1)))+COUNT(IF(Linemen2=$A121,IF(AwayTeam=AG$4,1)))</f>
        <v>0</v>
      </c>
      <c r="AH121" s="8">
        <f t="array" ref="AH121">COUNT(IF(Linemen1=$A121,IF(AwayTeam=AH$4,1)))+COUNT(IF(Linemen2=$A121,IF(AwayTeam=AH$4,1)))</f>
        <v>0</v>
      </c>
      <c r="AI121" s="8">
        <f t="array" ref="AI121">COUNT(IF(Linemen1=$A121,IF(AwayTeam=AI$4,1)))+COUNT(IF(Linemen2=$A121,IF(AwayTeam=AI$4,1)))</f>
        <v>0</v>
      </c>
      <c r="AJ121" s="8">
        <f t="array" ref="AJ121">COUNT(IF(Linemen1=$A121,IF(AwayTeam=AJ$4,1)))+COUNT(IF(Linemen2=$A121,IF(AwayTeam=AJ$4,1)))</f>
        <v>0</v>
      </c>
      <c r="AK121" s="8">
        <f t="array" ref="AK121">COUNT(IF(Linemen1=$A121,IF(AwayTeam=AK$4,1)))+COUNT(IF(Linemen2=$A121,IF(AwayTeam=AK$4,1)))</f>
        <v>0</v>
      </c>
      <c r="AL121" s="8">
        <f t="array" ref="AL121">COUNT(IF(Linemen1=$A121,IF(AwayTeam=AL$4,1)))+COUNT(IF(Linemen2=$A121,IF(AwayTeam=AL$4,1)))</f>
        <v>0</v>
      </c>
      <c r="AM121" s="8">
        <f t="array" ref="AM121">COUNT(IF(Linemen1=$A121,IF(AwayTeam=AM$4,1)))+COUNT(IF(Linemen2=$A121,IF(AwayTeam=AM$4,1)))</f>
        <v>0</v>
      </c>
      <c r="AN121" s="8">
        <f t="array" ref="AN121">COUNT(IF(Linemen1=$A121,IF(AwayTeam=AN$4,1)))+COUNT(IF(Linemen2=$A121,IF(AwayTeam=AN$4,1)))</f>
        <v>0</v>
      </c>
      <c r="AO121" s="8">
        <f t="array" ref="AO121">COUNT(IF(Linemen1=$A121,IF(AwayTeam=AO$4,1)))+COUNT(IF(Linemen2=$A121,IF(AwayTeam=AO$4,1)))</f>
        <v>0</v>
      </c>
      <c r="AP121" s="8">
        <f t="array" ref="AP121">COUNT(IF(Linemen1=$A121,IF(AwayTeam=AP$4,1)))+COUNT(IF(Linemen2=$A121,IF(AwayTeam=AP$4,1)))</f>
        <v>0</v>
      </c>
    </row>
    <row r="122" spans="1:42" x14ac:dyDescent="0.2">
      <c r="A122" s="8" t="str">
        <f>IF(Info!B57&lt;&gt;0,Info!B57,"")</f>
        <v>Linesmen 56</v>
      </c>
      <c r="B122" s="8">
        <f t="shared" si="1"/>
        <v>0</v>
      </c>
      <c r="C122" s="8">
        <f t="array" ref="C122">COUNT(IF(Linemen1=$A122,IF(HomeTeam=C$4,1)))+COUNT(IF(Linemen2=$A122,IF(HomeTeam=C$4,1)))</f>
        <v>0</v>
      </c>
      <c r="D122" s="8">
        <f t="array" ref="D122">COUNT(IF(Linemen1=$A122,IF(HomeTeam=D$4,1)))+COUNT(IF(Linemen2=$A122,IF(HomeTeam=D$4,1)))</f>
        <v>0</v>
      </c>
      <c r="E122" s="8">
        <f t="array" ref="E122">COUNT(IF(Linemen1=$A122,IF(HomeTeam=E$4,1)))+COUNT(IF(Linemen2=$A122,IF(HomeTeam=E$4,1)))</f>
        <v>0</v>
      </c>
      <c r="F122" s="8">
        <f t="array" ref="F122">COUNT(IF(Linemen1=$A122,IF(HomeTeam=F$4,1)))+COUNT(IF(Linemen2=$A122,IF(HomeTeam=F$4,1)))</f>
        <v>0</v>
      </c>
      <c r="G122" s="8">
        <f t="array" ref="G122">COUNT(IF(Linemen1=$A122,IF(HomeTeam=G$4,1)))+COUNT(IF(Linemen2=$A122,IF(HomeTeam=G$4,1)))</f>
        <v>0</v>
      </c>
      <c r="H122" s="8">
        <f t="array" ref="H122">COUNT(IF(Linemen1=$A122,IF(HomeTeam=H$4,1)))+COUNT(IF(Linemen2=$A122,IF(HomeTeam=H$4,1)))</f>
        <v>0</v>
      </c>
      <c r="I122" s="8">
        <f t="array" ref="I122">COUNT(IF(Linemen1=$A122,IF(HomeTeam=I$4,1)))+COUNT(IF(Linemen2=$A122,IF(HomeTeam=I$4,1)))</f>
        <v>0</v>
      </c>
      <c r="J122" s="8">
        <f t="array" ref="J122">COUNT(IF(Linemen1=$A122,IF(HomeTeam=J$4,1)))+COUNT(IF(Linemen2=$A122,IF(HomeTeam=J$4,1)))</f>
        <v>0</v>
      </c>
      <c r="K122" s="8">
        <f t="array" ref="K122">COUNT(IF(Linemen1=$A122,IF(HomeTeam=K$4,1)))+COUNT(IF(Linemen2=$A122,IF(HomeTeam=K$4,1)))</f>
        <v>0</v>
      </c>
      <c r="L122" s="8">
        <f t="array" ref="L122">COUNT(IF(Linemen1=$A122,IF(HomeTeam=L$4,1)))+COUNT(IF(Linemen2=$A122,IF(HomeTeam=L$4,1)))</f>
        <v>0</v>
      </c>
      <c r="M122" s="8">
        <f t="array" ref="M122">COUNT(IF(Linemen1=$A122,IF(HomeTeam=M$4,1)))+COUNT(IF(Linemen2=$A122,IF(HomeTeam=M$4,1)))</f>
        <v>0</v>
      </c>
      <c r="N122" s="8">
        <f t="array" ref="N122">COUNT(IF(Linemen1=$A122,IF(HomeTeam=N$4,1)))+COUNT(IF(Linemen2=$A122,IF(HomeTeam=N$4,1)))</f>
        <v>0</v>
      </c>
      <c r="O122" s="8">
        <f t="array" ref="O122">COUNT(IF(Linemen1=$A122,IF(HomeTeam=O$4,1)))+COUNT(IF(Linemen2=$A122,IF(HomeTeam=O$4,1)))</f>
        <v>0</v>
      </c>
      <c r="P122" s="8">
        <f t="array" ref="P122">COUNT(IF(Linemen1=$A122,IF(HomeTeam=P$4,1)))+COUNT(IF(Linemen2=$A122,IF(HomeTeam=P$4,1)))</f>
        <v>0</v>
      </c>
      <c r="Q122" s="8">
        <f t="array" ref="Q122">COUNT(IF(Linemen1=$A122,IF(HomeTeam=Q$4,1)))+COUNT(IF(Linemen2=$A122,IF(HomeTeam=Q$4,1)))</f>
        <v>0</v>
      </c>
      <c r="R122" s="8">
        <f t="array" ref="R122">COUNT(IF(Linemen1=$A122,IF(HomeTeam=R$4,1)))+COUNT(IF(Linemen2=$A122,IF(HomeTeam=R$4,1)))</f>
        <v>0</v>
      </c>
      <c r="S122" s="8">
        <f t="array" ref="S122">COUNT(IF(Linemen1=$A122,IF(HomeTeam=S$4,1)))+COUNT(IF(Linemen2=$A122,IF(HomeTeam=S$4,1)))</f>
        <v>0</v>
      </c>
      <c r="T122" s="8">
        <f t="array" ref="T122">COUNT(IF(Linemen1=$A122,IF(HomeTeam=T$4,1)))+COUNT(IF(Linemen2=$A122,IF(HomeTeam=T$4,1)))</f>
        <v>0</v>
      </c>
      <c r="U122" s="8">
        <f t="array" ref="U122">COUNT(IF(Linemen1=$A122,IF(HomeTeam=U$4,1)))+COUNT(IF(Linemen2=$A122,IF(HomeTeam=U$4,1)))</f>
        <v>0</v>
      </c>
      <c r="V122" s="8">
        <f t="array" ref="V122">COUNT(IF(Linemen1=$A122,IF(HomeTeam=V$4,1)))+COUNT(IF(Linemen2=$A122,IF(HomeTeam=V$4,1)))</f>
        <v>0</v>
      </c>
      <c r="W122" s="8">
        <f t="array" ref="W122">COUNT(IF(Linemen1=$A122,IF(AwayTeam=W$4,1)))+COUNT(IF(Linemen2=$A122,IF(AwayTeam=W$4,1)))</f>
        <v>0</v>
      </c>
      <c r="X122" s="8">
        <f t="array" ref="X122">COUNT(IF(Linemen1=$A122,IF(AwayTeam=X$4,1)))+COUNT(IF(Linemen2=$A122,IF(AwayTeam=X$4,1)))</f>
        <v>0</v>
      </c>
      <c r="Y122" s="8">
        <f t="array" ref="Y122">COUNT(IF(Linemen1=$A122,IF(AwayTeam=Y$4,1)))+COUNT(IF(Linemen2=$A122,IF(AwayTeam=Y$4,1)))</f>
        <v>0</v>
      </c>
      <c r="Z122" s="8">
        <f t="array" ref="Z122">COUNT(IF(Linemen1=$A122,IF(AwayTeam=Z$4,1)))+COUNT(IF(Linemen2=$A122,IF(AwayTeam=Z$4,1)))</f>
        <v>0</v>
      </c>
      <c r="AA122" s="8">
        <f t="array" ref="AA122">COUNT(IF(Linemen1=$A122,IF(AwayTeam=AA$4,1)))+COUNT(IF(Linemen2=$A122,IF(AwayTeam=AA$4,1)))</f>
        <v>0</v>
      </c>
      <c r="AB122" s="8">
        <f t="array" ref="AB122">COUNT(IF(Linemen1=$A122,IF(AwayTeam=AB$4,1)))+COUNT(IF(Linemen2=$A122,IF(AwayTeam=AB$4,1)))</f>
        <v>0</v>
      </c>
      <c r="AC122" s="8">
        <f t="array" ref="AC122">COUNT(IF(Linemen1=$A122,IF(AwayTeam=AC$4,1)))+COUNT(IF(Linemen2=$A122,IF(AwayTeam=AC$4,1)))</f>
        <v>0</v>
      </c>
      <c r="AD122" s="8">
        <f t="array" ref="AD122">COUNT(IF(Linemen1=$A122,IF(AwayTeam=AD$4,1)))+COUNT(IF(Linemen2=$A122,IF(AwayTeam=AD$4,1)))</f>
        <v>0</v>
      </c>
      <c r="AE122" s="8">
        <f t="array" ref="AE122">COUNT(IF(Linemen1=$A122,IF(AwayTeam=AE$4,1)))+COUNT(IF(Linemen2=$A122,IF(AwayTeam=AE$4,1)))</f>
        <v>0</v>
      </c>
      <c r="AF122" s="8">
        <f t="array" ref="AF122">COUNT(IF(Linemen1=$A122,IF(AwayTeam=AF$4,1)))+COUNT(IF(Linemen2=$A122,IF(AwayTeam=AF$4,1)))</f>
        <v>0</v>
      </c>
      <c r="AG122" s="8">
        <f t="array" ref="AG122">COUNT(IF(Linemen1=$A122,IF(AwayTeam=AG$4,1)))+COUNT(IF(Linemen2=$A122,IF(AwayTeam=AG$4,1)))</f>
        <v>0</v>
      </c>
      <c r="AH122" s="8">
        <f t="array" ref="AH122">COUNT(IF(Linemen1=$A122,IF(AwayTeam=AH$4,1)))+COUNT(IF(Linemen2=$A122,IF(AwayTeam=AH$4,1)))</f>
        <v>0</v>
      </c>
      <c r="AI122" s="8">
        <f t="array" ref="AI122">COUNT(IF(Linemen1=$A122,IF(AwayTeam=AI$4,1)))+COUNT(IF(Linemen2=$A122,IF(AwayTeam=AI$4,1)))</f>
        <v>0</v>
      </c>
      <c r="AJ122" s="8">
        <f t="array" ref="AJ122">COUNT(IF(Linemen1=$A122,IF(AwayTeam=AJ$4,1)))+COUNT(IF(Linemen2=$A122,IF(AwayTeam=AJ$4,1)))</f>
        <v>0</v>
      </c>
      <c r="AK122" s="8">
        <f t="array" ref="AK122">COUNT(IF(Linemen1=$A122,IF(AwayTeam=AK$4,1)))+COUNT(IF(Linemen2=$A122,IF(AwayTeam=AK$4,1)))</f>
        <v>0</v>
      </c>
      <c r="AL122" s="8">
        <f t="array" ref="AL122">COUNT(IF(Linemen1=$A122,IF(AwayTeam=AL$4,1)))+COUNT(IF(Linemen2=$A122,IF(AwayTeam=AL$4,1)))</f>
        <v>0</v>
      </c>
      <c r="AM122" s="8">
        <f t="array" ref="AM122">COUNT(IF(Linemen1=$A122,IF(AwayTeam=AM$4,1)))+COUNT(IF(Linemen2=$A122,IF(AwayTeam=AM$4,1)))</f>
        <v>0</v>
      </c>
      <c r="AN122" s="8">
        <f t="array" ref="AN122">COUNT(IF(Linemen1=$A122,IF(AwayTeam=AN$4,1)))+COUNT(IF(Linemen2=$A122,IF(AwayTeam=AN$4,1)))</f>
        <v>0</v>
      </c>
      <c r="AO122" s="8">
        <f t="array" ref="AO122">COUNT(IF(Linemen1=$A122,IF(AwayTeam=AO$4,1)))+COUNT(IF(Linemen2=$A122,IF(AwayTeam=AO$4,1)))</f>
        <v>0</v>
      </c>
      <c r="AP122" s="8">
        <f t="array" ref="AP122">COUNT(IF(Linemen1=$A122,IF(AwayTeam=AP$4,1)))+COUNT(IF(Linemen2=$A122,IF(AwayTeam=AP$4,1)))</f>
        <v>0</v>
      </c>
    </row>
    <row r="123" spans="1:42" x14ac:dyDescent="0.2">
      <c r="A123" s="8" t="str">
        <f>IF(Info!B58&lt;&gt;0,Info!B58,"")</f>
        <v>Linesmen 57</v>
      </c>
      <c r="B123" s="8">
        <f t="shared" si="1"/>
        <v>0</v>
      </c>
      <c r="C123" s="8">
        <f t="array" ref="C123">COUNT(IF(Linemen1=$A123,IF(HomeTeam=C$4,1)))+COUNT(IF(Linemen2=$A123,IF(HomeTeam=C$4,1)))</f>
        <v>0</v>
      </c>
      <c r="D123" s="8">
        <f t="array" ref="D123">COUNT(IF(Linemen1=$A123,IF(HomeTeam=D$4,1)))+COUNT(IF(Linemen2=$A123,IF(HomeTeam=D$4,1)))</f>
        <v>0</v>
      </c>
      <c r="E123" s="8">
        <f t="array" ref="E123">COUNT(IF(Linemen1=$A123,IF(HomeTeam=E$4,1)))+COUNT(IF(Linemen2=$A123,IF(HomeTeam=E$4,1)))</f>
        <v>0</v>
      </c>
      <c r="F123" s="8">
        <f t="array" ref="F123">COUNT(IF(Linemen1=$A123,IF(HomeTeam=F$4,1)))+COUNT(IF(Linemen2=$A123,IF(HomeTeam=F$4,1)))</f>
        <v>0</v>
      </c>
      <c r="G123" s="8">
        <f t="array" ref="G123">COUNT(IF(Linemen1=$A123,IF(HomeTeam=G$4,1)))+COUNT(IF(Linemen2=$A123,IF(HomeTeam=G$4,1)))</f>
        <v>0</v>
      </c>
      <c r="H123" s="8">
        <f t="array" ref="H123">COUNT(IF(Linemen1=$A123,IF(HomeTeam=H$4,1)))+COUNT(IF(Linemen2=$A123,IF(HomeTeam=H$4,1)))</f>
        <v>0</v>
      </c>
      <c r="I123" s="8">
        <f t="array" ref="I123">COUNT(IF(Linemen1=$A123,IF(HomeTeam=I$4,1)))+COUNT(IF(Linemen2=$A123,IF(HomeTeam=I$4,1)))</f>
        <v>0</v>
      </c>
      <c r="J123" s="8">
        <f t="array" ref="J123">COUNT(IF(Linemen1=$A123,IF(HomeTeam=J$4,1)))+COUNT(IF(Linemen2=$A123,IF(HomeTeam=J$4,1)))</f>
        <v>0</v>
      </c>
      <c r="K123" s="8">
        <f t="array" ref="K123">COUNT(IF(Linemen1=$A123,IF(HomeTeam=K$4,1)))+COUNT(IF(Linemen2=$A123,IF(HomeTeam=K$4,1)))</f>
        <v>0</v>
      </c>
      <c r="L123" s="8">
        <f t="array" ref="L123">COUNT(IF(Linemen1=$A123,IF(HomeTeam=L$4,1)))+COUNT(IF(Linemen2=$A123,IF(HomeTeam=L$4,1)))</f>
        <v>0</v>
      </c>
      <c r="M123" s="8">
        <f t="array" ref="M123">COUNT(IF(Linemen1=$A123,IF(HomeTeam=M$4,1)))+COUNT(IF(Linemen2=$A123,IF(HomeTeam=M$4,1)))</f>
        <v>0</v>
      </c>
      <c r="N123" s="8">
        <f t="array" ref="N123">COUNT(IF(Linemen1=$A123,IF(HomeTeam=N$4,1)))+COUNT(IF(Linemen2=$A123,IF(HomeTeam=N$4,1)))</f>
        <v>0</v>
      </c>
      <c r="O123" s="8">
        <f t="array" ref="O123">COUNT(IF(Linemen1=$A123,IF(HomeTeam=O$4,1)))+COUNT(IF(Linemen2=$A123,IF(HomeTeam=O$4,1)))</f>
        <v>0</v>
      </c>
      <c r="P123" s="8">
        <f t="array" ref="P123">COUNT(IF(Linemen1=$A123,IF(HomeTeam=P$4,1)))+COUNT(IF(Linemen2=$A123,IF(HomeTeam=P$4,1)))</f>
        <v>0</v>
      </c>
      <c r="Q123" s="8">
        <f t="array" ref="Q123">COUNT(IF(Linemen1=$A123,IF(HomeTeam=Q$4,1)))+COUNT(IF(Linemen2=$A123,IF(HomeTeam=Q$4,1)))</f>
        <v>0</v>
      </c>
      <c r="R123" s="8">
        <f t="array" ref="R123">COUNT(IF(Linemen1=$A123,IF(HomeTeam=R$4,1)))+COUNT(IF(Linemen2=$A123,IF(HomeTeam=R$4,1)))</f>
        <v>0</v>
      </c>
      <c r="S123" s="8">
        <f t="array" ref="S123">COUNT(IF(Linemen1=$A123,IF(HomeTeam=S$4,1)))+COUNT(IF(Linemen2=$A123,IF(HomeTeam=S$4,1)))</f>
        <v>0</v>
      </c>
      <c r="T123" s="8">
        <f t="array" ref="T123">COUNT(IF(Linemen1=$A123,IF(HomeTeam=T$4,1)))+COUNT(IF(Linemen2=$A123,IF(HomeTeam=T$4,1)))</f>
        <v>0</v>
      </c>
      <c r="U123" s="8">
        <f t="array" ref="U123">COUNT(IF(Linemen1=$A123,IF(HomeTeam=U$4,1)))+COUNT(IF(Linemen2=$A123,IF(HomeTeam=U$4,1)))</f>
        <v>0</v>
      </c>
      <c r="V123" s="8">
        <f t="array" ref="V123">COUNT(IF(Linemen1=$A123,IF(HomeTeam=V$4,1)))+COUNT(IF(Linemen2=$A123,IF(HomeTeam=V$4,1)))</f>
        <v>0</v>
      </c>
      <c r="W123" s="8">
        <f t="array" ref="W123">COUNT(IF(Linemen1=$A123,IF(AwayTeam=W$4,1)))+COUNT(IF(Linemen2=$A123,IF(AwayTeam=W$4,1)))</f>
        <v>0</v>
      </c>
      <c r="X123" s="8">
        <f t="array" ref="X123">COUNT(IF(Linemen1=$A123,IF(AwayTeam=X$4,1)))+COUNT(IF(Linemen2=$A123,IF(AwayTeam=X$4,1)))</f>
        <v>0</v>
      </c>
      <c r="Y123" s="8">
        <f t="array" ref="Y123">COUNT(IF(Linemen1=$A123,IF(AwayTeam=Y$4,1)))+COUNT(IF(Linemen2=$A123,IF(AwayTeam=Y$4,1)))</f>
        <v>0</v>
      </c>
      <c r="Z123" s="8">
        <f t="array" ref="Z123">COUNT(IF(Linemen1=$A123,IF(AwayTeam=Z$4,1)))+COUNT(IF(Linemen2=$A123,IF(AwayTeam=Z$4,1)))</f>
        <v>0</v>
      </c>
      <c r="AA123" s="8">
        <f t="array" ref="AA123">COUNT(IF(Linemen1=$A123,IF(AwayTeam=AA$4,1)))+COUNT(IF(Linemen2=$A123,IF(AwayTeam=AA$4,1)))</f>
        <v>0</v>
      </c>
      <c r="AB123" s="8">
        <f t="array" ref="AB123">COUNT(IF(Linemen1=$A123,IF(AwayTeam=AB$4,1)))+COUNT(IF(Linemen2=$A123,IF(AwayTeam=AB$4,1)))</f>
        <v>0</v>
      </c>
      <c r="AC123" s="8">
        <f t="array" ref="AC123">COUNT(IF(Linemen1=$A123,IF(AwayTeam=AC$4,1)))+COUNT(IF(Linemen2=$A123,IF(AwayTeam=AC$4,1)))</f>
        <v>0</v>
      </c>
      <c r="AD123" s="8">
        <f t="array" ref="AD123">COUNT(IF(Linemen1=$A123,IF(AwayTeam=AD$4,1)))+COUNT(IF(Linemen2=$A123,IF(AwayTeam=AD$4,1)))</f>
        <v>0</v>
      </c>
      <c r="AE123" s="8">
        <f t="array" ref="AE123">COUNT(IF(Linemen1=$A123,IF(AwayTeam=AE$4,1)))+COUNT(IF(Linemen2=$A123,IF(AwayTeam=AE$4,1)))</f>
        <v>0</v>
      </c>
      <c r="AF123" s="8">
        <f t="array" ref="AF123">COUNT(IF(Linemen1=$A123,IF(AwayTeam=AF$4,1)))+COUNT(IF(Linemen2=$A123,IF(AwayTeam=AF$4,1)))</f>
        <v>0</v>
      </c>
      <c r="AG123" s="8">
        <f t="array" ref="AG123">COUNT(IF(Linemen1=$A123,IF(AwayTeam=AG$4,1)))+COUNT(IF(Linemen2=$A123,IF(AwayTeam=AG$4,1)))</f>
        <v>0</v>
      </c>
      <c r="AH123" s="8">
        <f t="array" ref="AH123">COUNT(IF(Linemen1=$A123,IF(AwayTeam=AH$4,1)))+COUNT(IF(Linemen2=$A123,IF(AwayTeam=AH$4,1)))</f>
        <v>0</v>
      </c>
      <c r="AI123" s="8">
        <f t="array" ref="AI123">COUNT(IF(Linemen1=$A123,IF(AwayTeam=AI$4,1)))+COUNT(IF(Linemen2=$A123,IF(AwayTeam=AI$4,1)))</f>
        <v>0</v>
      </c>
      <c r="AJ123" s="8">
        <f t="array" ref="AJ123">COUNT(IF(Linemen1=$A123,IF(AwayTeam=AJ$4,1)))+COUNT(IF(Linemen2=$A123,IF(AwayTeam=AJ$4,1)))</f>
        <v>0</v>
      </c>
      <c r="AK123" s="8">
        <f t="array" ref="AK123">COUNT(IF(Linemen1=$A123,IF(AwayTeam=AK$4,1)))+COUNT(IF(Linemen2=$A123,IF(AwayTeam=AK$4,1)))</f>
        <v>0</v>
      </c>
      <c r="AL123" s="8">
        <f t="array" ref="AL123">COUNT(IF(Linemen1=$A123,IF(AwayTeam=AL$4,1)))+COUNT(IF(Linemen2=$A123,IF(AwayTeam=AL$4,1)))</f>
        <v>0</v>
      </c>
      <c r="AM123" s="8">
        <f t="array" ref="AM123">COUNT(IF(Linemen1=$A123,IF(AwayTeam=AM$4,1)))+COUNT(IF(Linemen2=$A123,IF(AwayTeam=AM$4,1)))</f>
        <v>0</v>
      </c>
      <c r="AN123" s="8">
        <f t="array" ref="AN123">COUNT(IF(Linemen1=$A123,IF(AwayTeam=AN$4,1)))+COUNT(IF(Linemen2=$A123,IF(AwayTeam=AN$4,1)))</f>
        <v>0</v>
      </c>
      <c r="AO123" s="8">
        <f t="array" ref="AO123">COUNT(IF(Linemen1=$A123,IF(AwayTeam=AO$4,1)))+COUNT(IF(Linemen2=$A123,IF(AwayTeam=AO$4,1)))</f>
        <v>0</v>
      </c>
      <c r="AP123" s="8">
        <f t="array" ref="AP123">COUNT(IF(Linemen1=$A123,IF(AwayTeam=AP$4,1)))+COUNT(IF(Linemen2=$A123,IF(AwayTeam=AP$4,1)))</f>
        <v>0</v>
      </c>
    </row>
    <row r="124" spans="1:42" x14ac:dyDescent="0.2">
      <c r="A124" s="8" t="str">
        <f>IF(Info!B59&lt;&gt;0,Info!B59,"")</f>
        <v>Linesmen 58</v>
      </c>
      <c r="B124" s="8">
        <f t="shared" si="1"/>
        <v>0</v>
      </c>
      <c r="C124" s="8">
        <f t="array" ref="C124">COUNT(IF(Linemen1=$A124,IF(HomeTeam=C$4,1)))+COUNT(IF(Linemen2=$A124,IF(HomeTeam=C$4,1)))</f>
        <v>0</v>
      </c>
      <c r="D124" s="8">
        <f t="array" ref="D124">COUNT(IF(Linemen1=$A124,IF(HomeTeam=D$4,1)))+COUNT(IF(Linemen2=$A124,IF(HomeTeam=D$4,1)))</f>
        <v>0</v>
      </c>
      <c r="E124" s="8">
        <f t="array" ref="E124">COUNT(IF(Linemen1=$A124,IF(HomeTeam=E$4,1)))+COUNT(IF(Linemen2=$A124,IF(HomeTeam=E$4,1)))</f>
        <v>0</v>
      </c>
      <c r="F124" s="8">
        <f t="array" ref="F124">COUNT(IF(Linemen1=$A124,IF(HomeTeam=F$4,1)))+COUNT(IF(Linemen2=$A124,IF(HomeTeam=F$4,1)))</f>
        <v>0</v>
      </c>
      <c r="G124" s="8">
        <f t="array" ref="G124">COUNT(IF(Linemen1=$A124,IF(HomeTeam=G$4,1)))+COUNT(IF(Linemen2=$A124,IF(HomeTeam=G$4,1)))</f>
        <v>0</v>
      </c>
      <c r="H124" s="8">
        <f t="array" ref="H124">COUNT(IF(Linemen1=$A124,IF(HomeTeam=H$4,1)))+COUNT(IF(Linemen2=$A124,IF(HomeTeam=H$4,1)))</f>
        <v>0</v>
      </c>
      <c r="I124" s="8">
        <f t="array" ref="I124">COUNT(IF(Linemen1=$A124,IF(HomeTeam=I$4,1)))+COUNT(IF(Linemen2=$A124,IF(HomeTeam=I$4,1)))</f>
        <v>0</v>
      </c>
      <c r="J124" s="8">
        <f t="array" ref="J124">COUNT(IF(Linemen1=$A124,IF(HomeTeam=J$4,1)))+COUNT(IF(Linemen2=$A124,IF(HomeTeam=J$4,1)))</f>
        <v>0</v>
      </c>
      <c r="K124" s="8">
        <f t="array" ref="K124">COUNT(IF(Linemen1=$A124,IF(HomeTeam=K$4,1)))+COUNT(IF(Linemen2=$A124,IF(HomeTeam=K$4,1)))</f>
        <v>0</v>
      </c>
      <c r="L124" s="8">
        <f t="array" ref="L124">COUNT(IF(Linemen1=$A124,IF(HomeTeam=L$4,1)))+COUNT(IF(Linemen2=$A124,IF(HomeTeam=L$4,1)))</f>
        <v>0</v>
      </c>
      <c r="M124" s="8">
        <f t="array" ref="M124">COUNT(IF(Linemen1=$A124,IF(HomeTeam=M$4,1)))+COUNT(IF(Linemen2=$A124,IF(HomeTeam=M$4,1)))</f>
        <v>0</v>
      </c>
      <c r="N124" s="8">
        <f t="array" ref="N124">COUNT(IF(Linemen1=$A124,IF(HomeTeam=N$4,1)))+COUNT(IF(Linemen2=$A124,IF(HomeTeam=N$4,1)))</f>
        <v>0</v>
      </c>
      <c r="O124" s="8">
        <f t="array" ref="O124">COUNT(IF(Linemen1=$A124,IF(HomeTeam=O$4,1)))+COUNT(IF(Linemen2=$A124,IF(HomeTeam=O$4,1)))</f>
        <v>0</v>
      </c>
      <c r="P124" s="8">
        <f t="array" ref="P124">COUNT(IF(Linemen1=$A124,IF(HomeTeam=P$4,1)))+COUNT(IF(Linemen2=$A124,IF(HomeTeam=P$4,1)))</f>
        <v>0</v>
      </c>
      <c r="Q124" s="8">
        <f t="array" ref="Q124">COUNT(IF(Linemen1=$A124,IF(HomeTeam=Q$4,1)))+COUNT(IF(Linemen2=$A124,IF(HomeTeam=Q$4,1)))</f>
        <v>0</v>
      </c>
      <c r="R124" s="8">
        <f t="array" ref="R124">COUNT(IF(Linemen1=$A124,IF(HomeTeam=R$4,1)))+COUNT(IF(Linemen2=$A124,IF(HomeTeam=R$4,1)))</f>
        <v>0</v>
      </c>
      <c r="S124" s="8">
        <f t="array" ref="S124">COUNT(IF(Linemen1=$A124,IF(HomeTeam=S$4,1)))+COUNT(IF(Linemen2=$A124,IF(HomeTeam=S$4,1)))</f>
        <v>0</v>
      </c>
      <c r="T124" s="8">
        <f t="array" ref="T124">COUNT(IF(Linemen1=$A124,IF(HomeTeam=T$4,1)))+COUNT(IF(Linemen2=$A124,IF(HomeTeam=T$4,1)))</f>
        <v>0</v>
      </c>
      <c r="U124" s="8">
        <f t="array" ref="U124">COUNT(IF(Linemen1=$A124,IF(HomeTeam=U$4,1)))+COUNT(IF(Linemen2=$A124,IF(HomeTeam=U$4,1)))</f>
        <v>0</v>
      </c>
      <c r="V124" s="8">
        <f t="array" ref="V124">COUNT(IF(Linemen1=$A124,IF(HomeTeam=V$4,1)))+COUNT(IF(Linemen2=$A124,IF(HomeTeam=V$4,1)))</f>
        <v>0</v>
      </c>
      <c r="W124" s="8">
        <f t="array" ref="W124">COUNT(IF(Linemen1=$A124,IF(AwayTeam=W$4,1)))+COUNT(IF(Linemen2=$A124,IF(AwayTeam=W$4,1)))</f>
        <v>0</v>
      </c>
      <c r="X124" s="8">
        <f t="array" ref="X124">COUNT(IF(Linemen1=$A124,IF(AwayTeam=X$4,1)))+COUNT(IF(Linemen2=$A124,IF(AwayTeam=X$4,1)))</f>
        <v>0</v>
      </c>
      <c r="Y124" s="8">
        <f t="array" ref="Y124">COUNT(IF(Linemen1=$A124,IF(AwayTeam=Y$4,1)))+COUNT(IF(Linemen2=$A124,IF(AwayTeam=Y$4,1)))</f>
        <v>0</v>
      </c>
      <c r="Z124" s="8">
        <f t="array" ref="Z124">COUNT(IF(Linemen1=$A124,IF(AwayTeam=Z$4,1)))+COUNT(IF(Linemen2=$A124,IF(AwayTeam=Z$4,1)))</f>
        <v>0</v>
      </c>
      <c r="AA124" s="8">
        <f t="array" ref="AA124">COUNT(IF(Linemen1=$A124,IF(AwayTeam=AA$4,1)))+COUNT(IF(Linemen2=$A124,IF(AwayTeam=AA$4,1)))</f>
        <v>0</v>
      </c>
      <c r="AB124" s="8">
        <f t="array" ref="AB124">COUNT(IF(Linemen1=$A124,IF(AwayTeam=AB$4,1)))+COUNT(IF(Linemen2=$A124,IF(AwayTeam=AB$4,1)))</f>
        <v>0</v>
      </c>
      <c r="AC124" s="8">
        <f t="array" ref="AC124">COUNT(IF(Linemen1=$A124,IF(AwayTeam=AC$4,1)))+COUNT(IF(Linemen2=$A124,IF(AwayTeam=AC$4,1)))</f>
        <v>0</v>
      </c>
      <c r="AD124" s="8">
        <f t="array" ref="AD124">COUNT(IF(Linemen1=$A124,IF(AwayTeam=AD$4,1)))+COUNT(IF(Linemen2=$A124,IF(AwayTeam=AD$4,1)))</f>
        <v>0</v>
      </c>
      <c r="AE124" s="8">
        <f t="array" ref="AE124">COUNT(IF(Linemen1=$A124,IF(AwayTeam=AE$4,1)))+COUNT(IF(Linemen2=$A124,IF(AwayTeam=AE$4,1)))</f>
        <v>0</v>
      </c>
      <c r="AF124" s="8">
        <f t="array" ref="AF124">COUNT(IF(Linemen1=$A124,IF(AwayTeam=AF$4,1)))+COUNT(IF(Linemen2=$A124,IF(AwayTeam=AF$4,1)))</f>
        <v>0</v>
      </c>
      <c r="AG124" s="8">
        <f t="array" ref="AG124">COUNT(IF(Linemen1=$A124,IF(AwayTeam=AG$4,1)))+COUNT(IF(Linemen2=$A124,IF(AwayTeam=AG$4,1)))</f>
        <v>0</v>
      </c>
      <c r="AH124" s="8">
        <f t="array" ref="AH124">COUNT(IF(Linemen1=$A124,IF(AwayTeam=AH$4,1)))+COUNT(IF(Linemen2=$A124,IF(AwayTeam=AH$4,1)))</f>
        <v>0</v>
      </c>
      <c r="AI124" s="8">
        <f t="array" ref="AI124">COUNT(IF(Linemen1=$A124,IF(AwayTeam=AI$4,1)))+COUNT(IF(Linemen2=$A124,IF(AwayTeam=AI$4,1)))</f>
        <v>0</v>
      </c>
      <c r="AJ124" s="8">
        <f t="array" ref="AJ124">COUNT(IF(Linemen1=$A124,IF(AwayTeam=AJ$4,1)))+COUNT(IF(Linemen2=$A124,IF(AwayTeam=AJ$4,1)))</f>
        <v>0</v>
      </c>
      <c r="AK124" s="8">
        <f t="array" ref="AK124">COUNT(IF(Linemen1=$A124,IF(AwayTeam=AK$4,1)))+COUNT(IF(Linemen2=$A124,IF(AwayTeam=AK$4,1)))</f>
        <v>0</v>
      </c>
      <c r="AL124" s="8">
        <f t="array" ref="AL124">COUNT(IF(Linemen1=$A124,IF(AwayTeam=AL$4,1)))+COUNT(IF(Linemen2=$A124,IF(AwayTeam=AL$4,1)))</f>
        <v>0</v>
      </c>
      <c r="AM124" s="8">
        <f t="array" ref="AM124">COUNT(IF(Linemen1=$A124,IF(AwayTeam=AM$4,1)))+COUNT(IF(Linemen2=$A124,IF(AwayTeam=AM$4,1)))</f>
        <v>0</v>
      </c>
      <c r="AN124" s="8">
        <f t="array" ref="AN124">COUNT(IF(Linemen1=$A124,IF(AwayTeam=AN$4,1)))+COUNT(IF(Linemen2=$A124,IF(AwayTeam=AN$4,1)))</f>
        <v>0</v>
      </c>
      <c r="AO124" s="8">
        <f t="array" ref="AO124">COUNT(IF(Linemen1=$A124,IF(AwayTeam=AO$4,1)))+COUNT(IF(Linemen2=$A124,IF(AwayTeam=AO$4,1)))</f>
        <v>0</v>
      </c>
      <c r="AP124" s="8">
        <f t="array" ref="AP124">COUNT(IF(Linemen1=$A124,IF(AwayTeam=AP$4,1)))+COUNT(IF(Linemen2=$A124,IF(AwayTeam=AP$4,1)))</f>
        <v>0</v>
      </c>
    </row>
    <row r="125" spans="1:42" x14ac:dyDescent="0.2">
      <c r="A125" s="8" t="str">
        <f>IF(Info!B60&lt;&gt;0,Info!B60,"")</f>
        <v>Linesmen 59</v>
      </c>
      <c r="B125" s="8">
        <f t="shared" si="1"/>
        <v>0</v>
      </c>
      <c r="C125" s="8">
        <f t="array" ref="C125">COUNT(IF(Linemen1=$A125,IF(HomeTeam=C$4,1)))+COUNT(IF(Linemen2=$A125,IF(HomeTeam=C$4,1)))</f>
        <v>0</v>
      </c>
      <c r="D125" s="8">
        <f t="array" ref="D125">COUNT(IF(Linemen1=$A125,IF(HomeTeam=D$4,1)))+COUNT(IF(Linemen2=$A125,IF(HomeTeam=D$4,1)))</f>
        <v>0</v>
      </c>
      <c r="E125" s="8">
        <f t="array" ref="E125">COUNT(IF(Linemen1=$A125,IF(HomeTeam=E$4,1)))+COUNT(IF(Linemen2=$A125,IF(HomeTeam=E$4,1)))</f>
        <v>0</v>
      </c>
      <c r="F125" s="8">
        <f t="array" ref="F125">COUNT(IF(Linemen1=$A125,IF(HomeTeam=F$4,1)))+COUNT(IF(Linemen2=$A125,IF(HomeTeam=F$4,1)))</f>
        <v>0</v>
      </c>
      <c r="G125" s="8">
        <f t="array" ref="G125">COUNT(IF(Linemen1=$A125,IF(HomeTeam=G$4,1)))+COUNT(IF(Linemen2=$A125,IF(HomeTeam=G$4,1)))</f>
        <v>0</v>
      </c>
      <c r="H125" s="8">
        <f t="array" ref="H125">COUNT(IF(Linemen1=$A125,IF(HomeTeam=H$4,1)))+COUNT(IF(Linemen2=$A125,IF(HomeTeam=H$4,1)))</f>
        <v>0</v>
      </c>
      <c r="I125" s="8">
        <f t="array" ref="I125">COUNT(IF(Linemen1=$A125,IF(HomeTeam=I$4,1)))+COUNT(IF(Linemen2=$A125,IF(HomeTeam=I$4,1)))</f>
        <v>0</v>
      </c>
      <c r="J125" s="8">
        <f t="array" ref="J125">COUNT(IF(Linemen1=$A125,IF(HomeTeam=J$4,1)))+COUNT(IF(Linemen2=$A125,IF(HomeTeam=J$4,1)))</f>
        <v>0</v>
      </c>
      <c r="K125" s="8">
        <f t="array" ref="K125">COUNT(IF(Linemen1=$A125,IF(HomeTeam=K$4,1)))+COUNT(IF(Linemen2=$A125,IF(HomeTeam=K$4,1)))</f>
        <v>0</v>
      </c>
      <c r="L125" s="8">
        <f t="array" ref="L125">COUNT(IF(Linemen1=$A125,IF(HomeTeam=L$4,1)))+COUNT(IF(Linemen2=$A125,IF(HomeTeam=L$4,1)))</f>
        <v>0</v>
      </c>
      <c r="M125" s="8">
        <f t="array" ref="M125">COUNT(IF(Linemen1=$A125,IF(HomeTeam=M$4,1)))+COUNT(IF(Linemen2=$A125,IF(HomeTeam=M$4,1)))</f>
        <v>0</v>
      </c>
      <c r="N125" s="8">
        <f t="array" ref="N125">COUNT(IF(Linemen1=$A125,IF(HomeTeam=N$4,1)))+COUNT(IF(Linemen2=$A125,IF(HomeTeam=N$4,1)))</f>
        <v>0</v>
      </c>
      <c r="O125" s="8">
        <f t="array" ref="O125">COUNT(IF(Linemen1=$A125,IF(HomeTeam=O$4,1)))+COUNT(IF(Linemen2=$A125,IF(HomeTeam=O$4,1)))</f>
        <v>0</v>
      </c>
      <c r="P125" s="8">
        <f t="array" ref="P125">COUNT(IF(Linemen1=$A125,IF(HomeTeam=P$4,1)))+COUNT(IF(Linemen2=$A125,IF(HomeTeam=P$4,1)))</f>
        <v>0</v>
      </c>
      <c r="Q125" s="8">
        <f t="array" ref="Q125">COUNT(IF(Linemen1=$A125,IF(HomeTeam=Q$4,1)))+COUNT(IF(Linemen2=$A125,IF(HomeTeam=Q$4,1)))</f>
        <v>0</v>
      </c>
      <c r="R125" s="8">
        <f t="array" ref="R125">COUNT(IF(Linemen1=$A125,IF(HomeTeam=R$4,1)))+COUNT(IF(Linemen2=$A125,IF(HomeTeam=R$4,1)))</f>
        <v>0</v>
      </c>
      <c r="S125" s="8">
        <f t="array" ref="S125">COUNT(IF(Linemen1=$A125,IF(HomeTeam=S$4,1)))+COUNT(IF(Linemen2=$A125,IF(HomeTeam=S$4,1)))</f>
        <v>0</v>
      </c>
      <c r="T125" s="8">
        <f t="array" ref="T125">COUNT(IF(Linemen1=$A125,IF(HomeTeam=T$4,1)))+COUNT(IF(Linemen2=$A125,IF(HomeTeam=T$4,1)))</f>
        <v>0</v>
      </c>
      <c r="U125" s="8">
        <f t="array" ref="U125">COUNT(IF(Linemen1=$A125,IF(HomeTeam=U$4,1)))+COUNT(IF(Linemen2=$A125,IF(HomeTeam=U$4,1)))</f>
        <v>0</v>
      </c>
      <c r="V125" s="8">
        <f t="array" ref="V125">COUNT(IF(Linemen1=$A125,IF(HomeTeam=V$4,1)))+COUNT(IF(Linemen2=$A125,IF(HomeTeam=V$4,1)))</f>
        <v>0</v>
      </c>
      <c r="W125" s="8">
        <f t="array" ref="W125">COUNT(IF(Linemen1=$A125,IF(AwayTeam=W$4,1)))+COUNT(IF(Linemen2=$A125,IF(AwayTeam=W$4,1)))</f>
        <v>0</v>
      </c>
      <c r="X125" s="8">
        <f t="array" ref="X125">COUNT(IF(Linemen1=$A125,IF(AwayTeam=X$4,1)))+COUNT(IF(Linemen2=$A125,IF(AwayTeam=X$4,1)))</f>
        <v>0</v>
      </c>
      <c r="Y125" s="8">
        <f t="array" ref="Y125">COUNT(IF(Linemen1=$A125,IF(AwayTeam=Y$4,1)))+COUNT(IF(Linemen2=$A125,IF(AwayTeam=Y$4,1)))</f>
        <v>0</v>
      </c>
      <c r="Z125" s="8">
        <f t="array" ref="Z125">COUNT(IF(Linemen1=$A125,IF(AwayTeam=Z$4,1)))+COUNT(IF(Linemen2=$A125,IF(AwayTeam=Z$4,1)))</f>
        <v>0</v>
      </c>
      <c r="AA125" s="8">
        <f t="array" ref="AA125">COUNT(IF(Linemen1=$A125,IF(AwayTeam=AA$4,1)))+COUNT(IF(Linemen2=$A125,IF(AwayTeam=AA$4,1)))</f>
        <v>0</v>
      </c>
      <c r="AB125" s="8">
        <f t="array" ref="AB125">COUNT(IF(Linemen1=$A125,IF(AwayTeam=AB$4,1)))+COUNT(IF(Linemen2=$A125,IF(AwayTeam=AB$4,1)))</f>
        <v>0</v>
      </c>
      <c r="AC125" s="8">
        <f t="array" ref="AC125">COUNT(IF(Linemen1=$A125,IF(AwayTeam=AC$4,1)))+COUNT(IF(Linemen2=$A125,IF(AwayTeam=AC$4,1)))</f>
        <v>0</v>
      </c>
      <c r="AD125" s="8">
        <f t="array" ref="AD125">COUNT(IF(Linemen1=$A125,IF(AwayTeam=AD$4,1)))+COUNT(IF(Linemen2=$A125,IF(AwayTeam=AD$4,1)))</f>
        <v>0</v>
      </c>
      <c r="AE125" s="8">
        <f t="array" ref="AE125">COUNT(IF(Linemen1=$A125,IF(AwayTeam=AE$4,1)))+COUNT(IF(Linemen2=$A125,IF(AwayTeam=AE$4,1)))</f>
        <v>0</v>
      </c>
      <c r="AF125" s="8">
        <f t="array" ref="AF125">COUNT(IF(Linemen1=$A125,IF(AwayTeam=AF$4,1)))+COUNT(IF(Linemen2=$A125,IF(AwayTeam=AF$4,1)))</f>
        <v>0</v>
      </c>
      <c r="AG125" s="8">
        <f t="array" ref="AG125">COUNT(IF(Linemen1=$A125,IF(AwayTeam=AG$4,1)))+COUNT(IF(Linemen2=$A125,IF(AwayTeam=AG$4,1)))</f>
        <v>0</v>
      </c>
      <c r="AH125" s="8">
        <f t="array" ref="AH125">COUNT(IF(Linemen1=$A125,IF(AwayTeam=AH$4,1)))+COUNT(IF(Linemen2=$A125,IF(AwayTeam=AH$4,1)))</f>
        <v>0</v>
      </c>
      <c r="AI125" s="8">
        <f t="array" ref="AI125">COUNT(IF(Linemen1=$A125,IF(AwayTeam=AI$4,1)))+COUNT(IF(Linemen2=$A125,IF(AwayTeam=AI$4,1)))</f>
        <v>0</v>
      </c>
      <c r="AJ125" s="8">
        <f t="array" ref="AJ125">COUNT(IF(Linemen1=$A125,IF(AwayTeam=AJ$4,1)))+COUNT(IF(Linemen2=$A125,IF(AwayTeam=AJ$4,1)))</f>
        <v>0</v>
      </c>
      <c r="AK125" s="8">
        <f t="array" ref="AK125">COUNT(IF(Linemen1=$A125,IF(AwayTeam=AK$4,1)))+COUNT(IF(Linemen2=$A125,IF(AwayTeam=AK$4,1)))</f>
        <v>0</v>
      </c>
      <c r="AL125" s="8">
        <f t="array" ref="AL125">COUNT(IF(Linemen1=$A125,IF(AwayTeam=AL$4,1)))+COUNT(IF(Linemen2=$A125,IF(AwayTeam=AL$4,1)))</f>
        <v>0</v>
      </c>
      <c r="AM125" s="8">
        <f t="array" ref="AM125">COUNT(IF(Linemen1=$A125,IF(AwayTeam=AM$4,1)))+COUNT(IF(Linemen2=$A125,IF(AwayTeam=AM$4,1)))</f>
        <v>0</v>
      </c>
      <c r="AN125" s="8">
        <f t="array" ref="AN125">COUNT(IF(Linemen1=$A125,IF(AwayTeam=AN$4,1)))+COUNT(IF(Linemen2=$A125,IF(AwayTeam=AN$4,1)))</f>
        <v>0</v>
      </c>
      <c r="AO125" s="8">
        <f t="array" ref="AO125">COUNT(IF(Linemen1=$A125,IF(AwayTeam=AO$4,1)))+COUNT(IF(Linemen2=$A125,IF(AwayTeam=AO$4,1)))</f>
        <v>0</v>
      </c>
      <c r="AP125" s="8">
        <f t="array" ref="AP125">COUNT(IF(Linemen1=$A125,IF(AwayTeam=AP$4,1)))+COUNT(IF(Linemen2=$A125,IF(AwayTeam=AP$4,1)))</f>
        <v>0</v>
      </c>
    </row>
    <row r="126" spans="1:42" x14ac:dyDescent="0.2">
      <c r="A126" s="8" t="str">
        <f>IF(Info!B61&lt;&gt;0,Info!B61,"")</f>
        <v>Linesmen 60</v>
      </c>
      <c r="B126" s="8">
        <f t="shared" si="1"/>
        <v>0</v>
      </c>
      <c r="C126" s="8">
        <f t="array" ref="C126">COUNT(IF(Linemen1=$A126,IF(HomeTeam=C$4,1)))+COUNT(IF(Linemen2=$A126,IF(HomeTeam=C$4,1)))</f>
        <v>0</v>
      </c>
      <c r="D126" s="8">
        <f t="array" ref="D126">COUNT(IF(Linemen1=$A126,IF(HomeTeam=D$4,1)))+COUNT(IF(Linemen2=$A126,IF(HomeTeam=D$4,1)))</f>
        <v>0</v>
      </c>
      <c r="E126" s="8">
        <f t="array" ref="E126">COUNT(IF(Linemen1=$A126,IF(HomeTeam=E$4,1)))+COUNT(IF(Linemen2=$A126,IF(HomeTeam=E$4,1)))</f>
        <v>0</v>
      </c>
      <c r="F126" s="8">
        <f t="array" ref="F126">COUNT(IF(Linemen1=$A126,IF(HomeTeam=F$4,1)))+COUNT(IF(Linemen2=$A126,IF(HomeTeam=F$4,1)))</f>
        <v>0</v>
      </c>
      <c r="G126" s="8">
        <f t="array" ref="G126">COUNT(IF(Linemen1=$A126,IF(HomeTeam=G$4,1)))+COUNT(IF(Linemen2=$A126,IF(HomeTeam=G$4,1)))</f>
        <v>0</v>
      </c>
      <c r="H126" s="8">
        <f t="array" ref="H126">COUNT(IF(Linemen1=$A126,IF(HomeTeam=H$4,1)))+COUNT(IF(Linemen2=$A126,IF(HomeTeam=H$4,1)))</f>
        <v>0</v>
      </c>
      <c r="I126" s="8">
        <f t="array" ref="I126">COUNT(IF(Linemen1=$A126,IF(HomeTeam=I$4,1)))+COUNT(IF(Linemen2=$A126,IF(HomeTeam=I$4,1)))</f>
        <v>0</v>
      </c>
      <c r="J126" s="8">
        <f t="array" ref="J126">COUNT(IF(Linemen1=$A126,IF(HomeTeam=J$4,1)))+COUNT(IF(Linemen2=$A126,IF(HomeTeam=J$4,1)))</f>
        <v>0</v>
      </c>
      <c r="K126" s="8">
        <f t="array" ref="K126">COUNT(IF(Linemen1=$A126,IF(HomeTeam=K$4,1)))+COUNT(IF(Linemen2=$A126,IF(HomeTeam=K$4,1)))</f>
        <v>0</v>
      </c>
      <c r="L126" s="8">
        <f t="array" ref="L126">COUNT(IF(Linemen1=$A126,IF(HomeTeam=L$4,1)))+COUNT(IF(Linemen2=$A126,IF(HomeTeam=L$4,1)))</f>
        <v>0</v>
      </c>
      <c r="M126" s="8">
        <f t="array" ref="M126">COUNT(IF(Linemen1=$A126,IF(HomeTeam=M$4,1)))+COUNT(IF(Linemen2=$A126,IF(HomeTeam=M$4,1)))</f>
        <v>0</v>
      </c>
      <c r="N126" s="8">
        <f t="array" ref="N126">COUNT(IF(Linemen1=$A126,IF(HomeTeam=N$4,1)))+COUNT(IF(Linemen2=$A126,IF(HomeTeam=N$4,1)))</f>
        <v>0</v>
      </c>
      <c r="O126" s="8">
        <f t="array" ref="O126">COUNT(IF(Linemen1=$A126,IF(HomeTeam=O$4,1)))+COUNT(IF(Linemen2=$A126,IF(HomeTeam=O$4,1)))</f>
        <v>0</v>
      </c>
      <c r="P126" s="8">
        <f t="array" ref="P126">COUNT(IF(Linemen1=$A126,IF(HomeTeam=P$4,1)))+COUNT(IF(Linemen2=$A126,IF(HomeTeam=P$4,1)))</f>
        <v>0</v>
      </c>
      <c r="Q126" s="8">
        <f t="array" ref="Q126">COUNT(IF(Linemen1=$A126,IF(HomeTeam=Q$4,1)))+COUNT(IF(Linemen2=$A126,IF(HomeTeam=Q$4,1)))</f>
        <v>0</v>
      </c>
      <c r="R126" s="8">
        <f t="array" ref="R126">COUNT(IF(Linemen1=$A126,IF(HomeTeam=R$4,1)))+COUNT(IF(Linemen2=$A126,IF(HomeTeam=R$4,1)))</f>
        <v>0</v>
      </c>
      <c r="S126" s="8">
        <f t="array" ref="S126">COUNT(IF(Linemen1=$A126,IF(HomeTeam=S$4,1)))+COUNT(IF(Linemen2=$A126,IF(HomeTeam=S$4,1)))</f>
        <v>0</v>
      </c>
      <c r="T126" s="8">
        <f t="array" ref="T126">COUNT(IF(Linemen1=$A126,IF(HomeTeam=T$4,1)))+COUNT(IF(Linemen2=$A126,IF(HomeTeam=T$4,1)))</f>
        <v>0</v>
      </c>
      <c r="U126" s="8">
        <f t="array" ref="U126">COUNT(IF(Linemen1=$A126,IF(HomeTeam=U$4,1)))+COUNT(IF(Linemen2=$A126,IF(HomeTeam=U$4,1)))</f>
        <v>0</v>
      </c>
      <c r="V126" s="8">
        <f t="array" ref="V126">COUNT(IF(Linemen1=$A126,IF(HomeTeam=V$4,1)))+COUNT(IF(Linemen2=$A126,IF(HomeTeam=V$4,1)))</f>
        <v>0</v>
      </c>
      <c r="W126" s="8">
        <f t="array" ref="W126">COUNT(IF(Linemen1=$A126,IF(AwayTeam=W$4,1)))+COUNT(IF(Linemen2=$A126,IF(AwayTeam=W$4,1)))</f>
        <v>0</v>
      </c>
      <c r="X126" s="8">
        <f t="array" ref="X126">COUNT(IF(Linemen1=$A126,IF(AwayTeam=X$4,1)))+COUNT(IF(Linemen2=$A126,IF(AwayTeam=X$4,1)))</f>
        <v>0</v>
      </c>
      <c r="Y126" s="8">
        <f t="array" ref="Y126">COUNT(IF(Linemen1=$A126,IF(AwayTeam=Y$4,1)))+COUNT(IF(Linemen2=$A126,IF(AwayTeam=Y$4,1)))</f>
        <v>0</v>
      </c>
      <c r="Z126" s="8">
        <f t="array" ref="Z126">COUNT(IF(Linemen1=$A126,IF(AwayTeam=Z$4,1)))+COUNT(IF(Linemen2=$A126,IF(AwayTeam=Z$4,1)))</f>
        <v>0</v>
      </c>
      <c r="AA126" s="8">
        <f t="array" ref="AA126">COUNT(IF(Linemen1=$A126,IF(AwayTeam=AA$4,1)))+COUNT(IF(Linemen2=$A126,IF(AwayTeam=AA$4,1)))</f>
        <v>0</v>
      </c>
      <c r="AB126" s="8">
        <f t="array" ref="AB126">COUNT(IF(Linemen1=$A126,IF(AwayTeam=AB$4,1)))+COUNT(IF(Linemen2=$A126,IF(AwayTeam=AB$4,1)))</f>
        <v>0</v>
      </c>
      <c r="AC126" s="8">
        <f t="array" ref="AC126">COUNT(IF(Linemen1=$A126,IF(AwayTeam=AC$4,1)))+COUNT(IF(Linemen2=$A126,IF(AwayTeam=AC$4,1)))</f>
        <v>0</v>
      </c>
      <c r="AD126" s="8">
        <f t="array" ref="AD126">COUNT(IF(Linemen1=$A126,IF(AwayTeam=AD$4,1)))+COUNT(IF(Linemen2=$A126,IF(AwayTeam=AD$4,1)))</f>
        <v>0</v>
      </c>
      <c r="AE126" s="8">
        <f t="array" ref="AE126">COUNT(IF(Linemen1=$A126,IF(AwayTeam=AE$4,1)))+COUNT(IF(Linemen2=$A126,IF(AwayTeam=AE$4,1)))</f>
        <v>0</v>
      </c>
      <c r="AF126" s="8">
        <f t="array" ref="AF126">COUNT(IF(Linemen1=$A126,IF(AwayTeam=AF$4,1)))+COUNT(IF(Linemen2=$A126,IF(AwayTeam=AF$4,1)))</f>
        <v>0</v>
      </c>
      <c r="AG126" s="8">
        <f t="array" ref="AG126">COUNT(IF(Linemen1=$A126,IF(AwayTeam=AG$4,1)))+COUNT(IF(Linemen2=$A126,IF(AwayTeam=AG$4,1)))</f>
        <v>0</v>
      </c>
      <c r="AH126" s="8">
        <f t="array" ref="AH126">COUNT(IF(Linemen1=$A126,IF(AwayTeam=AH$4,1)))+COUNT(IF(Linemen2=$A126,IF(AwayTeam=AH$4,1)))</f>
        <v>0</v>
      </c>
      <c r="AI126" s="8">
        <f t="array" ref="AI126">COUNT(IF(Linemen1=$A126,IF(AwayTeam=AI$4,1)))+COUNT(IF(Linemen2=$A126,IF(AwayTeam=AI$4,1)))</f>
        <v>0</v>
      </c>
      <c r="AJ126" s="8">
        <f t="array" ref="AJ126">COUNT(IF(Linemen1=$A126,IF(AwayTeam=AJ$4,1)))+COUNT(IF(Linemen2=$A126,IF(AwayTeam=AJ$4,1)))</f>
        <v>0</v>
      </c>
      <c r="AK126" s="8">
        <f t="array" ref="AK126">COUNT(IF(Linemen1=$A126,IF(AwayTeam=AK$4,1)))+COUNT(IF(Linemen2=$A126,IF(AwayTeam=AK$4,1)))</f>
        <v>0</v>
      </c>
      <c r="AL126" s="8">
        <f t="array" ref="AL126">COUNT(IF(Linemen1=$A126,IF(AwayTeam=AL$4,1)))+COUNT(IF(Linemen2=$A126,IF(AwayTeam=AL$4,1)))</f>
        <v>0</v>
      </c>
      <c r="AM126" s="8">
        <f t="array" ref="AM126">COUNT(IF(Linemen1=$A126,IF(AwayTeam=AM$4,1)))+COUNT(IF(Linemen2=$A126,IF(AwayTeam=AM$4,1)))</f>
        <v>0</v>
      </c>
      <c r="AN126" s="8">
        <f t="array" ref="AN126">COUNT(IF(Linemen1=$A126,IF(AwayTeam=AN$4,1)))+COUNT(IF(Linemen2=$A126,IF(AwayTeam=AN$4,1)))</f>
        <v>0</v>
      </c>
      <c r="AO126" s="8">
        <f t="array" ref="AO126">COUNT(IF(Linemen1=$A126,IF(AwayTeam=AO$4,1)))+COUNT(IF(Linemen2=$A126,IF(AwayTeam=AO$4,1)))</f>
        <v>0</v>
      </c>
      <c r="AP126" s="8">
        <f t="array" ref="AP126">COUNT(IF(Linemen1=$A126,IF(AwayTeam=AP$4,1)))+COUNT(IF(Linemen2=$A126,IF(AwayTeam=AP$4,1)))</f>
        <v>0</v>
      </c>
    </row>
  </sheetData>
  <conditionalFormatting sqref="B5:AP64">
    <cfRule type="cellIs" dxfId="3" priority="2" operator="equal">
      <formula>0</formula>
    </cfRule>
  </conditionalFormatting>
  <conditionalFormatting sqref="B67:AP12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6DCA-E0A2-4302-B427-212EADAE04AA}">
  <sheetPr>
    <tabColor theme="8" tint="0.39997558519241921"/>
  </sheetPr>
  <dimension ref="A1:G61"/>
  <sheetViews>
    <sheetView showGridLines="0" showRowColHeaders="0" workbookViewId="0">
      <pane ySplit="1" topLeftCell="A4" activePane="bottomLeft" state="frozen"/>
      <selection pane="bottomLeft" activeCell="A37" sqref="A37"/>
    </sheetView>
  </sheetViews>
  <sheetFormatPr defaultRowHeight="12.75" x14ac:dyDescent="0.2"/>
  <cols>
    <col min="1" max="2" width="35.7109375" style="11" customWidth="1"/>
    <col min="3" max="16384" width="9.140625" style="11"/>
  </cols>
  <sheetData>
    <row r="1" spans="1:7" x14ac:dyDescent="0.2">
      <c r="A1" s="16" t="s">
        <v>23</v>
      </c>
      <c r="B1" s="16" t="s">
        <v>24</v>
      </c>
    </row>
    <row r="2" spans="1:7" x14ac:dyDescent="0.2">
      <c r="A2" s="8" t="s">
        <v>139</v>
      </c>
      <c r="B2" s="8" t="s">
        <v>134</v>
      </c>
      <c r="E2" s="11">
        <v>1</v>
      </c>
      <c r="F2" s="11" t="s">
        <v>27</v>
      </c>
      <c r="G2" s="11" t="s">
        <v>39</v>
      </c>
    </row>
    <row r="3" spans="1:7" x14ac:dyDescent="0.2">
      <c r="A3" s="8" t="s">
        <v>127</v>
      </c>
      <c r="B3" s="8" t="s">
        <v>128</v>
      </c>
      <c r="E3" s="11">
        <v>2</v>
      </c>
      <c r="F3" s="11" t="s">
        <v>28</v>
      </c>
      <c r="G3" s="11" t="s">
        <v>40</v>
      </c>
    </row>
    <row r="4" spans="1:7" x14ac:dyDescent="0.2">
      <c r="A4" s="8" t="s">
        <v>90</v>
      </c>
      <c r="B4" s="8" t="s">
        <v>145</v>
      </c>
      <c r="E4" s="11">
        <v>3</v>
      </c>
      <c r="F4" s="11" t="s">
        <v>29</v>
      </c>
      <c r="G4" s="11" t="s">
        <v>41</v>
      </c>
    </row>
    <row r="5" spans="1:7" x14ac:dyDescent="0.2">
      <c r="A5" s="8" t="s">
        <v>101</v>
      </c>
      <c r="B5" s="8" t="s">
        <v>167</v>
      </c>
      <c r="E5" s="11">
        <v>4</v>
      </c>
      <c r="F5" s="11" t="s">
        <v>30</v>
      </c>
      <c r="G5" s="11" t="s">
        <v>42</v>
      </c>
    </row>
    <row r="6" spans="1:7" x14ac:dyDescent="0.2">
      <c r="A6" s="8" t="s">
        <v>138</v>
      </c>
      <c r="B6" s="8" t="s">
        <v>162</v>
      </c>
      <c r="E6" s="11">
        <v>5</v>
      </c>
      <c r="F6" s="11" t="s">
        <v>31</v>
      </c>
      <c r="G6" s="11" t="s">
        <v>43</v>
      </c>
    </row>
    <row r="7" spans="1:7" x14ac:dyDescent="0.2">
      <c r="A7" s="8" t="s">
        <v>157</v>
      </c>
      <c r="B7" s="8" t="s">
        <v>140</v>
      </c>
      <c r="E7" s="11">
        <v>6</v>
      </c>
      <c r="F7" s="11" t="s">
        <v>32</v>
      </c>
      <c r="G7" s="11" t="s">
        <v>44</v>
      </c>
    </row>
    <row r="8" spans="1:7" x14ac:dyDescent="0.2">
      <c r="A8" s="8" t="s">
        <v>91</v>
      </c>
      <c r="B8" s="8" t="s">
        <v>116</v>
      </c>
      <c r="E8" s="11">
        <v>7</v>
      </c>
      <c r="F8" s="11" t="s">
        <v>33</v>
      </c>
      <c r="G8" s="11" t="s">
        <v>45</v>
      </c>
    </row>
    <row r="9" spans="1:7" x14ac:dyDescent="0.2">
      <c r="A9" s="8" t="s">
        <v>94</v>
      </c>
      <c r="B9" s="8" t="s">
        <v>110</v>
      </c>
      <c r="E9" s="11">
        <v>8</v>
      </c>
      <c r="F9" s="11" t="s">
        <v>34</v>
      </c>
    </row>
    <row r="10" spans="1:7" x14ac:dyDescent="0.2">
      <c r="A10" s="8" t="s">
        <v>103</v>
      </c>
      <c r="B10" s="8" t="s">
        <v>161</v>
      </c>
      <c r="E10" s="11">
        <v>9</v>
      </c>
      <c r="F10" s="11" t="s">
        <v>35</v>
      </c>
    </row>
    <row r="11" spans="1:7" x14ac:dyDescent="0.2">
      <c r="A11" s="8" t="s">
        <v>125</v>
      </c>
      <c r="B11" s="8" t="s">
        <v>130</v>
      </c>
      <c r="E11" s="11">
        <v>10</v>
      </c>
      <c r="F11" s="11" t="s">
        <v>36</v>
      </c>
    </row>
    <row r="12" spans="1:7" x14ac:dyDescent="0.2">
      <c r="A12" s="8" t="s">
        <v>93</v>
      </c>
      <c r="B12" s="8" t="s">
        <v>118</v>
      </c>
      <c r="E12" s="11">
        <v>11</v>
      </c>
      <c r="F12" s="11" t="s">
        <v>37</v>
      </c>
    </row>
    <row r="13" spans="1:7" x14ac:dyDescent="0.2">
      <c r="A13" s="8" t="s">
        <v>102</v>
      </c>
      <c r="B13" s="8" t="s">
        <v>135</v>
      </c>
      <c r="E13" s="11">
        <v>12</v>
      </c>
      <c r="F13" s="11" t="s">
        <v>38</v>
      </c>
    </row>
    <row r="14" spans="1:7" x14ac:dyDescent="0.2">
      <c r="A14" s="8" t="s">
        <v>89</v>
      </c>
      <c r="B14" s="8" t="s">
        <v>136</v>
      </c>
    </row>
    <row r="15" spans="1:7" x14ac:dyDescent="0.2">
      <c r="A15" s="8" t="s">
        <v>148</v>
      </c>
      <c r="B15" s="8" t="s">
        <v>115</v>
      </c>
    </row>
    <row r="16" spans="1:7" x14ac:dyDescent="0.2">
      <c r="A16" s="8" t="s">
        <v>99</v>
      </c>
      <c r="B16" s="8" t="s">
        <v>122</v>
      </c>
    </row>
    <row r="17" spans="1:2" x14ac:dyDescent="0.2">
      <c r="A17" s="8" t="s">
        <v>149</v>
      </c>
      <c r="B17" s="8" t="s">
        <v>151</v>
      </c>
    </row>
    <row r="18" spans="1:2" x14ac:dyDescent="0.2">
      <c r="A18" s="18" t="s">
        <v>106</v>
      </c>
      <c r="B18" s="8" t="s">
        <v>107</v>
      </c>
    </row>
    <row r="19" spans="1:2" x14ac:dyDescent="0.2">
      <c r="A19" s="8" t="s">
        <v>132</v>
      </c>
      <c r="B19" s="8" t="s">
        <v>119</v>
      </c>
    </row>
    <row r="20" spans="1:2" x14ac:dyDescent="0.2">
      <c r="A20" s="8" t="s">
        <v>168</v>
      </c>
      <c r="B20" s="8" t="s">
        <v>160</v>
      </c>
    </row>
    <row r="21" spans="1:2" x14ac:dyDescent="0.2">
      <c r="A21" s="8" t="s">
        <v>152</v>
      </c>
      <c r="B21" s="8" t="s">
        <v>121</v>
      </c>
    </row>
    <row r="22" spans="1:2" x14ac:dyDescent="0.2">
      <c r="A22" s="8" t="s">
        <v>133</v>
      </c>
      <c r="B22" s="8" t="s">
        <v>142</v>
      </c>
    </row>
    <row r="23" spans="1:2" x14ac:dyDescent="0.2">
      <c r="A23" s="8" t="s">
        <v>92</v>
      </c>
      <c r="B23" s="8" t="s">
        <v>147</v>
      </c>
    </row>
    <row r="24" spans="1:2" x14ac:dyDescent="0.2">
      <c r="A24" s="8" t="s">
        <v>98</v>
      </c>
      <c r="B24" s="8" t="s">
        <v>112</v>
      </c>
    </row>
    <row r="25" spans="1:2" x14ac:dyDescent="0.2">
      <c r="A25" s="8" t="s">
        <v>155</v>
      </c>
      <c r="B25" s="8" t="s">
        <v>126</v>
      </c>
    </row>
    <row r="26" spans="1:2" x14ac:dyDescent="0.2">
      <c r="A26" s="8" t="s">
        <v>105</v>
      </c>
      <c r="B26" s="8" t="s">
        <v>114</v>
      </c>
    </row>
    <row r="27" spans="1:2" x14ac:dyDescent="0.2">
      <c r="A27" s="8" t="s">
        <v>156</v>
      </c>
      <c r="B27" s="8" t="s">
        <v>108</v>
      </c>
    </row>
    <row r="28" spans="1:2" x14ac:dyDescent="0.2">
      <c r="A28" s="8" t="s">
        <v>100</v>
      </c>
      <c r="B28" s="8" t="s">
        <v>129</v>
      </c>
    </row>
    <row r="29" spans="1:2" x14ac:dyDescent="0.2">
      <c r="A29" s="8" t="s">
        <v>146</v>
      </c>
      <c r="B29" s="8" t="s">
        <v>159</v>
      </c>
    </row>
    <row r="30" spans="1:2" x14ac:dyDescent="0.2">
      <c r="A30" s="8" t="s">
        <v>96</v>
      </c>
      <c r="B30" s="8" t="s">
        <v>137</v>
      </c>
    </row>
    <row r="31" spans="1:2" x14ac:dyDescent="0.2">
      <c r="A31" s="8" t="s">
        <v>97</v>
      </c>
      <c r="B31" s="8" t="s">
        <v>120</v>
      </c>
    </row>
    <row r="32" spans="1:2" x14ac:dyDescent="0.2">
      <c r="A32" s="8" t="s">
        <v>166</v>
      </c>
      <c r="B32" s="8" t="s">
        <v>150</v>
      </c>
    </row>
    <row r="33" spans="1:2" x14ac:dyDescent="0.2">
      <c r="A33" s="8" t="s">
        <v>144</v>
      </c>
      <c r="B33" s="8" t="s">
        <v>113</v>
      </c>
    </row>
    <row r="34" spans="1:2" x14ac:dyDescent="0.2">
      <c r="A34" s="8" t="s">
        <v>104</v>
      </c>
      <c r="B34" s="8" t="s">
        <v>111</v>
      </c>
    </row>
    <row r="35" spans="1:2" x14ac:dyDescent="0.2">
      <c r="A35" s="8" t="s">
        <v>95</v>
      </c>
      <c r="B35" s="8" t="s">
        <v>155</v>
      </c>
    </row>
    <row r="36" spans="1:2" x14ac:dyDescent="0.2">
      <c r="A36" s="8" t="s">
        <v>131</v>
      </c>
      <c r="B36" s="8" t="s">
        <v>169</v>
      </c>
    </row>
    <row r="37" spans="1:2" x14ac:dyDescent="0.2">
      <c r="A37" s="8" t="s">
        <v>51</v>
      </c>
      <c r="B37" s="8" t="s">
        <v>153</v>
      </c>
    </row>
    <row r="38" spans="1:2" x14ac:dyDescent="0.2">
      <c r="A38" s="8" t="s">
        <v>52</v>
      </c>
      <c r="B38" s="8" t="s">
        <v>141</v>
      </c>
    </row>
    <row r="39" spans="1:2" x14ac:dyDescent="0.2">
      <c r="A39" s="8" t="s">
        <v>53</v>
      </c>
      <c r="B39" s="8" t="s">
        <v>117</v>
      </c>
    </row>
    <row r="40" spans="1:2" x14ac:dyDescent="0.2">
      <c r="A40" s="8" t="s">
        <v>54</v>
      </c>
      <c r="B40" s="8" t="s">
        <v>158</v>
      </c>
    </row>
    <row r="41" spans="1:2" x14ac:dyDescent="0.2">
      <c r="A41" s="8" t="s">
        <v>55</v>
      </c>
      <c r="B41" s="8" t="s">
        <v>165</v>
      </c>
    </row>
    <row r="42" spans="1:2" x14ac:dyDescent="0.2">
      <c r="A42" s="8" t="s">
        <v>56</v>
      </c>
      <c r="B42" s="8" t="s">
        <v>164</v>
      </c>
    </row>
    <row r="43" spans="1:2" x14ac:dyDescent="0.2">
      <c r="A43" s="8" t="s">
        <v>57</v>
      </c>
      <c r="B43" s="8" t="s">
        <v>124</v>
      </c>
    </row>
    <row r="44" spans="1:2" x14ac:dyDescent="0.2">
      <c r="A44" s="8" t="s">
        <v>58</v>
      </c>
      <c r="B44" s="8" t="s">
        <v>123</v>
      </c>
    </row>
    <row r="45" spans="1:2" x14ac:dyDescent="0.2">
      <c r="A45" s="8" t="s">
        <v>59</v>
      </c>
      <c r="B45" s="8" t="s">
        <v>143</v>
      </c>
    </row>
    <row r="46" spans="1:2" x14ac:dyDescent="0.2">
      <c r="A46" s="8" t="s">
        <v>60</v>
      </c>
      <c r="B46" s="8" t="s">
        <v>109</v>
      </c>
    </row>
    <row r="47" spans="1:2" x14ac:dyDescent="0.2">
      <c r="A47" s="8" t="s">
        <v>61</v>
      </c>
      <c r="B47" s="8" t="s">
        <v>163</v>
      </c>
    </row>
    <row r="48" spans="1:2" x14ac:dyDescent="0.2">
      <c r="A48" s="8" t="s">
        <v>62</v>
      </c>
      <c r="B48" s="8" t="s">
        <v>154</v>
      </c>
    </row>
    <row r="49" spans="1:2" x14ac:dyDescent="0.2">
      <c r="A49" s="8" t="s">
        <v>63</v>
      </c>
      <c r="B49" s="8" t="s">
        <v>64</v>
      </c>
    </row>
    <row r="50" spans="1:2" x14ac:dyDescent="0.2">
      <c r="A50" s="8" t="s">
        <v>65</v>
      </c>
      <c r="B50" s="8" t="s">
        <v>66</v>
      </c>
    </row>
    <row r="51" spans="1:2" x14ac:dyDescent="0.2">
      <c r="A51" s="8" t="s">
        <v>67</v>
      </c>
      <c r="B51" s="8" t="s">
        <v>68</v>
      </c>
    </row>
    <row r="52" spans="1:2" x14ac:dyDescent="0.2">
      <c r="A52" s="8" t="s">
        <v>69</v>
      </c>
      <c r="B52" s="8" t="s">
        <v>70</v>
      </c>
    </row>
    <row r="53" spans="1:2" x14ac:dyDescent="0.2">
      <c r="A53" s="8" t="s">
        <v>71</v>
      </c>
      <c r="B53" s="8" t="s">
        <v>72</v>
      </c>
    </row>
    <row r="54" spans="1:2" x14ac:dyDescent="0.2">
      <c r="A54" s="8" t="s">
        <v>73</v>
      </c>
      <c r="B54" s="8" t="s">
        <v>74</v>
      </c>
    </row>
    <row r="55" spans="1:2" x14ac:dyDescent="0.2">
      <c r="A55" s="8" t="s">
        <v>75</v>
      </c>
      <c r="B55" s="8" t="s">
        <v>76</v>
      </c>
    </row>
    <row r="56" spans="1:2" x14ac:dyDescent="0.2">
      <c r="A56" s="8" t="s">
        <v>77</v>
      </c>
      <c r="B56" s="8" t="s">
        <v>78</v>
      </c>
    </row>
    <row r="57" spans="1:2" x14ac:dyDescent="0.2">
      <c r="A57" s="8" t="s">
        <v>79</v>
      </c>
      <c r="B57" s="8" t="s">
        <v>80</v>
      </c>
    </row>
    <row r="58" spans="1:2" x14ac:dyDescent="0.2">
      <c r="A58" s="8" t="s">
        <v>81</v>
      </c>
      <c r="B58" s="8" t="s">
        <v>82</v>
      </c>
    </row>
    <row r="59" spans="1:2" x14ac:dyDescent="0.2">
      <c r="A59" s="8" t="s">
        <v>83</v>
      </c>
      <c r="B59" s="8" t="s">
        <v>84</v>
      </c>
    </row>
    <row r="60" spans="1:2" x14ac:dyDescent="0.2">
      <c r="A60" s="8" t="s">
        <v>85</v>
      </c>
      <c r="B60" s="8" t="s">
        <v>86</v>
      </c>
    </row>
    <row r="61" spans="1:2" x14ac:dyDescent="0.2">
      <c r="A61" s="8" t="s">
        <v>87</v>
      </c>
      <c r="B61" s="8" t="s">
        <v>88</v>
      </c>
    </row>
  </sheetData>
  <sortState xmlns:xlrd2="http://schemas.microsoft.com/office/spreadsheetml/2017/richdata2" ref="B2:B48">
    <sortCondition ref="B48"/>
  </sortState>
  <conditionalFormatting sqref="A2:A61">
    <cfRule type="duplicateValues" dxfId="2" priority="3"/>
  </conditionalFormatting>
  <conditionalFormatting sqref="B2:B61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Game Info</vt:lpstr>
      <vt:lpstr>Official Stats</vt:lpstr>
      <vt:lpstr>Info</vt:lpstr>
      <vt:lpstr>Away10MinMisconduct</vt:lpstr>
      <vt:lpstr>AwayGameMisconduct</vt:lpstr>
      <vt:lpstr>AwayInfractions</vt:lpstr>
      <vt:lpstr>AwayMajor</vt:lpstr>
      <vt:lpstr>AwayMatch</vt:lpstr>
      <vt:lpstr>AwayMinor</vt:lpstr>
      <vt:lpstr>AwayPenaltyShot</vt:lpstr>
      <vt:lpstr>AwayPenaltyShotAttempt</vt:lpstr>
      <vt:lpstr>AwayPenaltyShotGoal</vt:lpstr>
      <vt:lpstr>AwayPIM</vt:lpstr>
      <vt:lpstr>AwayTeam</vt:lpstr>
      <vt:lpstr>DayOfTheWeek</vt:lpstr>
      <vt:lpstr>DOTWMonth</vt:lpstr>
      <vt:lpstr>Home10MinMisconduct</vt:lpstr>
      <vt:lpstr>HomeGameMisconduct</vt:lpstr>
      <vt:lpstr>HomeInfractions</vt:lpstr>
      <vt:lpstr>HomeMajor</vt:lpstr>
      <vt:lpstr>HomeMatch</vt:lpstr>
      <vt:lpstr>HomeMinor</vt:lpstr>
      <vt:lpstr>HomePenaltyShot</vt:lpstr>
      <vt:lpstr>HomePenaltyShotAttempt</vt:lpstr>
      <vt:lpstr>HomePenaltyShotGoal</vt:lpstr>
      <vt:lpstr>HomePIM</vt:lpstr>
      <vt:lpstr>HomeTeam</vt:lpstr>
      <vt:lpstr>Linemen</vt:lpstr>
      <vt:lpstr>Linemen1</vt:lpstr>
      <vt:lpstr>Linemen2</vt:lpstr>
      <vt:lpstr>Month</vt:lpstr>
      <vt:lpstr>Referee</vt:lpstr>
      <vt:lpstr>Referee1</vt:lpstr>
      <vt:lpstr>Referee2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2019-04-13T19:27:25Z</dcterms:created>
  <dcterms:modified xsi:type="dcterms:W3CDTF">2019-04-19T02:28:45Z</dcterms:modified>
</cp:coreProperties>
</file>